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95EFC49-313A-41E5-8FDD-03238B3E22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2" r:id="rId1"/>
    <sheet name="2025" sheetId="3" r:id="rId2"/>
    <sheet name="2024" sheetId="4" r:id="rId3"/>
    <sheet name="2023" sheetId="5" r:id="rId4"/>
    <sheet name="2022" sheetId="6" r:id="rId5"/>
    <sheet name="2021" sheetId="7" r:id="rId6"/>
    <sheet name="2020" sheetId="8" r:id="rId7"/>
  </sheets>
  <definedNames>
    <definedName name="_xlnm._FilterDatabase" localSheetId="5" hidden="1">'2021'!$A$1:$L$99</definedName>
    <definedName name="_xlnm._FilterDatabase" localSheetId="4" hidden="1">'2022'!$A$1:$T$116</definedName>
    <definedName name="_xlnm._FilterDatabase" localSheetId="3" hidden="1">'2023'!$A$1:$T$96</definedName>
    <definedName name="_xlnm._FilterDatabase" localSheetId="2" hidden="1">'2024'!$A$1:$Z$91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kWheNHzQU68Qv/LXm8DWngQ/PDzfX7EnUWXJJdXp7os="/>
    </ext>
  </extLst>
</workbook>
</file>

<file path=xl/calcChain.xml><?xml version="1.0" encoding="utf-8"?>
<calcChain xmlns="http://schemas.openxmlformats.org/spreadsheetml/2006/main">
  <c r="H42" i="8" l="1"/>
  <c r="E42" i="8"/>
  <c r="I34" i="8"/>
  <c r="I33" i="8"/>
  <c r="I32" i="8"/>
  <c r="I31" i="8"/>
  <c r="I30" i="8"/>
  <c r="H29" i="8"/>
  <c r="I29" i="8" s="1"/>
  <c r="I28" i="8"/>
  <c r="I27" i="8"/>
  <c r="I26" i="8"/>
  <c r="H25" i="8"/>
  <c r="H43" i="8" s="1"/>
  <c r="E25" i="8"/>
  <c r="E43" i="8" s="1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42" i="8" s="1"/>
  <c r="I8" i="8"/>
  <c r="I7" i="8"/>
  <c r="I6" i="8"/>
  <c r="I5" i="8"/>
  <c r="I4" i="8"/>
  <c r="I3" i="8"/>
  <c r="I2" i="8"/>
  <c r="E114" i="7"/>
  <c r="E113" i="7"/>
  <c r="E112" i="7"/>
  <c r="E111" i="7"/>
  <c r="E110" i="7"/>
  <c r="E109" i="7"/>
  <c r="E108" i="7"/>
  <c r="E107" i="7"/>
  <c r="H102" i="7"/>
  <c r="E102" i="7"/>
  <c r="E101" i="7"/>
  <c r="E103" i="7" s="1"/>
  <c r="H99" i="7"/>
  <c r="H104" i="7" s="1"/>
  <c r="E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H71" i="7"/>
  <c r="I71" i="7" s="1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H49" i="7"/>
  <c r="I49" i="7" s="1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H12" i="7"/>
  <c r="H101" i="7" s="1"/>
  <c r="H103" i="7" s="1"/>
  <c r="I11" i="7"/>
  <c r="I10" i="7"/>
  <c r="I9" i="7"/>
  <c r="I8" i="7"/>
  <c r="I7" i="7"/>
  <c r="I6" i="7"/>
  <c r="I5" i="7"/>
  <c r="I4" i="7"/>
  <c r="I102" i="7" s="1"/>
  <c r="I3" i="7"/>
  <c r="I2" i="7"/>
  <c r="E114" i="6"/>
  <c r="H113" i="6"/>
  <c r="F113" i="6"/>
  <c r="E113" i="6"/>
  <c r="Q111" i="6"/>
  <c r="P111" i="6"/>
  <c r="P110" i="6"/>
  <c r="S109" i="6"/>
  <c r="S111" i="6" s="1"/>
  <c r="Q109" i="6"/>
  <c r="Q110" i="6" s="1"/>
  <c r="P109" i="6"/>
  <c r="O109" i="6"/>
  <c r="N109" i="6"/>
  <c r="T108" i="6"/>
  <c r="I108" i="6"/>
  <c r="T107" i="6"/>
  <c r="I107" i="6"/>
  <c r="T106" i="6"/>
  <c r="I106" i="6"/>
  <c r="T105" i="6"/>
  <c r="I105" i="6"/>
  <c r="T104" i="6"/>
  <c r="I104" i="6"/>
  <c r="T103" i="6"/>
  <c r="I103" i="6"/>
  <c r="T102" i="6"/>
  <c r="I102" i="6"/>
  <c r="T101" i="6"/>
  <c r="I101" i="6"/>
  <c r="T100" i="6"/>
  <c r="H100" i="6"/>
  <c r="I100" i="6" s="1"/>
  <c r="T99" i="6"/>
  <c r="I99" i="6"/>
  <c r="T98" i="6"/>
  <c r="I98" i="6"/>
  <c r="T97" i="6"/>
  <c r="I97" i="6"/>
  <c r="T96" i="6"/>
  <c r="I96" i="6"/>
  <c r="T95" i="6"/>
  <c r="I95" i="6"/>
  <c r="T94" i="6"/>
  <c r="I94" i="6"/>
  <c r="T93" i="6"/>
  <c r="I93" i="6"/>
  <c r="T92" i="6"/>
  <c r="I92" i="6"/>
  <c r="T91" i="6"/>
  <c r="I91" i="6"/>
  <c r="T90" i="6"/>
  <c r="I90" i="6"/>
  <c r="T89" i="6"/>
  <c r="I89" i="6"/>
  <c r="T88" i="6"/>
  <c r="I88" i="6"/>
  <c r="T87" i="6"/>
  <c r="I87" i="6"/>
  <c r="T86" i="6"/>
  <c r="I86" i="6"/>
  <c r="T85" i="6"/>
  <c r="I85" i="6"/>
  <c r="T84" i="6"/>
  <c r="I84" i="6"/>
  <c r="T83" i="6"/>
  <c r="I83" i="6"/>
  <c r="T82" i="6"/>
  <c r="I82" i="6"/>
  <c r="T81" i="6"/>
  <c r="I81" i="6"/>
  <c r="T80" i="6"/>
  <c r="I80" i="6"/>
  <c r="T79" i="6"/>
  <c r="I79" i="6"/>
  <c r="T78" i="6"/>
  <c r="I78" i="6"/>
  <c r="T77" i="6"/>
  <c r="I77" i="6"/>
  <c r="T76" i="6"/>
  <c r="I76" i="6"/>
  <c r="T75" i="6"/>
  <c r="I75" i="6"/>
  <c r="T74" i="6"/>
  <c r="I74" i="6"/>
  <c r="H74" i="6"/>
  <c r="T73" i="6"/>
  <c r="I73" i="6"/>
  <c r="T72" i="6"/>
  <c r="I72" i="6"/>
  <c r="T71" i="6"/>
  <c r="I71" i="6"/>
  <c r="T70" i="6"/>
  <c r="I70" i="6"/>
  <c r="T69" i="6"/>
  <c r="I69" i="6"/>
  <c r="T68" i="6"/>
  <c r="I68" i="6"/>
  <c r="T67" i="6"/>
  <c r="E67" i="6"/>
  <c r="R66" i="6"/>
  <c r="R109" i="6" s="1"/>
  <c r="I66" i="6"/>
  <c r="H66" i="6"/>
  <c r="T65" i="6"/>
  <c r="I65" i="6"/>
  <c r="T64" i="6"/>
  <c r="I64" i="6"/>
  <c r="T63" i="6"/>
  <c r="I63" i="6"/>
  <c r="T62" i="6"/>
  <c r="I62" i="6"/>
  <c r="T61" i="6"/>
  <c r="I61" i="6"/>
  <c r="T60" i="6"/>
  <c r="I60" i="6"/>
  <c r="T59" i="6"/>
  <c r="I59" i="6"/>
  <c r="T58" i="6"/>
  <c r="I58" i="6"/>
  <c r="T57" i="6"/>
  <c r="I57" i="6"/>
  <c r="T56" i="6"/>
  <c r="I56" i="6"/>
  <c r="T55" i="6"/>
  <c r="I55" i="6"/>
  <c r="T54" i="6"/>
  <c r="I54" i="6"/>
  <c r="T53" i="6"/>
  <c r="I53" i="6"/>
  <c r="T52" i="6"/>
  <c r="I52" i="6"/>
  <c r="T51" i="6"/>
  <c r="I51" i="6"/>
  <c r="T50" i="6"/>
  <c r="I50" i="6"/>
  <c r="T49" i="6"/>
  <c r="I49" i="6"/>
  <c r="T48" i="6"/>
  <c r="I48" i="6"/>
  <c r="T47" i="6"/>
  <c r="I47" i="6"/>
  <c r="T46" i="6"/>
  <c r="I46" i="6"/>
  <c r="T45" i="6"/>
  <c r="I45" i="6"/>
  <c r="T44" i="6"/>
  <c r="I44" i="6"/>
  <c r="I113" i="6" s="1"/>
  <c r="T43" i="6"/>
  <c r="I43" i="6"/>
  <c r="T42" i="6"/>
  <c r="I42" i="6"/>
  <c r="T41" i="6"/>
  <c r="I41" i="6"/>
  <c r="H41" i="6"/>
  <c r="T40" i="6"/>
  <c r="I40" i="6"/>
  <c r="T39" i="6"/>
  <c r="I39" i="6"/>
  <c r="T38" i="6"/>
  <c r="E38" i="6"/>
  <c r="I38" i="6" s="1"/>
  <c r="T37" i="6"/>
  <c r="I37" i="6"/>
  <c r="T36" i="6"/>
  <c r="I36" i="6"/>
  <c r="T35" i="6"/>
  <c r="I35" i="6"/>
  <c r="T34" i="6"/>
  <c r="I34" i="6"/>
  <c r="T33" i="6"/>
  <c r="I33" i="6"/>
  <c r="T32" i="6"/>
  <c r="I32" i="6"/>
  <c r="T31" i="6"/>
  <c r="I31" i="6"/>
  <c r="T30" i="6"/>
  <c r="I30" i="6"/>
  <c r="T29" i="6"/>
  <c r="I29" i="6"/>
  <c r="T28" i="6"/>
  <c r="I28" i="6"/>
  <c r="T27" i="6"/>
  <c r="I27" i="6"/>
  <c r="T26" i="6"/>
  <c r="I26" i="6"/>
  <c r="T25" i="6"/>
  <c r="I25" i="6"/>
  <c r="T24" i="6"/>
  <c r="H24" i="6"/>
  <c r="H115" i="6" s="1"/>
  <c r="I23" i="6"/>
  <c r="M23" i="6" s="1"/>
  <c r="T22" i="6"/>
  <c r="I22" i="6"/>
  <c r="T21" i="6"/>
  <c r="I21" i="6"/>
  <c r="T20" i="6"/>
  <c r="I20" i="6"/>
  <c r="T19" i="6"/>
  <c r="I19" i="6"/>
  <c r="T18" i="6"/>
  <c r="I18" i="6"/>
  <c r="T17" i="6"/>
  <c r="I17" i="6"/>
  <c r="T16" i="6"/>
  <c r="I16" i="6"/>
  <c r="T15" i="6"/>
  <c r="I15" i="6"/>
  <c r="T14" i="6"/>
  <c r="I14" i="6"/>
  <c r="T13" i="6"/>
  <c r="H13" i="6"/>
  <c r="H114" i="6" s="1"/>
  <c r="T12" i="6"/>
  <c r="H12" i="6"/>
  <c r="I12" i="6" s="1"/>
  <c r="T11" i="6"/>
  <c r="I11" i="6"/>
  <c r="T10" i="6"/>
  <c r="I10" i="6"/>
  <c r="T9" i="6"/>
  <c r="I9" i="6"/>
  <c r="T8" i="6"/>
  <c r="I8" i="6"/>
  <c r="T7" i="6"/>
  <c r="I7" i="6"/>
  <c r="T6" i="6"/>
  <c r="I6" i="6"/>
  <c r="T5" i="6"/>
  <c r="I5" i="6"/>
  <c r="T4" i="6"/>
  <c r="I4" i="6"/>
  <c r="T3" i="6"/>
  <c r="H3" i="6"/>
  <c r="H109" i="6" s="1"/>
  <c r="T2" i="6"/>
  <c r="I2" i="6"/>
  <c r="H102" i="5"/>
  <c r="H101" i="5"/>
  <c r="H100" i="5"/>
  <c r="F100" i="5"/>
  <c r="E100" i="5"/>
  <c r="S99" i="5"/>
  <c r="F99" i="5"/>
  <c r="F102" i="5" s="1"/>
  <c r="S96" i="5"/>
  <c r="S100" i="5" s="1"/>
  <c r="P96" i="5"/>
  <c r="P99" i="5" s="1"/>
  <c r="M96" i="5"/>
  <c r="E96" i="5"/>
  <c r="T95" i="5"/>
  <c r="I95" i="5"/>
  <c r="O94" i="5"/>
  <c r="O96" i="5" s="1"/>
  <c r="N94" i="5"/>
  <c r="T94" i="5" s="1"/>
  <c r="E94" i="5"/>
  <c r="I94" i="5" s="1"/>
  <c r="T93" i="5"/>
  <c r="I93" i="5"/>
  <c r="T92" i="5"/>
  <c r="I92" i="5"/>
  <c r="T91" i="5"/>
  <c r="I91" i="5"/>
  <c r="T90" i="5"/>
  <c r="I90" i="5"/>
  <c r="T89" i="5"/>
  <c r="I89" i="5"/>
  <c r="T88" i="5"/>
  <c r="I88" i="5"/>
  <c r="T87" i="5"/>
  <c r="I87" i="5"/>
  <c r="T86" i="5"/>
  <c r="I86" i="5"/>
  <c r="T85" i="5"/>
  <c r="E85" i="5"/>
  <c r="I85" i="5" s="1"/>
  <c r="T84" i="5"/>
  <c r="I84" i="5"/>
  <c r="T83" i="5"/>
  <c r="I83" i="5"/>
  <c r="T82" i="5"/>
  <c r="I82" i="5"/>
  <c r="T81" i="5"/>
  <c r="I81" i="5"/>
  <c r="T80" i="5"/>
  <c r="I80" i="5"/>
  <c r="T79" i="5"/>
  <c r="I79" i="5"/>
  <c r="T78" i="5"/>
  <c r="I78" i="5"/>
  <c r="T77" i="5"/>
  <c r="I77" i="5"/>
  <c r="T76" i="5"/>
  <c r="I76" i="5"/>
  <c r="T75" i="5"/>
  <c r="I75" i="5"/>
  <c r="T74" i="5"/>
  <c r="I74" i="5"/>
  <c r="T73" i="5"/>
  <c r="I73" i="5"/>
  <c r="T72" i="5"/>
  <c r="I72" i="5"/>
  <c r="T71" i="5"/>
  <c r="I71" i="5"/>
  <c r="T70" i="5"/>
  <c r="I70" i="5"/>
  <c r="T69" i="5"/>
  <c r="I69" i="5"/>
  <c r="T68" i="5"/>
  <c r="I68" i="5"/>
  <c r="T67" i="5"/>
  <c r="I67" i="5"/>
  <c r="T66" i="5"/>
  <c r="I66" i="5"/>
  <c r="T65" i="5"/>
  <c r="E65" i="5"/>
  <c r="I65" i="5" s="1"/>
  <c r="T64" i="5"/>
  <c r="I64" i="5"/>
  <c r="T63" i="5"/>
  <c r="I63" i="5"/>
  <c r="T62" i="5"/>
  <c r="I62" i="5"/>
  <c r="T61" i="5"/>
  <c r="I61" i="5"/>
  <c r="T60" i="5"/>
  <c r="I60" i="5"/>
  <c r="T59" i="5"/>
  <c r="I59" i="5"/>
  <c r="T58" i="5"/>
  <c r="I58" i="5"/>
  <c r="H58" i="5"/>
  <c r="T57" i="5"/>
  <c r="I57" i="5"/>
  <c r="T56" i="5"/>
  <c r="I56" i="5"/>
  <c r="T55" i="5"/>
  <c r="I55" i="5"/>
  <c r="E55" i="5"/>
  <c r="T54" i="5"/>
  <c r="I54" i="5"/>
  <c r="T53" i="5"/>
  <c r="I53" i="5"/>
  <c r="T52" i="5"/>
  <c r="I52" i="5"/>
  <c r="T51" i="5"/>
  <c r="I51" i="5"/>
  <c r="T50" i="5"/>
  <c r="I50" i="5"/>
  <c r="T49" i="5"/>
  <c r="I49" i="5"/>
  <c r="E49" i="5"/>
  <c r="E101" i="5" s="1"/>
  <c r="T48" i="5"/>
  <c r="I48" i="5"/>
  <c r="T47" i="5"/>
  <c r="I47" i="5"/>
  <c r="T46" i="5"/>
  <c r="I46" i="5"/>
  <c r="T45" i="5"/>
  <c r="I45" i="5"/>
  <c r="T44" i="5"/>
  <c r="I44" i="5"/>
  <c r="T43" i="5"/>
  <c r="I43" i="5"/>
  <c r="T42" i="5"/>
  <c r="I42" i="5"/>
  <c r="T41" i="5"/>
  <c r="I41" i="5"/>
  <c r="T40" i="5"/>
  <c r="I40" i="5"/>
  <c r="T39" i="5"/>
  <c r="I39" i="5"/>
  <c r="T38" i="5"/>
  <c r="I38" i="5"/>
  <c r="T37" i="5"/>
  <c r="H37" i="5"/>
  <c r="H103" i="5" s="1"/>
  <c r="T36" i="5"/>
  <c r="I36" i="5"/>
  <c r="T35" i="5"/>
  <c r="I35" i="5"/>
  <c r="T34" i="5"/>
  <c r="I34" i="5"/>
  <c r="T33" i="5"/>
  <c r="I33" i="5"/>
  <c r="T32" i="5"/>
  <c r="I32" i="5"/>
  <c r="T31" i="5"/>
  <c r="I31" i="5"/>
  <c r="T30" i="5"/>
  <c r="I30" i="5"/>
  <c r="I100" i="5" s="1"/>
  <c r="T29" i="5"/>
  <c r="I29" i="5"/>
  <c r="T28" i="5"/>
  <c r="I28" i="5"/>
  <c r="T27" i="5"/>
  <c r="I27" i="5"/>
  <c r="T26" i="5"/>
  <c r="I26" i="5"/>
  <c r="T25" i="5"/>
  <c r="I25" i="5"/>
  <c r="T24" i="5"/>
  <c r="I24" i="5"/>
  <c r="R23" i="5"/>
  <c r="R96" i="5" s="1"/>
  <c r="H23" i="5"/>
  <c r="H99" i="5" s="1"/>
  <c r="T22" i="5"/>
  <c r="I22" i="5"/>
  <c r="Q21" i="5"/>
  <c r="H21" i="5"/>
  <c r="H96" i="5" s="1"/>
  <c r="T20" i="5"/>
  <c r="I20" i="5"/>
  <c r="T19" i="5"/>
  <c r="I19" i="5"/>
  <c r="T18" i="5"/>
  <c r="I18" i="5"/>
  <c r="T17" i="5"/>
  <c r="I17" i="5"/>
  <c r="T16" i="5"/>
  <c r="I16" i="5"/>
  <c r="T15" i="5"/>
  <c r="I15" i="5"/>
  <c r="T14" i="5"/>
  <c r="I14" i="5"/>
  <c r="T13" i="5"/>
  <c r="I13" i="5"/>
  <c r="T12" i="5"/>
  <c r="I12" i="5"/>
  <c r="I101" i="5" s="1"/>
  <c r="T11" i="5"/>
  <c r="I11" i="5"/>
  <c r="T10" i="5"/>
  <c r="I10" i="5"/>
  <c r="T9" i="5"/>
  <c r="I9" i="5"/>
  <c r="T8" i="5"/>
  <c r="I8" i="5"/>
  <c r="H8" i="5"/>
  <c r="T7" i="5"/>
  <c r="I7" i="5"/>
  <c r="T6" i="5"/>
  <c r="I6" i="5"/>
  <c r="T5" i="5"/>
  <c r="I5" i="5"/>
  <c r="T4" i="5"/>
  <c r="I4" i="5"/>
  <c r="T3" i="5"/>
  <c r="I3" i="5"/>
  <c r="T2" i="5"/>
  <c r="I2" i="5"/>
  <c r="H96" i="4"/>
  <c r="E96" i="4"/>
  <c r="R95" i="4"/>
  <c r="H95" i="4"/>
  <c r="F95" i="4"/>
  <c r="E95" i="4"/>
  <c r="R94" i="4"/>
  <c r="E94" i="4"/>
  <c r="E97" i="4" s="1"/>
  <c r="R91" i="4"/>
  <c r="N91" i="4"/>
  <c r="T90" i="4"/>
  <c r="I90" i="4"/>
  <c r="T89" i="4"/>
  <c r="I89" i="4"/>
  <c r="T88" i="4"/>
  <c r="I88" i="4"/>
  <c r="T87" i="4"/>
  <c r="I87" i="4"/>
  <c r="T86" i="4"/>
  <c r="I86" i="4"/>
  <c r="T85" i="4"/>
  <c r="I85" i="4"/>
  <c r="M84" i="4"/>
  <c r="P84" i="4" s="1"/>
  <c r="T84" i="4" s="1"/>
  <c r="H84" i="4"/>
  <c r="I84" i="4" s="1"/>
  <c r="M83" i="4"/>
  <c r="I83" i="4"/>
  <c r="Q82" i="4"/>
  <c r="T82" i="4" s="1"/>
  <c r="M82" i="4"/>
  <c r="I82" i="4"/>
  <c r="M81" i="4"/>
  <c r="I81" i="4"/>
  <c r="T80" i="4"/>
  <c r="E80" i="4"/>
  <c r="I80" i="4" s="1"/>
  <c r="T79" i="4"/>
  <c r="I79" i="4"/>
  <c r="T78" i="4"/>
  <c r="I78" i="4"/>
  <c r="T77" i="4"/>
  <c r="I77" i="4"/>
  <c r="T76" i="4"/>
  <c r="I76" i="4"/>
  <c r="M75" i="4"/>
  <c r="T75" i="4" s="1"/>
  <c r="H75" i="4"/>
  <c r="I75" i="4" s="1"/>
  <c r="T74" i="4"/>
  <c r="I74" i="4"/>
  <c r="T73" i="4"/>
  <c r="I73" i="4"/>
  <c r="T72" i="4"/>
  <c r="I72" i="4"/>
  <c r="T71" i="4"/>
  <c r="I71" i="4"/>
  <c r="T70" i="4"/>
  <c r="I70" i="4"/>
  <c r="T69" i="4"/>
  <c r="S69" i="4"/>
  <c r="M69" i="4"/>
  <c r="I69" i="4"/>
  <c r="M68" i="4"/>
  <c r="H68" i="4"/>
  <c r="I68" i="4" s="1"/>
  <c r="T67" i="4"/>
  <c r="I67" i="4"/>
  <c r="T66" i="4"/>
  <c r="I66" i="4"/>
  <c r="T65" i="4"/>
  <c r="I65" i="4"/>
  <c r="Q64" i="4"/>
  <c r="T64" i="4" s="1"/>
  <c r="I64" i="4"/>
  <c r="T63" i="4"/>
  <c r="I63" i="4"/>
  <c r="T62" i="4"/>
  <c r="I62" i="4"/>
  <c r="T61" i="4"/>
  <c r="I61" i="4"/>
  <c r="N60" i="4"/>
  <c r="T60" i="4" s="1"/>
  <c r="I60" i="4"/>
  <c r="M59" i="4"/>
  <c r="I59" i="4"/>
  <c r="Q58" i="4"/>
  <c r="M58" i="4"/>
  <c r="I58" i="4"/>
  <c r="T57" i="4"/>
  <c r="I57" i="4"/>
  <c r="T56" i="4"/>
  <c r="I56" i="4"/>
  <c r="T55" i="4"/>
  <c r="I55" i="4"/>
  <c r="S54" i="4"/>
  <c r="T54" i="4" s="1"/>
  <c r="I54" i="4"/>
  <c r="S53" i="4"/>
  <c r="T53" i="4" s="1"/>
  <c r="I53" i="4"/>
  <c r="O52" i="4"/>
  <c r="T52" i="4" s="1"/>
  <c r="I52" i="4"/>
  <c r="T51" i="4"/>
  <c r="I51" i="4"/>
  <c r="O50" i="4"/>
  <c r="T50" i="4" s="1"/>
  <c r="I50" i="4"/>
  <c r="T49" i="4"/>
  <c r="I49" i="4"/>
  <c r="T48" i="4"/>
  <c r="I48" i="4"/>
  <c r="T47" i="4"/>
  <c r="I47" i="4"/>
  <c r="T46" i="4"/>
  <c r="I46" i="4"/>
  <c r="T45" i="4"/>
  <c r="I45" i="4"/>
  <c r="T44" i="4"/>
  <c r="I44" i="4"/>
  <c r="T43" i="4"/>
  <c r="I43" i="4"/>
  <c r="T42" i="4"/>
  <c r="I42" i="4"/>
  <c r="T41" i="4"/>
  <c r="I41" i="4"/>
  <c r="T40" i="4"/>
  <c r="I40" i="4"/>
  <c r="O39" i="4"/>
  <c r="M39" i="4"/>
  <c r="T39" i="4" s="1"/>
  <c r="I39" i="4"/>
  <c r="T38" i="4"/>
  <c r="I38" i="4"/>
  <c r="T37" i="4"/>
  <c r="I37" i="4"/>
  <c r="M36" i="4"/>
  <c r="T36" i="4" s="1"/>
  <c r="H36" i="4"/>
  <c r="T35" i="4"/>
  <c r="I35" i="4"/>
  <c r="T34" i="4"/>
  <c r="I34" i="4"/>
  <c r="H34" i="4"/>
  <c r="T33" i="4"/>
  <c r="I33" i="4"/>
  <c r="T32" i="4"/>
  <c r="I32" i="4"/>
  <c r="T31" i="4"/>
  <c r="I31" i="4"/>
  <c r="H31" i="4"/>
  <c r="T30" i="4"/>
  <c r="I30" i="4"/>
  <c r="T29" i="4"/>
  <c r="I29" i="4"/>
  <c r="T28" i="4"/>
  <c r="I28" i="4"/>
  <c r="T27" i="4"/>
  <c r="I27" i="4"/>
  <c r="T26" i="4"/>
  <c r="I26" i="4"/>
  <c r="T25" i="4"/>
  <c r="I25" i="4"/>
  <c r="T24" i="4"/>
  <c r="I24" i="4"/>
  <c r="T23" i="4"/>
  <c r="I23" i="4"/>
  <c r="T22" i="4"/>
  <c r="I22" i="4"/>
  <c r="T21" i="4"/>
  <c r="I21" i="4"/>
  <c r="T20" i="4"/>
  <c r="I20" i="4"/>
  <c r="O19" i="4"/>
  <c r="I19" i="4"/>
  <c r="T18" i="4"/>
  <c r="I18" i="4"/>
  <c r="T17" i="4"/>
  <c r="I17" i="4"/>
  <c r="T16" i="4"/>
  <c r="I16" i="4"/>
  <c r="T15" i="4"/>
  <c r="I15" i="4"/>
  <c r="T14" i="4"/>
  <c r="I14" i="4"/>
  <c r="T13" i="4"/>
  <c r="O13" i="4"/>
  <c r="H13" i="4"/>
  <c r="T12" i="4"/>
  <c r="I12" i="4"/>
  <c r="T11" i="4"/>
  <c r="I11" i="4"/>
  <c r="T10" i="4"/>
  <c r="I10" i="4"/>
  <c r="T9" i="4"/>
  <c r="I9" i="4"/>
  <c r="T8" i="4"/>
  <c r="I8" i="4"/>
  <c r="T7" i="4"/>
  <c r="I7" i="4"/>
  <c r="T6" i="4"/>
  <c r="I6" i="4"/>
  <c r="T5" i="4"/>
  <c r="I5" i="4"/>
  <c r="T4" i="4"/>
  <c r="I4" i="4"/>
  <c r="T3" i="4"/>
  <c r="I3" i="4"/>
  <c r="I96" i="4" s="1"/>
  <c r="T2" i="4"/>
  <c r="I2" i="4"/>
  <c r="H98" i="3"/>
  <c r="E98" i="3"/>
  <c r="H97" i="3"/>
  <c r="E97" i="3"/>
  <c r="H96" i="3"/>
  <c r="R95" i="3"/>
  <c r="Q95" i="3"/>
  <c r="P95" i="3"/>
  <c r="S92" i="3"/>
  <c r="I92" i="3"/>
  <c r="S91" i="3"/>
  <c r="I91" i="3"/>
  <c r="S90" i="3"/>
  <c r="I90" i="3"/>
  <c r="S89" i="3"/>
  <c r="I89" i="3"/>
  <c r="S88" i="3"/>
  <c r="I88" i="3"/>
  <c r="S87" i="3"/>
  <c r="I87" i="3"/>
  <c r="S86" i="3"/>
  <c r="I86" i="3"/>
  <c r="S85" i="3"/>
  <c r="I85" i="3"/>
  <c r="S84" i="3"/>
  <c r="I84" i="3"/>
  <c r="S83" i="3"/>
  <c r="I83" i="3"/>
  <c r="S82" i="3"/>
  <c r="I82" i="3"/>
  <c r="S81" i="3"/>
  <c r="I81" i="3"/>
  <c r="S80" i="3"/>
  <c r="I80" i="3"/>
  <c r="S79" i="3"/>
  <c r="I79" i="3"/>
  <c r="S78" i="3"/>
  <c r="I78" i="3"/>
  <c r="S77" i="3"/>
  <c r="I77" i="3"/>
  <c r="S76" i="3"/>
  <c r="I76" i="3"/>
  <c r="S75" i="3"/>
  <c r="I75" i="3"/>
  <c r="S74" i="3"/>
  <c r="I74" i="3"/>
  <c r="S73" i="3"/>
  <c r="I73" i="3"/>
  <c r="S72" i="3"/>
  <c r="I72" i="3"/>
  <c r="S71" i="3"/>
  <c r="O71" i="3"/>
  <c r="M71" i="3"/>
  <c r="I71" i="3"/>
  <c r="F71" i="3"/>
  <c r="O70" i="3"/>
  <c r="S70" i="3" s="1"/>
  <c r="M70" i="3"/>
  <c r="I70" i="3"/>
  <c r="F70" i="3"/>
  <c r="S69" i="3"/>
  <c r="O69" i="3"/>
  <c r="M69" i="3"/>
  <c r="I69" i="3"/>
  <c r="F69" i="3"/>
  <c r="R68" i="3"/>
  <c r="S68" i="3" s="1"/>
  <c r="Q68" i="3"/>
  <c r="M68" i="3"/>
  <c r="I68" i="3"/>
  <c r="F68" i="3"/>
  <c r="P67" i="3"/>
  <c r="S67" i="3" s="1"/>
  <c r="M67" i="3"/>
  <c r="I67" i="3"/>
  <c r="S66" i="3"/>
  <c r="I66" i="3"/>
  <c r="F66" i="3"/>
  <c r="E66" i="3"/>
  <c r="N65" i="3"/>
  <c r="S65" i="3" s="1"/>
  <c r="M65" i="3"/>
  <c r="I65" i="3"/>
  <c r="F65" i="3"/>
  <c r="N64" i="3"/>
  <c r="M64" i="3"/>
  <c r="S64" i="3" s="1"/>
  <c r="I64" i="3"/>
  <c r="F64" i="3"/>
  <c r="M63" i="3"/>
  <c r="I63" i="3"/>
  <c r="F63" i="3"/>
  <c r="M62" i="3"/>
  <c r="I62" i="3"/>
  <c r="F62" i="3"/>
  <c r="S61" i="3"/>
  <c r="F61" i="3"/>
  <c r="E61" i="3"/>
  <c r="I61" i="3" s="1"/>
  <c r="N60" i="3"/>
  <c r="S60" i="3" s="1"/>
  <c r="M60" i="3"/>
  <c r="I60" i="3"/>
  <c r="F60" i="3"/>
  <c r="S59" i="3"/>
  <c r="N59" i="3"/>
  <c r="M59" i="3"/>
  <c r="I59" i="3"/>
  <c r="F59" i="3"/>
  <c r="F58" i="3"/>
  <c r="E58" i="3"/>
  <c r="I58" i="3" s="1"/>
  <c r="P57" i="3"/>
  <c r="S57" i="3" s="1"/>
  <c r="M57" i="3"/>
  <c r="I57" i="3"/>
  <c r="F57" i="3"/>
  <c r="M56" i="3"/>
  <c r="P56" i="3" s="1"/>
  <c r="Q56" i="3" s="1"/>
  <c r="I56" i="3"/>
  <c r="F56" i="3"/>
  <c r="E56" i="3"/>
  <c r="M55" i="3"/>
  <c r="N55" i="3" s="1"/>
  <c r="I55" i="3"/>
  <c r="F55" i="3"/>
  <c r="S54" i="3"/>
  <c r="F54" i="3"/>
  <c r="E54" i="3"/>
  <c r="I54" i="3" s="1"/>
  <c r="M53" i="3"/>
  <c r="I53" i="3"/>
  <c r="N53" i="3" s="1"/>
  <c r="S53" i="3" s="1"/>
  <c r="O52" i="3"/>
  <c r="M52" i="3"/>
  <c r="I52" i="3"/>
  <c r="F52" i="3"/>
  <c r="R51" i="3"/>
  <c r="M51" i="3"/>
  <c r="S51" i="3" s="1"/>
  <c r="I51" i="3"/>
  <c r="F51" i="3"/>
  <c r="S50" i="3"/>
  <c r="F50" i="3"/>
  <c r="E50" i="3"/>
  <c r="I50" i="3" s="1"/>
  <c r="M49" i="3"/>
  <c r="S49" i="3" s="1"/>
  <c r="I49" i="3"/>
  <c r="N49" i="3" s="1"/>
  <c r="F49" i="3"/>
  <c r="S48" i="3"/>
  <c r="P48" i="3"/>
  <c r="M48" i="3"/>
  <c r="I48" i="3"/>
  <c r="F48" i="3"/>
  <c r="N47" i="3"/>
  <c r="S47" i="3" s="1"/>
  <c r="M47" i="3"/>
  <c r="I47" i="3"/>
  <c r="F47" i="3"/>
  <c r="S46" i="3"/>
  <c r="I46" i="3"/>
  <c r="F46" i="3"/>
  <c r="R45" i="3"/>
  <c r="S45" i="3" s="1"/>
  <c r="M45" i="3"/>
  <c r="I45" i="3"/>
  <c r="F45" i="3"/>
  <c r="S44" i="3"/>
  <c r="F44" i="3"/>
  <c r="E44" i="3"/>
  <c r="I44" i="3" s="1"/>
  <c r="S43" i="3"/>
  <c r="N43" i="3"/>
  <c r="M43" i="3"/>
  <c r="I43" i="3"/>
  <c r="F43" i="3"/>
  <c r="M42" i="3"/>
  <c r="I42" i="3"/>
  <c r="I97" i="3" s="1"/>
  <c r="F42" i="3"/>
  <c r="S41" i="3"/>
  <c r="N41" i="3"/>
  <c r="M41" i="3"/>
  <c r="I41" i="3"/>
  <c r="F41" i="3"/>
  <c r="O40" i="3"/>
  <c r="S40" i="3" s="1"/>
  <c r="M40" i="3"/>
  <c r="I40" i="3"/>
  <c r="F40" i="3"/>
  <c r="S39" i="3"/>
  <c r="O39" i="3"/>
  <c r="M39" i="3"/>
  <c r="I39" i="3"/>
  <c r="F39" i="3"/>
  <c r="S38" i="3"/>
  <c r="I38" i="3"/>
  <c r="E38" i="3"/>
  <c r="N37" i="3"/>
  <c r="M37" i="3"/>
  <c r="S37" i="3" s="1"/>
  <c r="I37" i="3"/>
  <c r="M36" i="3"/>
  <c r="N36" i="3" s="1"/>
  <c r="S36" i="3" s="1"/>
  <c r="I36" i="3"/>
  <c r="F36" i="3"/>
  <c r="O35" i="3"/>
  <c r="M35" i="3"/>
  <c r="S35" i="3" s="1"/>
  <c r="I35" i="3"/>
  <c r="F35" i="3"/>
  <c r="S34" i="3"/>
  <c r="R34" i="3"/>
  <c r="M34" i="3"/>
  <c r="I34" i="3"/>
  <c r="F34" i="3"/>
  <c r="Q33" i="3"/>
  <c r="S33" i="3" s="1"/>
  <c r="F33" i="3"/>
  <c r="E33" i="3"/>
  <c r="I33" i="3" s="1"/>
  <c r="S32" i="3"/>
  <c r="N32" i="3"/>
  <c r="I32" i="3"/>
  <c r="F32" i="3"/>
  <c r="S31" i="3"/>
  <c r="E31" i="3"/>
  <c r="I31" i="3" s="1"/>
  <c r="N30" i="3"/>
  <c r="M30" i="3"/>
  <c r="S30" i="3" s="1"/>
  <c r="I30" i="3"/>
  <c r="O29" i="3"/>
  <c r="S29" i="3" s="1"/>
  <c r="M29" i="3"/>
  <c r="I29" i="3"/>
  <c r="F29" i="3"/>
  <c r="M28" i="3"/>
  <c r="N28" i="3" s="1"/>
  <c r="S28" i="3" s="1"/>
  <c r="I28" i="3"/>
  <c r="S27" i="3"/>
  <c r="E27" i="3"/>
  <c r="I27" i="3" s="1"/>
  <c r="M26" i="3"/>
  <c r="N26" i="3" s="1"/>
  <c r="I26" i="3"/>
  <c r="Q25" i="3"/>
  <c r="S25" i="3" s="1"/>
  <c r="M25" i="3"/>
  <c r="I25" i="3"/>
  <c r="F25" i="3"/>
  <c r="P24" i="3"/>
  <c r="M24" i="3"/>
  <c r="I24" i="3"/>
  <c r="R24" i="3" s="1"/>
  <c r="S24" i="3" s="1"/>
  <c r="H24" i="3"/>
  <c r="F24" i="3"/>
  <c r="M23" i="3"/>
  <c r="P23" i="3" s="1"/>
  <c r="H23" i="3"/>
  <c r="I23" i="3" s="1"/>
  <c r="F23" i="3"/>
  <c r="H22" i="3"/>
  <c r="F22" i="3"/>
  <c r="S21" i="3"/>
  <c r="I21" i="3"/>
  <c r="S20" i="3"/>
  <c r="I20" i="3"/>
  <c r="S19" i="3"/>
  <c r="R19" i="3"/>
  <c r="M19" i="3"/>
  <c r="I19" i="3"/>
  <c r="F19" i="3"/>
  <c r="R18" i="3"/>
  <c r="M18" i="3"/>
  <c r="I18" i="3"/>
  <c r="F18" i="3"/>
  <c r="S17" i="3"/>
  <c r="I17" i="3"/>
  <c r="F17" i="3"/>
  <c r="O16" i="3"/>
  <c r="S16" i="3" s="1"/>
  <c r="M16" i="3"/>
  <c r="I16" i="3"/>
  <c r="H16" i="3"/>
  <c r="F16" i="3"/>
  <c r="M15" i="3"/>
  <c r="S15" i="3" s="1"/>
  <c r="H15" i="3"/>
  <c r="I15" i="3" s="1"/>
  <c r="O14" i="3"/>
  <c r="S14" i="3" s="1"/>
  <c r="I14" i="3"/>
  <c r="S13" i="3"/>
  <c r="M13" i="3"/>
  <c r="H13" i="3"/>
  <c r="I13" i="3" s="1"/>
  <c r="M12" i="3"/>
  <c r="I12" i="3"/>
  <c r="H12" i="3"/>
  <c r="S11" i="3"/>
  <c r="I11" i="3"/>
  <c r="S10" i="3"/>
  <c r="I10" i="3"/>
  <c r="S9" i="3"/>
  <c r="I9" i="3"/>
  <c r="S8" i="3"/>
  <c r="I8" i="3"/>
  <c r="S7" i="3"/>
  <c r="I7" i="3"/>
  <c r="S6" i="3"/>
  <c r="I6" i="3"/>
  <c r="S5" i="3"/>
  <c r="I5" i="3"/>
  <c r="E5" i="3"/>
  <c r="S4" i="3"/>
  <c r="I4" i="3"/>
  <c r="S3" i="3"/>
  <c r="E3" i="3"/>
  <c r="S2" i="3"/>
  <c r="I2" i="3"/>
  <c r="H102" i="2"/>
  <c r="H101" i="2"/>
  <c r="H99" i="2"/>
  <c r="E99" i="2"/>
  <c r="R97" i="2"/>
  <c r="Q97" i="2"/>
  <c r="P97" i="2"/>
  <c r="H95" i="2"/>
  <c r="I94" i="2"/>
  <c r="S93" i="2"/>
  <c r="I93" i="2"/>
  <c r="S92" i="2"/>
  <c r="I92" i="2"/>
  <c r="S91" i="2"/>
  <c r="I91" i="2"/>
  <c r="S90" i="2"/>
  <c r="I90" i="2"/>
  <c r="S89" i="2"/>
  <c r="I89" i="2"/>
  <c r="S88" i="2"/>
  <c r="I88" i="2"/>
  <c r="S87" i="2"/>
  <c r="I87" i="2"/>
  <c r="S86" i="2"/>
  <c r="I86" i="2"/>
  <c r="S85" i="2"/>
  <c r="I85" i="2"/>
  <c r="S84" i="2"/>
  <c r="I84" i="2"/>
  <c r="S83" i="2"/>
  <c r="I83" i="2"/>
  <c r="S82" i="2"/>
  <c r="I82" i="2"/>
  <c r="S81" i="2"/>
  <c r="I81" i="2"/>
  <c r="S80" i="2"/>
  <c r="I80" i="2"/>
  <c r="S79" i="2"/>
  <c r="I79" i="2"/>
  <c r="S78" i="2"/>
  <c r="I78" i="2"/>
  <c r="S77" i="2"/>
  <c r="I77" i="2"/>
  <c r="S76" i="2"/>
  <c r="I76" i="2"/>
  <c r="S75" i="2"/>
  <c r="I75" i="2"/>
  <c r="S74" i="2"/>
  <c r="I74" i="2"/>
  <c r="S73" i="2"/>
  <c r="I73" i="2"/>
  <c r="S72" i="2"/>
  <c r="I72" i="2"/>
  <c r="S71" i="2"/>
  <c r="I71" i="2"/>
  <c r="S70" i="2"/>
  <c r="I70" i="2"/>
  <c r="S69" i="2"/>
  <c r="I69" i="2"/>
  <c r="S68" i="2"/>
  <c r="I68" i="2"/>
  <c r="S67" i="2"/>
  <c r="I67" i="2"/>
  <c r="S66" i="2"/>
  <c r="I66" i="2"/>
  <c r="S65" i="2"/>
  <c r="I65" i="2"/>
  <c r="S64" i="2"/>
  <c r="I64" i="2"/>
  <c r="S63" i="2"/>
  <c r="I63" i="2"/>
  <c r="S62" i="2"/>
  <c r="I62" i="2"/>
  <c r="S61" i="2"/>
  <c r="I61" i="2"/>
  <c r="S60" i="2"/>
  <c r="I60" i="2"/>
  <c r="S59" i="2"/>
  <c r="I59" i="2"/>
  <c r="S58" i="2"/>
  <c r="I58" i="2"/>
  <c r="S57" i="2"/>
  <c r="I57" i="2"/>
  <c r="F57" i="2"/>
  <c r="M56" i="2"/>
  <c r="I56" i="2"/>
  <c r="F56" i="2"/>
  <c r="Q55" i="2"/>
  <c r="M55" i="2"/>
  <c r="S55" i="2" s="1"/>
  <c r="I55" i="2"/>
  <c r="F55" i="2"/>
  <c r="O52" i="2"/>
  <c r="M52" i="2"/>
  <c r="I52" i="2"/>
  <c r="F52" i="2"/>
  <c r="M51" i="2"/>
  <c r="O51" i="2" s="1"/>
  <c r="S51" i="2" s="1"/>
  <c r="I51" i="2"/>
  <c r="F51" i="2"/>
  <c r="E51" i="2"/>
  <c r="F50" i="2"/>
  <c r="E50" i="2"/>
  <c r="M50" i="2" s="1"/>
  <c r="S49" i="2"/>
  <c r="I49" i="2"/>
  <c r="F49" i="2"/>
  <c r="N48" i="2"/>
  <c r="S48" i="2" s="1"/>
  <c r="M48" i="2"/>
  <c r="I48" i="2"/>
  <c r="F48" i="2"/>
  <c r="S47" i="2"/>
  <c r="I47" i="2"/>
  <c r="F47" i="2"/>
  <c r="S46" i="2"/>
  <c r="I46" i="2"/>
  <c r="F46" i="2"/>
  <c r="M45" i="2"/>
  <c r="I45" i="2"/>
  <c r="F45" i="2"/>
  <c r="Q44" i="2"/>
  <c r="S44" i="2" s="1"/>
  <c r="M44" i="2"/>
  <c r="H44" i="2"/>
  <c r="I44" i="2" s="1"/>
  <c r="F44" i="2"/>
  <c r="F43" i="2"/>
  <c r="E43" i="2"/>
  <c r="Q43" i="2" s="1"/>
  <c r="S42" i="2"/>
  <c r="I42" i="2"/>
  <c r="F42" i="2"/>
  <c r="M41" i="2"/>
  <c r="I41" i="2"/>
  <c r="F41" i="2"/>
  <c r="S40" i="2"/>
  <c r="I40" i="2"/>
  <c r="F40" i="2"/>
  <c r="M39" i="2"/>
  <c r="N39" i="2" s="1"/>
  <c r="S39" i="2" s="1"/>
  <c r="I39" i="2"/>
  <c r="F39" i="2"/>
  <c r="P38" i="2"/>
  <c r="S38" i="2" s="1"/>
  <c r="I38" i="2"/>
  <c r="F38" i="2"/>
  <c r="P37" i="2"/>
  <c r="S37" i="2" s="1"/>
  <c r="I37" i="2"/>
  <c r="F37" i="2"/>
  <c r="S36" i="2"/>
  <c r="I36" i="2"/>
  <c r="F36" i="2"/>
  <c r="M35" i="2"/>
  <c r="N35" i="2" s="1"/>
  <c r="S35" i="2" s="1"/>
  <c r="I35" i="2"/>
  <c r="F35" i="2"/>
  <c r="S34" i="2"/>
  <c r="I34" i="2"/>
  <c r="F34" i="2"/>
  <c r="E34" i="2"/>
  <c r="E100" i="2" s="1"/>
  <c r="S33" i="2"/>
  <c r="I33" i="2"/>
  <c r="H33" i="2"/>
  <c r="F33" i="2"/>
  <c r="S32" i="2"/>
  <c r="I32" i="2"/>
  <c r="F32" i="2"/>
  <c r="M31" i="2"/>
  <c r="N31" i="2" s="1"/>
  <c r="S31" i="2" s="1"/>
  <c r="I31" i="2"/>
  <c r="F31" i="2"/>
  <c r="Q30" i="2"/>
  <c r="S30" i="2" s="1"/>
  <c r="M30" i="2"/>
  <c r="I30" i="2"/>
  <c r="F30" i="2"/>
  <c r="S29" i="2"/>
  <c r="H29" i="2"/>
  <c r="H100" i="2" s="1"/>
  <c r="F29" i="2"/>
  <c r="M28" i="2"/>
  <c r="N28" i="2" s="1"/>
  <c r="S28" i="2" s="1"/>
  <c r="I28" i="2"/>
  <c r="F28" i="2"/>
  <c r="M27" i="2"/>
  <c r="I27" i="2"/>
  <c r="F27" i="2"/>
  <c r="M26" i="2"/>
  <c r="F26" i="2"/>
  <c r="E26" i="2"/>
  <c r="I26" i="2" s="1"/>
  <c r="S25" i="2"/>
  <c r="O25" i="2"/>
  <c r="M25" i="2"/>
  <c r="I25" i="2"/>
  <c r="F25" i="2"/>
  <c r="S24" i="2"/>
  <c r="I24" i="2"/>
  <c r="F24" i="2"/>
  <c r="S23" i="2"/>
  <c r="I23" i="2"/>
  <c r="F23" i="2"/>
  <c r="S22" i="2"/>
  <c r="I22" i="2"/>
  <c r="F22" i="2"/>
  <c r="M21" i="2"/>
  <c r="I21" i="2"/>
  <c r="F21" i="2"/>
  <c r="E21" i="2"/>
  <c r="S20" i="2"/>
  <c r="I20" i="2"/>
  <c r="F20" i="2"/>
  <c r="N19" i="2"/>
  <c r="S19" i="2" s="1"/>
  <c r="M19" i="2"/>
  <c r="I19" i="2"/>
  <c r="F19" i="2"/>
  <c r="M18" i="2"/>
  <c r="N18" i="2" s="1"/>
  <c r="O18" i="2" s="1"/>
  <c r="I18" i="2"/>
  <c r="F18" i="2"/>
  <c r="M17" i="2"/>
  <c r="N17" i="2" s="1"/>
  <c r="S17" i="2" s="1"/>
  <c r="I17" i="2"/>
  <c r="F17" i="2"/>
  <c r="H16" i="2"/>
  <c r="M16" i="2" s="1"/>
  <c r="F16" i="2"/>
  <c r="E16" i="2"/>
  <c r="M15" i="2"/>
  <c r="I15" i="2"/>
  <c r="F15" i="2"/>
  <c r="S14" i="2"/>
  <c r="I14" i="2"/>
  <c r="F14" i="2"/>
  <c r="M13" i="2"/>
  <c r="I13" i="2"/>
  <c r="F13" i="2"/>
  <c r="N12" i="2"/>
  <c r="S12" i="2" s="1"/>
  <c r="M12" i="2"/>
  <c r="I12" i="2"/>
  <c r="F12" i="2"/>
  <c r="M11" i="2"/>
  <c r="Q11" i="2" s="1"/>
  <c r="S11" i="2" s="1"/>
  <c r="H11" i="2"/>
  <c r="I11" i="2" s="1"/>
  <c r="F11" i="2"/>
  <c r="Q10" i="2"/>
  <c r="M10" i="2"/>
  <c r="H10" i="2"/>
  <c r="I10" i="2" s="1"/>
  <c r="F10" i="2"/>
  <c r="E10" i="2"/>
  <c r="E95" i="2" s="1"/>
  <c r="M9" i="2"/>
  <c r="H9" i="2"/>
  <c r="I9" i="2" s="1"/>
  <c r="F9" i="2"/>
  <c r="S8" i="2"/>
  <c r="I8" i="2"/>
  <c r="F8" i="2"/>
  <c r="N7" i="2"/>
  <c r="S7" i="2" s="1"/>
  <c r="M7" i="2"/>
  <c r="I7" i="2"/>
  <c r="F7" i="2"/>
  <c r="S6" i="2"/>
  <c r="M6" i="2"/>
  <c r="N6" i="2" s="1"/>
  <c r="I6" i="2"/>
  <c r="F6" i="2"/>
  <c r="Q5" i="2"/>
  <c r="S5" i="2" s="1"/>
  <c r="M5" i="2"/>
  <c r="L5" i="2"/>
  <c r="H5" i="2"/>
  <c r="H98" i="2" s="1"/>
  <c r="F5" i="2"/>
  <c r="S4" i="2"/>
  <c r="R4" i="2"/>
  <c r="M4" i="2"/>
  <c r="I4" i="2"/>
  <c r="F4" i="2"/>
  <c r="S3" i="2"/>
  <c r="L3" i="2"/>
  <c r="I3" i="2"/>
  <c r="F3" i="2"/>
  <c r="N2" i="2"/>
  <c r="M2" i="2"/>
  <c r="L2" i="2"/>
  <c r="I2" i="2"/>
  <c r="I99" i="2" s="1"/>
  <c r="P68" i="4" l="1"/>
  <c r="P91" i="4" s="1"/>
  <c r="M91" i="4"/>
  <c r="T68" i="4"/>
  <c r="S18" i="2"/>
  <c r="T10" i="2"/>
  <c r="T95" i="2" s="1"/>
  <c r="S10" i="2"/>
  <c r="Q26" i="2"/>
  <c r="Q95" i="2" s="1"/>
  <c r="N41" i="2"/>
  <c r="S41" i="2" s="1"/>
  <c r="S42" i="3"/>
  <c r="R99" i="5"/>
  <c r="R100" i="5"/>
  <c r="T19" i="4"/>
  <c r="O91" i="4"/>
  <c r="F99" i="2"/>
  <c r="N13" i="2"/>
  <c r="N95" i="2" s="1"/>
  <c r="S27" i="2"/>
  <c r="M109" i="6"/>
  <c r="T23" i="6"/>
  <c r="F112" i="6"/>
  <c r="F115" i="6" s="1"/>
  <c r="Q96" i="5"/>
  <c r="T21" i="5"/>
  <c r="Q93" i="3"/>
  <c r="R110" i="6"/>
  <c r="R111" i="6"/>
  <c r="I40" i="8"/>
  <c r="N93" i="3"/>
  <c r="O50" i="2"/>
  <c r="O95" i="2" s="1"/>
  <c r="O22" i="3"/>
  <c r="S22" i="3" s="1"/>
  <c r="I22" i="3"/>
  <c r="I96" i="3" s="1"/>
  <c r="I99" i="3" s="1"/>
  <c r="S16" i="2"/>
  <c r="S56" i="2"/>
  <c r="N56" i="2"/>
  <c r="O62" i="3"/>
  <c r="S62" i="3" s="1"/>
  <c r="P16" i="2"/>
  <c r="Q45" i="2"/>
  <c r="S45" i="2"/>
  <c r="H91" i="4"/>
  <c r="I67" i="6"/>
  <c r="E112" i="6"/>
  <c r="E115" i="6" s="1"/>
  <c r="Q96" i="3"/>
  <c r="H98" i="4"/>
  <c r="I36" i="4"/>
  <c r="E103" i="5"/>
  <c r="E44" i="8"/>
  <c r="S18" i="3"/>
  <c r="T83" i="4"/>
  <c r="R9" i="2"/>
  <c r="R95" i="2" s="1"/>
  <c r="E93" i="3"/>
  <c r="I3" i="3"/>
  <c r="I98" i="3" s="1"/>
  <c r="S56" i="3"/>
  <c r="P15" i="2"/>
  <c r="P95" i="2" s="1"/>
  <c r="I95" i="4"/>
  <c r="M95" i="2"/>
  <c r="P21" i="2"/>
  <c r="S21" i="2" s="1"/>
  <c r="T59" i="4"/>
  <c r="E104" i="7"/>
  <c r="H44" i="8"/>
  <c r="H99" i="3"/>
  <c r="P27" i="2"/>
  <c r="H93" i="3"/>
  <c r="Q81" i="4"/>
  <c r="Q91" i="4" s="1"/>
  <c r="I5" i="2"/>
  <c r="I50" i="2"/>
  <c r="T23" i="5"/>
  <c r="P100" i="5"/>
  <c r="E109" i="6"/>
  <c r="I43" i="2"/>
  <c r="M43" i="2"/>
  <c r="S43" i="2" s="1"/>
  <c r="E98" i="2"/>
  <c r="E101" i="2" s="1"/>
  <c r="E102" i="2" s="1"/>
  <c r="S23" i="3"/>
  <c r="S26" i="3"/>
  <c r="S55" i="3"/>
  <c r="M58" i="3"/>
  <c r="H100" i="3"/>
  <c r="I109" i="6"/>
  <c r="H116" i="6"/>
  <c r="E40" i="8"/>
  <c r="E45" i="8" s="1"/>
  <c r="S110" i="6"/>
  <c r="I23" i="5"/>
  <c r="N96" i="5"/>
  <c r="I24" i="6"/>
  <c r="I12" i="7"/>
  <c r="I101" i="7" s="1"/>
  <c r="I103" i="7" s="1"/>
  <c r="F98" i="2"/>
  <c r="F101" i="2" s="1"/>
  <c r="F97" i="3"/>
  <c r="S91" i="4"/>
  <c r="S2" i="2"/>
  <c r="P12" i="3"/>
  <c r="T58" i="4"/>
  <c r="E99" i="5"/>
  <c r="E102" i="5" s="1"/>
  <c r="H112" i="6"/>
  <c r="H40" i="8"/>
  <c r="H45" i="8" s="1"/>
  <c r="F94" i="4"/>
  <c r="F97" i="4" s="1"/>
  <c r="N42" i="3"/>
  <c r="S59" i="4"/>
  <c r="S83" i="4"/>
  <c r="H94" i="4"/>
  <c r="I13" i="6"/>
  <c r="I114" i="6" s="1"/>
  <c r="I29" i="2"/>
  <c r="I100" i="2" s="1"/>
  <c r="I21" i="5"/>
  <c r="I99" i="5" s="1"/>
  <c r="I102" i="5" s="1"/>
  <c r="T66" i="6"/>
  <c r="I25" i="8"/>
  <c r="I43" i="8" s="1"/>
  <c r="I44" i="8" s="1"/>
  <c r="E91" i="4"/>
  <c r="E98" i="4" s="1"/>
  <c r="H97" i="4"/>
  <c r="I99" i="7"/>
  <c r="I104" i="7" s="1"/>
  <c r="I16" i="2"/>
  <c r="R63" i="3"/>
  <c r="S63" i="3" s="1"/>
  <c r="E96" i="3"/>
  <c r="E99" i="3" s="1"/>
  <c r="I13" i="4"/>
  <c r="I91" i="4" s="1"/>
  <c r="I37" i="5"/>
  <c r="I3" i="6"/>
  <c r="I112" i="6" s="1"/>
  <c r="Q98" i="2" l="1"/>
  <c r="Q99" i="2"/>
  <c r="T91" i="4"/>
  <c r="F98" i="4" s="1"/>
  <c r="R99" i="2"/>
  <c r="R98" i="2"/>
  <c r="Q94" i="4"/>
  <c r="Q95" i="4"/>
  <c r="I98" i="2"/>
  <c r="I101" i="2" s="1"/>
  <c r="S15" i="2"/>
  <c r="I95" i="2"/>
  <c r="S50" i="2"/>
  <c r="P93" i="3"/>
  <c r="S12" i="3"/>
  <c r="R58" i="3"/>
  <c r="R93" i="3" s="1"/>
  <c r="I96" i="5"/>
  <c r="I103" i="5" s="1"/>
  <c r="S13" i="2"/>
  <c r="S95" i="2" s="1"/>
  <c r="F102" i="2" s="1"/>
  <c r="S26" i="2"/>
  <c r="T81" i="4"/>
  <c r="E100" i="3"/>
  <c r="S94" i="4"/>
  <c r="S95" i="4"/>
  <c r="I45" i="8"/>
  <c r="I94" i="4"/>
  <c r="I97" i="4" s="1"/>
  <c r="I98" i="4" s="1"/>
  <c r="P98" i="2"/>
  <c r="P99" i="2"/>
  <c r="S9" i="2"/>
  <c r="Q97" i="3"/>
  <c r="M93" i="3"/>
  <c r="E116" i="6"/>
  <c r="P95" i="4"/>
  <c r="P94" i="4"/>
  <c r="I93" i="3"/>
  <c r="I100" i="3" s="1"/>
  <c r="O93" i="3"/>
  <c r="I115" i="6"/>
  <c r="I116" i="6" s="1"/>
  <c r="F96" i="3"/>
  <c r="F99" i="3" s="1"/>
  <c r="Q100" i="5"/>
  <c r="Q99" i="5"/>
  <c r="I102" i="2" l="1"/>
  <c r="R97" i="3"/>
  <c r="R96" i="3"/>
  <c r="S58" i="3"/>
  <c r="S93" i="3" s="1"/>
  <c r="F100" i="3" s="1"/>
  <c r="P97" i="3"/>
  <c r="P9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ID#AAACFwJ6I18
kandy guy    (2026-08-18 04:04:53)
107,500.00 Udeshika
322,500.00 Discount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XOOLI7iEord3vwIPfWuQwGqTS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75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ID#AAABqMWTcuI
kandy guy    (2025-08-29 02:49:38)
2nd payment 28/08/2025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pfo0IxATzG7R7CnUyZnwq6f/p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2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ID#AAABN0XJr8Y
Keerthie Maruthapillai    (2024-05-20 03:39:55)
3300000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uuxiGGr0skSDLOMsZC4VsFdro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3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ID#AAABN0XJr8U
tc={18370C67-EF48-417C-AADA-44EE66845CF3}    (2024-05-20 03:39:55)
[Threaded comment]
Your version of Excel allows you to read this threaded comment; however, any edits to it will get removed if the file is opened in a newer version of Excel. Learn more: https://go.microsoft.com/fwlink/?linkid=870924
Comment:
    In the invoice its backdated to Sep 30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3vm6InIwAqIfrHYvOFu23EmocQ=="/>
    </ext>
  </extLst>
</comments>
</file>

<file path=xl/sharedStrings.xml><?xml version="1.0" encoding="utf-8"?>
<sst xmlns="http://schemas.openxmlformats.org/spreadsheetml/2006/main" count="2734" uniqueCount="1670">
  <si>
    <t>Inv Date</t>
  </si>
  <si>
    <t>Details</t>
  </si>
  <si>
    <t>Customer Name</t>
  </si>
  <si>
    <t>Invoice No</t>
  </si>
  <si>
    <t>invoice Amt</t>
  </si>
  <si>
    <t>Sent Date</t>
  </si>
  <si>
    <t>Payment Date</t>
  </si>
  <si>
    <t>Payment Amt</t>
  </si>
  <si>
    <t>To be Received</t>
  </si>
  <si>
    <t>Payment Ref</t>
  </si>
  <si>
    <t>Incoice For</t>
  </si>
  <si>
    <t>Rev Month</t>
  </si>
  <si>
    <t>C7 Booking</t>
  </si>
  <si>
    <t>Keerthie</t>
  </si>
  <si>
    <t>Sherden</t>
  </si>
  <si>
    <t>Theeban</t>
  </si>
  <si>
    <t>Chaminda</t>
  </si>
  <si>
    <t>Jeyandran</t>
  </si>
  <si>
    <t>Receivable</t>
  </si>
  <si>
    <t>Shearwater - Property Management Jan 2026</t>
  </si>
  <si>
    <t>Shearwater Pvt Ltd</t>
  </si>
  <si>
    <t>C2026001L</t>
  </si>
  <si>
    <t>C7 Management</t>
  </si>
  <si>
    <t>SMB Finance PLC - Parking Jan 2026 (6 slots)</t>
  </si>
  <si>
    <t>SMB Finance PLC</t>
  </si>
  <si>
    <t>C2026002L</t>
  </si>
  <si>
    <t>SD6846002</t>
  </si>
  <si>
    <t>Car Park</t>
  </si>
  <si>
    <t>Brokerage Commission-Sale of House in Colombo-13</t>
  </si>
  <si>
    <t>Nafeesa</t>
  </si>
  <si>
    <t>C2026003L</t>
  </si>
  <si>
    <t>SD1105117</t>
  </si>
  <si>
    <t>C7 Brokering</t>
  </si>
  <si>
    <t>Brokerage Commission-Apartment for Sale in Colombo-06</t>
  </si>
  <si>
    <t>Balasundaram</t>
  </si>
  <si>
    <t>C2026004L</t>
  </si>
  <si>
    <t>SD9966361</t>
  </si>
  <si>
    <t>Car Park Revenue Share for the Month of Jan 2026</t>
  </si>
  <si>
    <t>C2026005L</t>
  </si>
  <si>
    <t>SD936835</t>
  </si>
  <si>
    <t>Shearwater - Property Management Feb 2026</t>
  </si>
  <si>
    <t>C2026006L</t>
  </si>
  <si>
    <t>SMB Finance PLC - Parking Feb 2026 (6 slots)</t>
  </si>
  <si>
    <t>C2026007L</t>
  </si>
  <si>
    <t>SD8783310</t>
  </si>
  <si>
    <t>Brokerage Commission-Apartment for Rent in Prime Grand</t>
  </si>
  <si>
    <t>Dr.Samanmalee</t>
  </si>
  <si>
    <t>C2026008L</t>
  </si>
  <si>
    <t>SD3183691</t>
  </si>
  <si>
    <t>Brokerage Commission-Commercial Space for Rent in No.77, Park Street,Col-02</t>
  </si>
  <si>
    <t>Fernando Ventures Pvt Ltd</t>
  </si>
  <si>
    <t>C2026009L</t>
  </si>
  <si>
    <t>Brokerage Commission-Apartment for Sale in Battaramulla (C7-8520)</t>
  </si>
  <si>
    <t>Bhagya Awanthie</t>
  </si>
  <si>
    <t>C2026010L</t>
  </si>
  <si>
    <t>SD322306</t>
  </si>
  <si>
    <t>Car Park Revenue Share for the Month of Feb 2026</t>
  </si>
  <si>
    <t>C2026011L</t>
  </si>
  <si>
    <t>Shearwater - Property Management Mar 2026</t>
  </si>
  <si>
    <t>C2026012L</t>
  </si>
  <si>
    <t>SMB Finance PLC - Parking Mar 2026 (6 slots)</t>
  </si>
  <si>
    <t>C2026013L</t>
  </si>
  <si>
    <t>SD8594363</t>
  </si>
  <si>
    <t>Brokerage Commission-Commercial Space for Rent in Col-04 (C7-9328)</t>
  </si>
  <si>
    <t>Mr.Balasubramaiyam</t>
  </si>
  <si>
    <t>C2026014L</t>
  </si>
  <si>
    <t>DC59955</t>
  </si>
  <si>
    <t>Brokerage Commission-Land for sale in Col-06 (C7-8892)</t>
  </si>
  <si>
    <t>Mr.Fernando</t>
  </si>
  <si>
    <t>C2026015L</t>
  </si>
  <si>
    <t>Car Park Revenue Share for the Month of Mar 2026</t>
  </si>
  <si>
    <t>C2026016L</t>
  </si>
  <si>
    <t>Brokerage Commission-Apartment for Rent in Sky Garden  (Ref: C7-0072)</t>
  </si>
  <si>
    <t>Alau</t>
  </si>
  <si>
    <t>C2026017L</t>
  </si>
  <si>
    <t>SD2397519</t>
  </si>
  <si>
    <t>Shearwater - Property Management Apr 2026</t>
  </si>
  <si>
    <t>C2026018L</t>
  </si>
  <si>
    <t>SMB Finance PLC - Parking Apr 2026 (6 slots)</t>
  </si>
  <si>
    <t>C2026019L</t>
  </si>
  <si>
    <t>SD9217040</t>
  </si>
  <si>
    <t>Brokerage Commission-Apartment for Sale in Tri-Zen  (Ref: C7-9347)</t>
  </si>
  <si>
    <t>Shehara</t>
  </si>
  <si>
    <t>C2026020L</t>
  </si>
  <si>
    <t>SD6753687</t>
  </si>
  <si>
    <t>Car Park Revenue Share for the Month of Apr 2026</t>
  </si>
  <si>
    <t>C2026021L</t>
  </si>
  <si>
    <t>Shearwater - Property Management May 2026</t>
  </si>
  <si>
    <t>C2026022L</t>
  </si>
  <si>
    <t>SMB Finance PLC - Parking May 2026 (6 slots)</t>
  </si>
  <si>
    <t>C2026023L</t>
  </si>
  <si>
    <t>SD4535392</t>
  </si>
  <si>
    <t>Apartment Booking 08-05-2026 to 10-05-2026</t>
  </si>
  <si>
    <t>Sugan</t>
  </si>
  <si>
    <t>C2026024L</t>
  </si>
  <si>
    <t>SD7481553</t>
  </si>
  <si>
    <t>Brokerage Commission-Apartment for Rent in Iconic Galaxy  (Ref: C7-9958)</t>
  </si>
  <si>
    <t>Gamage</t>
  </si>
  <si>
    <t>C2026025L</t>
  </si>
  <si>
    <t>SD5630268</t>
  </si>
  <si>
    <t>Brokerage Commission-Apartment for Rent in Vishnu Residencies  (Ref: C7-9886)</t>
  </si>
  <si>
    <t>Udayakumar</t>
  </si>
  <si>
    <t>C2026026L</t>
  </si>
  <si>
    <t>SD9218380</t>
  </si>
  <si>
    <t>Car Park Revenue Share for the Month of May 2026</t>
  </si>
  <si>
    <t>C2026027L</t>
  </si>
  <si>
    <t>State Mortage Bank - Parking May 2026 (6 slots)</t>
  </si>
  <si>
    <t>State Mortage Bank</t>
  </si>
  <si>
    <t>C2026028L</t>
  </si>
  <si>
    <t>SD540291</t>
  </si>
  <si>
    <t>Brokerage Commission-Apartment for Rent in Wellawatte (Ref: C7-9979)</t>
  </si>
  <si>
    <t>Nimalka</t>
  </si>
  <si>
    <t>C2026029L</t>
  </si>
  <si>
    <t>SD3047415</t>
  </si>
  <si>
    <t>Shearwater - Property Management June 2026</t>
  </si>
  <si>
    <t>C2026030L</t>
  </si>
  <si>
    <t>SMB Finance PLC - Parking June 2026 (6 slots)</t>
  </si>
  <si>
    <t>C2026031L</t>
  </si>
  <si>
    <t xml:space="preserve">State Mortage Bank - Parking June 2026 </t>
  </si>
  <si>
    <t>C2026032L</t>
  </si>
  <si>
    <t>SD7900676</t>
  </si>
  <si>
    <t>Car Park Revenue Share for the Month of Jun 2026</t>
  </si>
  <si>
    <t>C2026033L</t>
  </si>
  <si>
    <t>Shearwater - Property Management July 2026</t>
  </si>
  <si>
    <t>C2026034L</t>
  </si>
  <si>
    <t>SMB Finance PLC - Parking July 2026 (7 slots)</t>
  </si>
  <si>
    <t>C2026035L</t>
  </si>
  <si>
    <t>SD5685170</t>
  </si>
  <si>
    <t>Brokerage Commission-Apartment for Sale in The Heights (Ref: C7-10315)</t>
  </si>
  <si>
    <t>Fouzan</t>
  </si>
  <si>
    <t>C2026036L</t>
  </si>
  <si>
    <t>SD6404276/6283/7736</t>
  </si>
  <si>
    <t>Brokerage Commission-Apartment for Rent in Prime Castle (Ref: C7-10274)</t>
  </si>
  <si>
    <t>Buwani</t>
  </si>
  <si>
    <t>C2026037L</t>
  </si>
  <si>
    <t>SD4879708</t>
  </si>
  <si>
    <t>Car Park Revenue Share for the Month of Jul 2026</t>
  </si>
  <si>
    <t>C2026038L</t>
  </si>
  <si>
    <t xml:space="preserve">State Mortage Bank - Parking July 2026 </t>
  </si>
  <si>
    <t>C2026039L</t>
  </si>
  <si>
    <t>SD7517157</t>
  </si>
  <si>
    <t>Shearwater - Property Management Aug 2026</t>
  </si>
  <si>
    <t>C2026040L</t>
  </si>
  <si>
    <t>SMB Finance PLC - Parking Aug 2026 (7 slots)</t>
  </si>
  <si>
    <t>C2026041L</t>
  </si>
  <si>
    <t>SD6471845</t>
  </si>
  <si>
    <t>Brokerage Commission-Apartment for Sale in Brickgate (Ref: C7-8626)</t>
  </si>
  <si>
    <t>Hatton National Bank</t>
  </si>
  <si>
    <t>C2026042L</t>
  </si>
  <si>
    <t>DC115387</t>
  </si>
  <si>
    <t>Brokerage Commission-Apartment for Rent in Havelock City (C7-10385)</t>
  </si>
  <si>
    <t>Udeshika</t>
  </si>
  <si>
    <t>C2026043L</t>
  </si>
  <si>
    <t>SD3943607</t>
  </si>
  <si>
    <t>Brokerage Commission-Apartment for Sale at 43 By the Sea, Dehiwala (C7-9935)</t>
  </si>
  <si>
    <t>Prime Lands (Pvt) Ltd</t>
  </si>
  <si>
    <t>C2026044L</t>
  </si>
  <si>
    <t>Car Park Revenue Share for the Month of Aug 2026</t>
  </si>
  <si>
    <t>C2026045L</t>
  </si>
  <si>
    <t xml:space="preserve">State Mortage Bank - Parking Aug 2026 </t>
  </si>
  <si>
    <t>C2026046L</t>
  </si>
  <si>
    <t>C2026047L</t>
  </si>
  <si>
    <t>C2026048L</t>
  </si>
  <si>
    <t>Brokerage Commission-Apartment for Sale at Bosswell Residencies (Ref: C7-10718)</t>
  </si>
  <si>
    <t>Vedika Khosla</t>
  </si>
  <si>
    <t>C2026049L</t>
  </si>
  <si>
    <t xml:space="preserve">Brokerage Commission-Apartment for Sale at Cinnamon Life Suites Tower </t>
  </si>
  <si>
    <t>Water Front Properties (Pvt) Ltd</t>
  </si>
  <si>
    <t>C2026050L</t>
  </si>
  <si>
    <t>Brokerage Commission-Apartment for Rent in Kinrose Avenue  (Ref: C7-10572)</t>
  </si>
  <si>
    <t>C2026051L</t>
  </si>
  <si>
    <t>Car Park Revenue Share for the Month of Sep 2026</t>
  </si>
  <si>
    <t>C2026052L</t>
  </si>
  <si>
    <t xml:space="preserve">State Mortage Bank - Parking Sep 2026 </t>
  </si>
  <si>
    <t>C2026053L</t>
  </si>
  <si>
    <t>Brokerage Commission-Apartment for Rent in Marina Square  (Ref: C7-10713)</t>
  </si>
  <si>
    <t xml:space="preserve">Shehantha </t>
  </si>
  <si>
    <t>C2026054L</t>
  </si>
  <si>
    <t>C2026055L</t>
  </si>
  <si>
    <t>C2026056L</t>
  </si>
  <si>
    <t xml:space="preserve"> </t>
  </si>
  <si>
    <t>Total Revenue</t>
  </si>
  <si>
    <t>Received</t>
  </si>
  <si>
    <t>To Be Received</t>
  </si>
  <si>
    <t>Target 2026</t>
  </si>
  <si>
    <t>Remaing Target</t>
  </si>
  <si>
    <t>Achieved %</t>
  </si>
  <si>
    <t>Shearwater - Property Management January 2025</t>
  </si>
  <si>
    <t>C2025001L</t>
  </si>
  <si>
    <t>SD1737411</t>
  </si>
  <si>
    <t>SMB Finance PLC - Parking Januray 2025 (4 slots)</t>
  </si>
  <si>
    <t>C2025002L</t>
  </si>
  <si>
    <t>SD6866009</t>
  </si>
  <si>
    <t>Shearwater - Property Management Februray 2025</t>
  </si>
  <si>
    <t>C2025003L</t>
  </si>
  <si>
    <t>SMB Finance PLC - Parking Februray 2024 (5 slots)</t>
  </si>
  <si>
    <t>C2025004L-R1</t>
  </si>
  <si>
    <t>Sanath Silva - Parking January 2025</t>
  </si>
  <si>
    <t>Sanath Silva</t>
  </si>
  <si>
    <t>C2025005L</t>
  </si>
  <si>
    <t>DC4391</t>
  </si>
  <si>
    <t>Brokerage Commission-Sale of Apartment in Nugegoda (Ref: C7-6791)</t>
  </si>
  <si>
    <t>Chris</t>
  </si>
  <si>
    <t>C2025006L</t>
  </si>
  <si>
    <t>SD1169200</t>
  </si>
  <si>
    <t>Sanath Silva - Parking February 2025</t>
  </si>
  <si>
    <t>C2025007L</t>
  </si>
  <si>
    <t>DC16903</t>
  </si>
  <si>
    <t>Shearwater - Property Management March 2025</t>
  </si>
  <si>
    <t>C2025008L</t>
  </si>
  <si>
    <t>SMB Finance PLC - Parking March 2025 (5 slots)</t>
  </si>
  <si>
    <t>C2025009L</t>
  </si>
  <si>
    <t>SD4108982</t>
  </si>
  <si>
    <t>Brokerage Commission-Sale of House in Boralesgamuwa</t>
  </si>
  <si>
    <t>Mahendra Kumara</t>
  </si>
  <si>
    <t>C2025010L</t>
  </si>
  <si>
    <t>SD6391466,SD6392584,SD6393969,SD6395083</t>
  </si>
  <si>
    <t>Brokerage Commission-Sale of Apartment in Col-02</t>
  </si>
  <si>
    <t>Sharon</t>
  </si>
  <si>
    <t>C2025011L</t>
  </si>
  <si>
    <t>SD8600550,SD8602103,SD9076544,SD9118879,SD9119901</t>
  </si>
  <si>
    <t>Brokerage Commission-Sale of House in Ekala (C7-6474)</t>
  </si>
  <si>
    <t>Deepal Mendis</t>
  </si>
  <si>
    <t>C2025012L-R1</t>
  </si>
  <si>
    <t>SD5679515,SD6102227</t>
  </si>
  <si>
    <t>Brokerage Commission - House Rental in Rajagiriya (Ref: C7-7730)</t>
  </si>
  <si>
    <t>Dinesh Martino</t>
  </si>
  <si>
    <t>C2025013L</t>
  </si>
  <si>
    <t>SD7495944</t>
  </si>
  <si>
    <t>Brokerage Commission-Rental of Apartment in Wattala (Ref: C7-5554)</t>
  </si>
  <si>
    <t>Chen YJ</t>
  </si>
  <si>
    <t>C2025014L</t>
  </si>
  <si>
    <t>SD2059204</t>
  </si>
  <si>
    <t>Brokerage Commission - Land Rental in Kaduwela (Ref: C7-0071)</t>
  </si>
  <si>
    <t>Shaveen</t>
  </si>
  <si>
    <t>C2025015L</t>
  </si>
  <si>
    <t>SD5842288</t>
  </si>
  <si>
    <t>Sanath Silva - Parking March 2025</t>
  </si>
  <si>
    <t>C2025016L</t>
  </si>
  <si>
    <t>DC17207</t>
  </si>
  <si>
    <t>Brokerage Commission - Apartment Rental in Col-05 (Ref: C7-0380)</t>
  </si>
  <si>
    <t>Panchali</t>
  </si>
  <si>
    <t>C2025017L</t>
  </si>
  <si>
    <t>SD4703645</t>
  </si>
  <si>
    <t>Brokerage Commission - House Rental in Nawala (Ref: C7-7786)</t>
  </si>
  <si>
    <t>Rinesh</t>
  </si>
  <si>
    <t>C2025018L</t>
  </si>
  <si>
    <t>SD1130313</t>
  </si>
  <si>
    <t>Shearwater - Property Management April 2025</t>
  </si>
  <si>
    <t>C2025019L</t>
  </si>
  <si>
    <t>SD3242360</t>
  </si>
  <si>
    <t>SMB Finance PLC - Parking April 2025 (5 slots)</t>
  </si>
  <si>
    <t>C2025020L</t>
  </si>
  <si>
    <t>SD6422592</t>
  </si>
  <si>
    <t>Brokerage Commission - House Rental in Malabe (Ref: C7-3098)</t>
  </si>
  <si>
    <t>Shane</t>
  </si>
  <si>
    <t>C2025021L</t>
  </si>
  <si>
    <t>SD1807073,SD7806052</t>
  </si>
  <si>
    <t>Brokerage Commission-Sale of Apartment in Col-02 (Ref: C7-7615)</t>
  </si>
  <si>
    <t>Pathman</t>
  </si>
  <si>
    <t>C2025022L</t>
  </si>
  <si>
    <t>SD8044538,SD6293728</t>
  </si>
  <si>
    <t>Brokerage Commission-Sale of Apartment in Dehiwala (Ref: C7-6405)</t>
  </si>
  <si>
    <t>Rafarook Rifath</t>
  </si>
  <si>
    <t>C2025023L-R1</t>
  </si>
  <si>
    <t>SD7987075</t>
  </si>
  <si>
    <t>Brokerage Commission-Sale of Apartment in Wattala (Ref: C7-6638)</t>
  </si>
  <si>
    <t>Tharaka</t>
  </si>
  <si>
    <t>C2025024L</t>
  </si>
  <si>
    <t>SD2350908</t>
  </si>
  <si>
    <t>Shearwater - Property Management May 2025</t>
  </si>
  <si>
    <t>C2025025L</t>
  </si>
  <si>
    <t>SMB Finance PLC - Parking May 2025 (6 slots)</t>
  </si>
  <si>
    <t>C2025026L</t>
  </si>
  <si>
    <t>SD4335914</t>
  </si>
  <si>
    <t>Car Park Revenue Share for the Month of April 2025</t>
  </si>
  <si>
    <t>C2025027L</t>
  </si>
  <si>
    <t>Teal Villa - Property Management May 2025</t>
  </si>
  <si>
    <t>Teal Villa</t>
  </si>
  <si>
    <t>C2025028L</t>
  </si>
  <si>
    <t>Shearwater - Property Management June 2025</t>
  </si>
  <si>
    <t>C2025029L</t>
  </si>
  <si>
    <t>SMB Finance PLC - Parking June 2025 (6 slots)</t>
  </si>
  <si>
    <t>C2025030L</t>
  </si>
  <si>
    <t>SD9248851</t>
  </si>
  <si>
    <t>Car Park Revenue Share for the Month of May 2025</t>
  </si>
  <si>
    <t>C2025031L</t>
  </si>
  <si>
    <t>Brokerage Commission-Sale of Apartment in Negombo (Ref: C7-7781)</t>
  </si>
  <si>
    <t>Afthab Azeez</t>
  </si>
  <si>
    <t>C2025032L</t>
  </si>
  <si>
    <t>SD1448827</t>
  </si>
  <si>
    <t>Brokerage Commission-Sale of Apartment in Dehiwala (Ref: C7-7537)</t>
  </si>
  <si>
    <t>A.A.Azeez</t>
  </si>
  <si>
    <t>C2025033L</t>
  </si>
  <si>
    <t>SD6761012</t>
  </si>
  <si>
    <t>Teal Villa - Property Management June 2025</t>
  </si>
  <si>
    <t>C2025034L</t>
  </si>
  <si>
    <t>SD8998598</t>
  </si>
  <si>
    <t>Car Park Revenue Share for the Month of June 2025</t>
  </si>
  <si>
    <t>C2025035L</t>
  </si>
  <si>
    <t>Shearwater - Property Management July 2025</t>
  </si>
  <si>
    <t>C2025036L</t>
  </si>
  <si>
    <t>SMB Finance PLC - Parking July 2025 (6 slots)</t>
  </si>
  <si>
    <t>C2025037L</t>
  </si>
  <si>
    <t>SD6997559</t>
  </si>
  <si>
    <t>Booking Commission</t>
  </si>
  <si>
    <t>C2025038L</t>
  </si>
  <si>
    <t>SD3955876</t>
  </si>
  <si>
    <t>Booking Senthu (3 Night x USD 74.26)</t>
  </si>
  <si>
    <t>C2025039L</t>
  </si>
  <si>
    <t>SD3957132</t>
  </si>
  <si>
    <t>Booking Arafath (2 Night x USD 55)</t>
  </si>
  <si>
    <t>C2025040L</t>
  </si>
  <si>
    <t>SD1350673</t>
  </si>
  <si>
    <t>Car Park Revenue Share for the Month of July 2025</t>
  </si>
  <si>
    <t>C2025041L</t>
  </si>
  <si>
    <t>Shearwater - Property Management Aug 2025</t>
  </si>
  <si>
    <t>C2025042L</t>
  </si>
  <si>
    <t>SMB Finance PLC - Parking Aug 2025 (6 slots)</t>
  </si>
  <si>
    <t>C2025043L</t>
  </si>
  <si>
    <t>SD236765</t>
  </si>
  <si>
    <t>Brokerage Commission-Commercial Space for Rent in Col-04,</t>
  </si>
  <si>
    <t>C2025044L</t>
  </si>
  <si>
    <t>SD7647627</t>
  </si>
  <si>
    <t>Parking charges from 22st Aug to 29th Aug 2025</t>
  </si>
  <si>
    <t>State mortage Bank</t>
  </si>
  <si>
    <t>C2025045L</t>
  </si>
  <si>
    <t>SD8539049</t>
  </si>
  <si>
    <t>Car Park Revenue Share for the Month of Aug 2025</t>
  </si>
  <si>
    <t>C2025046L</t>
  </si>
  <si>
    <t>Brokerage Commission-Sale of Apartment in Dehiwala (Ref: C7-7978)</t>
  </si>
  <si>
    <t>Pradeep</t>
  </si>
  <si>
    <t>C2025047L</t>
  </si>
  <si>
    <t>SD6656127</t>
  </si>
  <si>
    <t>Shearwater - Property Management September 2025</t>
  </si>
  <si>
    <t>C2025048L</t>
  </si>
  <si>
    <t>SMB Finance PLC - Parking Sep 2025 (6 slots)</t>
  </si>
  <si>
    <t>C2025049L</t>
  </si>
  <si>
    <t>Brokerage Commission-Apartment for Rent in Elvitigala Flats</t>
  </si>
  <si>
    <t>Pradeeban</t>
  </si>
  <si>
    <t>C2025050L</t>
  </si>
  <si>
    <t>SD9033469/SD9035056</t>
  </si>
  <si>
    <t>Teal Villa - Property Management Sep 2025</t>
  </si>
  <si>
    <t>C2025051L</t>
  </si>
  <si>
    <t>SD6272483</t>
  </si>
  <si>
    <t>Shearwater - Property Management Oct 2025</t>
  </si>
  <si>
    <t>C2025052L</t>
  </si>
  <si>
    <t>SMB Finance PLC - Parking Oct 2025 (6 slots)</t>
  </si>
  <si>
    <t>C2025053L</t>
  </si>
  <si>
    <t>SD8049136</t>
  </si>
  <si>
    <t>Car Park Revenue Share for the Month of Sep 2025</t>
  </si>
  <si>
    <t>C2025054L</t>
  </si>
  <si>
    <t>Brokerage Commission-Apartment for Rent in Capital twin peaks  (Ref: C7-8800)</t>
  </si>
  <si>
    <t>Duke Sanji</t>
  </si>
  <si>
    <t>C2025055L</t>
  </si>
  <si>
    <t>SD8836262</t>
  </si>
  <si>
    <t>Brokerage Commission-Apartment for Rent in Colombo-06  (Ref: C7-8684)</t>
  </si>
  <si>
    <t>Umashini</t>
  </si>
  <si>
    <t>C2025056L</t>
  </si>
  <si>
    <t>SD4812239</t>
  </si>
  <si>
    <t>Brokerage Commission-Sale of Apartment in Mt.Lavinia (Ref: C7-8468)</t>
  </si>
  <si>
    <t>Susan</t>
  </si>
  <si>
    <t>C2025057L</t>
  </si>
  <si>
    <t>SD5150895</t>
  </si>
  <si>
    <t>Car Park Revenue Share for the Month of Oct 2025</t>
  </si>
  <si>
    <t>C2025058L</t>
  </si>
  <si>
    <t>Shearwater - Property Management Nov 2025</t>
  </si>
  <si>
    <t>C2025059L</t>
  </si>
  <si>
    <t>SMB Finance PLC - Parking Nov 2025 (6 slots)</t>
  </si>
  <si>
    <t>C2025060L</t>
  </si>
  <si>
    <t>SD751144</t>
  </si>
  <si>
    <t>Brokerage Commission-Sale of House in Colombo-06</t>
  </si>
  <si>
    <t>Karunarathne</t>
  </si>
  <si>
    <t>C2025061L</t>
  </si>
  <si>
    <t>DC22957</t>
  </si>
  <si>
    <t>Brokerage Commission-Sale of Land in Dehiwala (Ref: C7-8597)</t>
  </si>
  <si>
    <t>Chandralatha</t>
  </si>
  <si>
    <t>C2025062L</t>
  </si>
  <si>
    <t>DC20994</t>
  </si>
  <si>
    <t>Car Park Revenue Share for the Month of Nov 2025</t>
  </si>
  <si>
    <t>C2025063L</t>
  </si>
  <si>
    <t>Shearwater - Property Management Dec 2025</t>
  </si>
  <si>
    <t>C2025064L</t>
  </si>
  <si>
    <t>SMB Finance PLC - Parking Dec 2025 (6 slots)</t>
  </si>
  <si>
    <t>C2025065L</t>
  </si>
  <si>
    <t>SD1305521</t>
  </si>
  <si>
    <t>Brokerage Commission-Apartment for Rent in Colombo-03 (Ref: C7-8813)</t>
  </si>
  <si>
    <t>Abdul</t>
  </si>
  <si>
    <t>C2025066L</t>
  </si>
  <si>
    <t>DC9844393</t>
  </si>
  <si>
    <t xml:space="preserve">Brokerage Commission-Apartment for Sale in Mt-Lavinia-(Ref: C7-8144)
</t>
  </si>
  <si>
    <t>Lisa Gomes</t>
  </si>
  <si>
    <t>C2025067L</t>
  </si>
  <si>
    <t>SD8977305</t>
  </si>
  <si>
    <t>Teal Villa - Property Management Nov 2025</t>
  </si>
  <si>
    <t>C2025068L</t>
  </si>
  <si>
    <t>SD2922996</t>
  </si>
  <si>
    <t>C2025069L</t>
  </si>
  <si>
    <t>SD2923510</t>
  </si>
  <si>
    <t>Teal Villa - Property Management Dec 2025</t>
  </si>
  <si>
    <t>C2025070L</t>
  </si>
  <si>
    <t>SD1968504</t>
  </si>
  <si>
    <t>Car Park Revenue Share for the Month of Dec 2025</t>
  </si>
  <si>
    <t>C2025071L</t>
  </si>
  <si>
    <t>Target 2025</t>
  </si>
  <si>
    <t>Prem</t>
  </si>
  <si>
    <t>Shearwater - Property Management January 2024</t>
  </si>
  <si>
    <t>C2024001L</t>
  </si>
  <si>
    <t>SD8798120</t>
  </si>
  <si>
    <t>SMB Finance PLC - Parking January 2024</t>
  </si>
  <si>
    <t>C2024002L</t>
  </si>
  <si>
    <t>SD3673940</t>
  </si>
  <si>
    <t>Brokerage Commission - House Rental in Ratmalana (Ref: C7-4826)</t>
  </si>
  <si>
    <t xml:space="preserve">Mr Saman Fonseka </t>
  </si>
  <si>
    <t>C2024003L</t>
  </si>
  <si>
    <t>SD9097281</t>
  </si>
  <si>
    <t xml:space="preserve">Mrs Sharu </t>
  </si>
  <si>
    <t>C2024004L</t>
  </si>
  <si>
    <t>SD19310</t>
  </si>
  <si>
    <t>Brokerage Commission - Apartment Rental in Colombo 05 (Ref: C7-5187)</t>
  </si>
  <si>
    <t>Mr Dias Muthukuda</t>
  </si>
  <si>
    <t>C2024005L-R2</t>
  </si>
  <si>
    <t>SD864530</t>
  </si>
  <si>
    <t>Mr Thinesan</t>
  </si>
  <si>
    <t>C2024006L-R1</t>
  </si>
  <si>
    <t>Sanath Silva - Parking January 2024</t>
  </si>
  <si>
    <t>C2024007L</t>
  </si>
  <si>
    <t>DC6000</t>
  </si>
  <si>
    <t>I4T Labs Pvt Ltd - Parking January 2024</t>
  </si>
  <si>
    <t>S M Mowlana</t>
  </si>
  <si>
    <t>C2024008L</t>
  </si>
  <si>
    <t>SD2496836</t>
  </si>
  <si>
    <t>Brokerage Commission - House Rental in Colombo 5 (Ref: C7-0295)</t>
  </si>
  <si>
    <t>Ms Harshani</t>
  </si>
  <si>
    <t>C2024009L</t>
  </si>
  <si>
    <t>SD2237814</t>
  </si>
  <si>
    <t>Shearwater - Property Management February 2024</t>
  </si>
  <si>
    <t>C2024010L</t>
  </si>
  <si>
    <t>SMB Finance PLC - Parking February 2024</t>
  </si>
  <si>
    <t>C2024011L</t>
  </si>
  <si>
    <t>SD2909259</t>
  </si>
  <si>
    <t>Brokerage Commission- Apartment Rental in Colombo 05 (Ref: C7-0380)</t>
  </si>
  <si>
    <t>Ms.Panchali</t>
  </si>
  <si>
    <t>C2024012L</t>
  </si>
  <si>
    <t>SD3555535,SD5523929</t>
  </si>
  <si>
    <t>Sanath Silva - Parking February 2024</t>
  </si>
  <si>
    <t>C2024013L</t>
  </si>
  <si>
    <t>DC10298</t>
  </si>
  <si>
    <t>I4T Labs Pvt Ltd - Parking February 2024</t>
  </si>
  <si>
    <t>C2024014L</t>
  </si>
  <si>
    <t>SD460292</t>
  </si>
  <si>
    <t>Shearwater - Property Management March 2024</t>
  </si>
  <si>
    <t>C2024015L</t>
  </si>
  <si>
    <t>SMB Finance PLC - Parking March 2024</t>
  </si>
  <si>
    <t>C2024016L</t>
  </si>
  <si>
    <t>SD2097140</t>
  </si>
  <si>
    <t>Brokerage Commission- Sale of House in Dalupotha - Negombo (Ref: C7-1900)</t>
  </si>
  <si>
    <t>Ms.Bodaguru Mary Rose David</t>
  </si>
  <si>
    <t>C2024017L</t>
  </si>
  <si>
    <t>SD7598262</t>
  </si>
  <si>
    <t>Brokerage Commission- Apartment Rental in Castle Residencies (Ref: C7-4957)</t>
  </si>
  <si>
    <t>Ms Ramona</t>
  </si>
  <si>
    <t>C2024018L</t>
  </si>
  <si>
    <t>SD9737958</t>
  </si>
  <si>
    <t>Sanath Silva - Parking March 2024</t>
  </si>
  <si>
    <t>C2024019L</t>
  </si>
  <si>
    <t>DC2483</t>
  </si>
  <si>
    <t>I4T Labs Pvt Ltd - Parking March 2024</t>
  </si>
  <si>
    <t>C2024020L</t>
  </si>
  <si>
    <t>Shearwater - Property Management April 2024</t>
  </si>
  <si>
    <t>C2024021L</t>
  </si>
  <si>
    <t>SD4237911</t>
  </si>
  <si>
    <t>SMB Finance PLC - Parking April 2024</t>
  </si>
  <si>
    <t>C2024022L</t>
  </si>
  <si>
    <t>SD2295339</t>
  </si>
  <si>
    <t>Brokerage Commission- House For Sale in Ja-Ela (Ref: C7-4972)</t>
  </si>
  <si>
    <t>Ms.Renuka Jayawardhana</t>
  </si>
  <si>
    <t>C2024023L</t>
  </si>
  <si>
    <t>SD66510</t>
  </si>
  <si>
    <t>Brokerage Commission- Apartment for Rent in Uswetakeiyawa (Ref: C7-5585)</t>
  </si>
  <si>
    <t>Ms. Shiro</t>
  </si>
  <si>
    <t>C2024024L</t>
  </si>
  <si>
    <t>SD2486813</t>
  </si>
  <si>
    <t>Sanath Silva - Parking April 2024</t>
  </si>
  <si>
    <t>C2024025L</t>
  </si>
  <si>
    <t>DC15716</t>
  </si>
  <si>
    <t>I4T Labs Pvt Ltd - Parking April 2024</t>
  </si>
  <si>
    <t>C2024026L</t>
  </si>
  <si>
    <t>Shearwater - Property Management May 2024</t>
  </si>
  <si>
    <t>C2024027L</t>
  </si>
  <si>
    <t>SMB Finance PLC - Parking May 2024</t>
  </si>
  <si>
    <t>C2024028L</t>
  </si>
  <si>
    <t>SD3991284</t>
  </si>
  <si>
    <t>Brokerage Commission- Rental of House in Colombo 05 (Ref: C7-5762)</t>
  </si>
  <si>
    <t>Mr.Derrick</t>
  </si>
  <si>
    <t>C2024029L</t>
  </si>
  <si>
    <t>Brokerage Commission- Sale of Land in Mount Lavinia (Ref: C7-2346)</t>
  </si>
  <si>
    <t>Mr. Dharshana</t>
  </si>
  <si>
    <t>C2024030L-R1</t>
  </si>
  <si>
    <t>SD5381499,SD5382278</t>
  </si>
  <si>
    <t>Brokerage Commission- Rental of Apartment in Thalawathugoda (Ref: C7-5852)</t>
  </si>
  <si>
    <t xml:space="preserve">Mr.Geoffrey Paul </t>
  </si>
  <si>
    <t>C2024031L</t>
  </si>
  <si>
    <t>SD7377048</t>
  </si>
  <si>
    <t>Brokerage Commission-Apartment Rental in Colombo 06 (Ref: C7-5592)</t>
  </si>
  <si>
    <t>Mr.C.M.G.Kroon</t>
  </si>
  <si>
    <t>C2024032L</t>
  </si>
  <si>
    <t>SD9282157</t>
  </si>
  <si>
    <t>Brokerage Commission-House for Sale in Colombo 06 (Ref: C7-5042)</t>
  </si>
  <si>
    <t>Mr.Cammerson Pathmaratnam</t>
  </si>
  <si>
    <t>C2024033L-R1</t>
  </si>
  <si>
    <t>SD9792528</t>
  </si>
  <si>
    <t>Brokerage Commission-House for Sale in  Rathmalana (Ref: C7-5802)</t>
  </si>
  <si>
    <t>Mr. Kannan Thiyagarajah</t>
  </si>
  <si>
    <t>C2024034L-R1</t>
  </si>
  <si>
    <t>SD9383185</t>
  </si>
  <si>
    <t>Brokerage Commission-Apartment for Rent in  Col-05 (Ref: C7-4769)</t>
  </si>
  <si>
    <t>Mr. Lalith Wasantha</t>
  </si>
  <si>
    <t>C2024035L</t>
  </si>
  <si>
    <t>SD7380756,SD7924843</t>
  </si>
  <si>
    <t>Brokerage Commission-House for Rent in Templers Court (Ref: C7-5424)</t>
  </si>
  <si>
    <t>Mr.Richard</t>
  </si>
  <si>
    <t>C2024036L</t>
  </si>
  <si>
    <t>SD5951715</t>
  </si>
  <si>
    <t>Car Park Management Commission Fee FY 23/24</t>
  </si>
  <si>
    <t>C2024037L</t>
  </si>
  <si>
    <t>Brokerage Commission-Apartment  for Rent in Elixia, Malabe (Ref: C7-5410)</t>
  </si>
  <si>
    <t>Mr.Namal Silva</t>
  </si>
  <si>
    <t>C2024038L</t>
  </si>
  <si>
    <t>SD9387053</t>
  </si>
  <si>
    <t>Sanath Silva - Parking May 2024</t>
  </si>
  <si>
    <t>C2024039L</t>
  </si>
  <si>
    <t>DC6123</t>
  </si>
  <si>
    <t>Shearwater - Property Management June2024</t>
  </si>
  <si>
    <t>C2024040L</t>
  </si>
  <si>
    <t>SMB Finance PLC - Parking June 2024</t>
  </si>
  <si>
    <t>C2024041L</t>
  </si>
  <si>
    <t>Sanath Silva - Parking June 2024</t>
  </si>
  <si>
    <t>C2024042L</t>
  </si>
  <si>
    <t>DC17383</t>
  </si>
  <si>
    <t>Shearwater - Property Management July 2024</t>
  </si>
  <si>
    <t>C2024043L</t>
  </si>
  <si>
    <t>SMB Finance PLC - Parking July 2024</t>
  </si>
  <si>
    <t>C2024044L</t>
  </si>
  <si>
    <t>SD3312139</t>
  </si>
  <si>
    <t>Brokerage Commission-House for Sale in Nagoda, Kandana (Ref: C7-3894)</t>
  </si>
  <si>
    <t>Mr.Vijay Kumara</t>
  </si>
  <si>
    <t>C2024045L</t>
  </si>
  <si>
    <t>Brokerage Commission-Apartment  for Rent in Patinum Suit (Ref: C7-6193)</t>
  </si>
  <si>
    <t>Mr.Wilson Soloman</t>
  </si>
  <si>
    <t>C2024046L</t>
  </si>
  <si>
    <t>SD4816438</t>
  </si>
  <si>
    <t>Shearwater - Property Management Auguest 2024</t>
  </si>
  <si>
    <t>C2024047L</t>
  </si>
  <si>
    <t>SMB Finance PLC - Parking August 2024</t>
  </si>
  <si>
    <t>C2024048L</t>
  </si>
  <si>
    <t>SD8154072</t>
  </si>
  <si>
    <t>Brokerage Commission-House  for Rent in Kumaragewatte  (Ref: C7-3175)</t>
  </si>
  <si>
    <t>Shyama</t>
  </si>
  <si>
    <t>C2024049L</t>
  </si>
  <si>
    <t>SD6189451</t>
  </si>
  <si>
    <t>Sanath Silva - Parking July 2024</t>
  </si>
  <si>
    <t>C2024050L</t>
  </si>
  <si>
    <t>DC13701</t>
  </si>
  <si>
    <t>Brokerage Commission-Apartment  for Rent in Trizen (Ref: C7-6122)</t>
  </si>
  <si>
    <t>Imran</t>
  </si>
  <si>
    <t>C2024051L</t>
  </si>
  <si>
    <t>SD164616</t>
  </si>
  <si>
    <t>Brokerage Commission-Apartment for Rent in Bambalapitiya  (Ref: C7-6172)</t>
  </si>
  <si>
    <t>Sachith</t>
  </si>
  <si>
    <t>C2024052L</t>
  </si>
  <si>
    <t>DC87882</t>
  </si>
  <si>
    <t>Brokerage Commission-Apartment for Rent in Castle Residencies (Ref: C7-6176)</t>
  </si>
  <si>
    <t>Roshan</t>
  </si>
  <si>
    <t>C2024053L</t>
  </si>
  <si>
    <t>SD4468441</t>
  </si>
  <si>
    <t>Shearwater - Property Management Sep 2024</t>
  </si>
  <si>
    <t>C2024054L</t>
  </si>
  <si>
    <t>SMB Finance PLC - Parking Sep 2024</t>
  </si>
  <si>
    <t>C2024055L</t>
  </si>
  <si>
    <t>Sanath Silva - Parking Aug 2024</t>
  </si>
  <si>
    <t>C2024056L</t>
  </si>
  <si>
    <t>DC4304</t>
  </si>
  <si>
    <t>Brokerage Commission-Warehouse Rental in Colombo-15</t>
  </si>
  <si>
    <t>Kala</t>
  </si>
  <si>
    <t>C2024057L</t>
  </si>
  <si>
    <t>‘Room for rent in Ransivi Lane, Colombo 04’</t>
  </si>
  <si>
    <t>Rifkan</t>
  </si>
  <si>
    <t>C2024058L</t>
  </si>
  <si>
    <t>SD3697114</t>
  </si>
  <si>
    <t>Shearwater - Property Management October 2024</t>
  </si>
  <si>
    <t>C2024059L</t>
  </si>
  <si>
    <t>SMB Finance PLC - Parking October 2024</t>
  </si>
  <si>
    <t>C2024060L</t>
  </si>
  <si>
    <t>SD7256140</t>
  </si>
  <si>
    <t>Sanath Silva - Parking September 2024</t>
  </si>
  <si>
    <t>C2024061L</t>
  </si>
  <si>
    <t>DC3194</t>
  </si>
  <si>
    <t>Sampath Rathnayake - Parking Oct 2024</t>
  </si>
  <si>
    <t>Sampath Rathnayake</t>
  </si>
  <si>
    <t>C2024062L</t>
  </si>
  <si>
    <t>SD1506225</t>
  </si>
  <si>
    <t>Prabath - Parking July 2024</t>
  </si>
  <si>
    <t>Prabath</t>
  </si>
  <si>
    <t>C2024063L</t>
  </si>
  <si>
    <t>Prabath - Parking Aug 2024</t>
  </si>
  <si>
    <t>C2024064L</t>
  </si>
  <si>
    <t>Prabath - Parking Sep 2024</t>
  </si>
  <si>
    <t>C2024065L</t>
  </si>
  <si>
    <t>SD582732</t>
  </si>
  <si>
    <t>Prabath - Parking Oct 2024</t>
  </si>
  <si>
    <t>C2024066L</t>
  </si>
  <si>
    <t>SD1485416</t>
  </si>
  <si>
    <t>Brokerage Commission-Apartment for Sale in Colombo 06 (Ref: C7-6532)</t>
  </si>
  <si>
    <t>Dharmasiri</t>
  </si>
  <si>
    <t>C2024067L</t>
  </si>
  <si>
    <t>DC23441</t>
  </si>
  <si>
    <t>Brokerage Commission-Apartment for Rent in Colombo 05 (Ref: C7-6619)</t>
  </si>
  <si>
    <t>Ranil Perera</t>
  </si>
  <si>
    <t>C2024068L</t>
  </si>
  <si>
    <t>SD6757523</t>
  </si>
  <si>
    <t>Sanath Silva - Parking October 2024</t>
  </si>
  <si>
    <t>C2024069L</t>
  </si>
  <si>
    <t>DC4687</t>
  </si>
  <si>
    <t>Shearwater - Property Management November 2024</t>
  </si>
  <si>
    <t>C2024070L</t>
  </si>
  <si>
    <t>SMB Finance PLC - Parking November 2024</t>
  </si>
  <si>
    <t>C2024071L</t>
  </si>
  <si>
    <t>Sampath Rathnayake - Parking Nov 2024</t>
  </si>
  <si>
    <t>C2024072L</t>
  </si>
  <si>
    <t>SD3695317</t>
  </si>
  <si>
    <t>Brokerage Commission-House for Rent in Arangala, Malabe (Ref: C7-6480)</t>
  </si>
  <si>
    <t>Dushan Soyza</t>
  </si>
  <si>
    <t>C2024073L</t>
  </si>
  <si>
    <t>SD8554767</t>
  </si>
  <si>
    <t>Brokerage Commission-Apartment for Sale in Negombo (Ref: C7-4770)</t>
  </si>
  <si>
    <t>Chaminda De Silva</t>
  </si>
  <si>
    <t>C2024074L</t>
  </si>
  <si>
    <t>SD8498081</t>
  </si>
  <si>
    <t>Brokerage Commission-Sale of Land in Dehiwala (Ref: C7-5270)</t>
  </si>
  <si>
    <t>Mr. Ikram</t>
  </si>
  <si>
    <t>C2024075L</t>
  </si>
  <si>
    <t>SD6762477</t>
  </si>
  <si>
    <t>Mr.Zukkur</t>
  </si>
  <si>
    <t>C2024076L</t>
  </si>
  <si>
    <t>DC29427</t>
  </si>
  <si>
    <t>Brokerage Commission-Rental of Apartment in Melbourne Heights (Ref: C7-7032)</t>
  </si>
  <si>
    <t>Mr. Mahdi Hassan</t>
  </si>
  <si>
    <t>C2024077L</t>
  </si>
  <si>
    <t>SD6517872</t>
  </si>
  <si>
    <t>Shearwater - Property Management December 2024</t>
  </si>
  <si>
    <t>C2024078L</t>
  </si>
  <si>
    <t>SMB Finance PLC - Parking December 2024</t>
  </si>
  <si>
    <t>C2024079L-R1</t>
  </si>
  <si>
    <t>SD4628629</t>
  </si>
  <si>
    <t>Brokerage Commission-Sale of House in Kandana (Ref: C7-3225)</t>
  </si>
  <si>
    <t>Shan Nanayakkara</t>
  </si>
  <si>
    <t>C2024080</t>
  </si>
  <si>
    <t>SD8132084</t>
  </si>
  <si>
    <t>Brokerage Commission-Sale of Apartment in Col-03 (Ref: C7-6784)</t>
  </si>
  <si>
    <t>D.M.Kalugampitiya</t>
  </si>
  <si>
    <t>C2024081-R1</t>
  </si>
  <si>
    <t>DC8981</t>
  </si>
  <si>
    <t xml:space="preserve">Brokerage Commission-Sale of Apartment in Nugegoda </t>
  </si>
  <si>
    <t>C2024082L</t>
  </si>
  <si>
    <t>SD301759</t>
  </si>
  <si>
    <t>Brokerage Commission-Sale of Apartment in Dehiwala (Ref: C7-6964)</t>
  </si>
  <si>
    <t>Gohulan</t>
  </si>
  <si>
    <t>C2024083L</t>
  </si>
  <si>
    <t>SD5505959,60</t>
  </si>
  <si>
    <t>Sanath Silva - Parking December 2024</t>
  </si>
  <si>
    <t>C2024084L</t>
  </si>
  <si>
    <t>DC7381</t>
  </si>
  <si>
    <t>Sanath Silva - Parking November 2024</t>
  </si>
  <si>
    <t>C2024085L</t>
  </si>
  <si>
    <t>DC10777</t>
  </si>
  <si>
    <t>Target 2024</t>
  </si>
  <si>
    <t>Shearwater - Property Management January -23</t>
  </si>
  <si>
    <t>C2023001L</t>
  </si>
  <si>
    <t>SD989357</t>
  </si>
  <si>
    <t>SMB Finance PLC - Parking January -23</t>
  </si>
  <si>
    <t>C2023002L</t>
  </si>
  <si>
    <t>SD5207309</t>
  </si>
  <si>
    <t>Brokerage Commission - Apartment Rental in Prime 194 Nugegoda (Ref: C7-0111)</t>
  </si>
  <si>
    <t xml:space="preserve">Mr. Harsha </t>
  </si>
  <si>
    <t>C2023003L</t>
  </si>
  <si>
    <t>SD2262982</t>
  </si>
  <si>
    <t>Brokerage Commission - Apartment Rental in Peterson Lane (Ref: C7-3086)</t>
  </si>
  <si>
    <t xml:space="preserve">Ms Nimalka </t>
  </si>
  <si>
    <t>C2023004L</t>
  </si>
  <si>
    <t>SD5169715</t>
  </si>
  <si>
    <t>Brokerage Commission - Apartment Rental in Sieble Avenue (Ref: C7-3300)</t>
  </si>
  <si>
    <t>Ms.Ruwanthi</t>
  </si>
  <si>
    <t>C2023005L</t>
  </si>
  <si>
    <t>SD6812835</t>
  </si>
  <si>
    <t>Brokerage Commission - Apartment Rental in Castle Street-Colombo 8 (Ref: C7-3369)</t>
  </si>
  <si>
    <t>Mr Prabakaran</t>
  </si>
  <si>
    <t>C2023006L</t>
  </si>
  <si>
    <t>SD9045420</t>
  </si>
  <si>
    <t>Brokerage Commission - Apartment Sale in Prime Edmonton Colombo 5 (Ref: C7-2996)</t>
  </si>
  <si>
    <t>Mr. Garuka</t>
  </si>
  <si>
    <t>C2023007L</t>
  </si>
  <si>
    <t>SD2326484, SD2327081, SD2327612</t>
  </si>
  <si>
    <t>Sanath Silva - Parking January 23</t>
  </si>
  <si>
    <t>C2023008L</t>
  </si>
  <si>
    <t>SD5163493</t>
  </si>
  <si>
    <t>Property Management - Documentation &amp; Bill Payments</t>
  </si>
  <si>
    <t>Mr. Christoper</t>
  </si>
  <si>
    <t>C2023009L-R1</t>
  </si>
  <si>
    <t>SD9235032</t>
  </si>
  <si>
    <t>Shearwater - Property Management February -23</t>
  </si>
  <si>
    <t>C2023010L</t>
  </si>
  <si>
    <t>SMB Finance PLC - Parking February -23</t>
  </si>
  <si>
    <t>C2023011L</t>
  </si>
  <si>
    <t>SD3861073</t>
  </si>
  <si>
    <t>Brokerage Commission - Apartment Rental in Kottawa (C7-0523)</t>
  </si>
  <si>
    <t>Mr.Hemakumara</t>
  </si>
  <si>
    <t>C2023012L</t>
  </si>
  <si>
    <t>DC44434</t>
  </si>
  <si>
    <t>Brokerage Commission - Apartment Rental in Trillium Residencies - Colombo 8 (Ref: C7-3511)</t>
  </si>
  <si>
    <t>Mr Krishnapillai</t>
  </si>
  <si>
    <t>C2023013L</t>
  </si>
  <si>
    <t>SD2150613</t>
  </si>
  <si>
    <t>Brokerage Commission - House Rental in Arangala (C7-1319)</t>
  </si>
  <si>
    <t>Mr.Dushan Soza</t>
  </si>
  <si>
    <t>C2023014L</t>
  </si>
  <si>
    <t>Brokerage Commission-Warehouse Rental in Colombo-14</t>
  </si>
  <si>
    <t>Mr.Rohana</t>
  </si>
  <si>
    <t>C2023015L</t>
  </si>
  <si>
    <t>DC24595</t>
  </si>
  <si>
    <t>Sanath Silva - Parking February 23</t>
  </si>
  <si>
    <t>C2023016L</t>
  </si>
  <si>
    <t>SD431671</t>
  </si>
  <si>
    <t>Property Management - 21-B1 Monarch &amp; 15B Sky Garden 2022</t>
  </si>
  <si>
    <t>Mr Alau Ali</t>
  </si>
  <si>
    <t>C2023017L</t>
  </si>
  <si>
    <t>SD5117736</t>
  </si>
  <si>
    <t>Shearwater - Property Management March -23</t>
  </si>
  <si>
    <t>C2023018L</t>
  </si>
  <si>
    <t>SMB Finance PLC - Parking March -23</t>
  </si>
  <si>
    <t>C2023019L</t>
  </si>
  <si>
    <t>SD1727449</t>
  </si>
  <si>
    <t xml:space="preserve">Brokerage Commission - Sale of Land in Hendala Road, Wattala (Ref:C7-1807)  </t>
  </si>
  <si>
    <t>Ms.Saduni Sasanka</t>
  </si>
  <si>
    <t>C2023020L</t>
  </si>
  <si>
    <t>SD7450663;SD4987566</t>
  </si>
  <si>
    <t>Brokerage Commission-Apartment Rental in Colombo 05 (C7-3636)</t>
  </si>
  <si>
    <t>Ms. Iresha</t>
  </si>
  <si>
    <t>C2023021L</t>
  </si>
  <si>
    <t>SD7524494</t>
  </si>
  <si>
    <t>Brokerage Commission - Sale of  House in Maharagama (C7-3483)</t>
  </si>
  <si>
    <t>Dr. Sayura</t>
  </si>
  <si>
    <t>C2023022L</t>
  </si>
  <si>
    <t>SD8830863,SD8834567,SD3105606,SD7022112</t>
  </si>
  <si>
    <t>Sanath Silva - Parking March 23</t>
  </si>
  <si>
    <t>C2023023L</t>
  </si>
  <si>
    <t>DC4829</t>
  </si>
  <si>
    <t>Shearwater - Property Management April -23</t>
  </si>
  <si>
    <t>C2023024L</t>
  </si>
  <si>
    <t>SD5266696</t>
  </si>
  <si>
    <t>SMB Finance PLC - Parking April -23</t>
  </si>
  <si>
    <t>C2023025L</t>
  </si>
  <si>
    <t>SD2273286</t>
  </si>
  <si>
    <t>Car Park Management Commission Fee FY 22/23</t>
  </si>
  <si>
    <t>C2023026L</t>
  </si>
  <si>
    <t>Brokerage Commission-Apartment Rental in Colombo 05 (C7-2361)</t>
  </si>
  <si>
    <t>Ms.H K C Kumari</t>
  </si>
  <si>
    <t>C2023027L</t>
  </si>
  <si>
    <t>SD9734759</t>
  </si>
  <si>
    <t>Sanath Silva - Parking April 23</t>
  </si>
  <si>
    <t>C2023028L</t>
  </si>
  <si>
    <t>DC2433</t>
  </si>
  <si>
    <t>Shearwater - Property Management May -23</t>
  </si>
  <si>
    <t>C2023029L</t>
  </si>
  <si>
    <t>SMB Finance PLC - Parking May -23</t>
  </si>
  <si>
    <t>C2023030L</t>
  </si>
  <si>
    <t>SD779639</t>
  </si>
  <si>
    <t>I4T Labs Pvt Ltd - Parking April -23</t>
  </si>
  <si>
    <t>C2023031L-1</t>
  </si>
  <si>
    <t>SD7346197</t>
  </si>
  <si>
    <t>Brokerage Commission-Apartment Rental in Colombo-05</t>
  </si>
  <si>
    <t>Mr.Dinisuru</t>
  </si>
  <si>
    <t>C2023032</t>
  </si>
  <si>
    <t>SD3424965</t>
  </si>
  <si>
    <t>Dr.Priyanjalie</t>
  </si>
  <si>
    <t>C2023033</t>
  </si>
  <si>
    <t>SD6162019</t>
  </si>
  <si>
    <t>Brokerage Commission-Apartment Sale in Athurugiriya (C7-3554)</t>
  </si>
  <si>
    <t>Mrs G A Chulangini Chandarasiri</t>
  </si>
  <si>
    <t>C2023034</t>
  </si>
  <si>
    <t>SD4262199</t>
  </si>
  <si>
    <t>Brokerage Commission-Apartment Rental in Dehiwala (C7-4010)</t>
  </si>
  <si>
    <t>Mrs Praveena</t>
  </si>
  <si>
    <t>C2023035</t>
  </si>
  <si>
    <t>SD317130</t>
  </si>
  <si>
    <t>Brokerage Commission-Commercial Property Rental (C7-3692)</t>
  </si>
  <si>
    <t>Mr Nantha</t>
  </si>
  <si>
    <t>C2023036</t>
  </si>
  <si>
    <t>SD131845,SD9786458</t>
  </si>
  <si>
    <t>Sanath Silva - Parking May 23</t>
  </si>
  <si>
    <t>C2023037L</t>
  </si>
  <si>
    <t>DC2088</t>
  </si>
  <si>
    <t>Brokerage Commission-House Rental in Battaramulla (C7-2069)</t>
  </si>
  <si>
    <t>Mrs Lihini</t>
  </si>
  <si>
    <t>C2023038L</t>
  </si>
  <si>
    <t>SD7715892</t>
  </si>
  <si>
    <t>Shearwater - Property Management June -23</t>
  </si>
  <si>
    <t>C2023039L</t>
  </si>
  <si>
    <t>SMB Finance PLC - Parking May -23 Extra</t>
  </si>
  <si>
    <t>C2023040L</t>
  </si>
  <si>
    <t>SD7288339</t>
  </si>
  <si>
    <t>I4T Labs Pvt Ltd - Parking May -23</t>
  </si>
  <si>
    <t>C2023041L-1</t>
  </si>
  <si>
    <t>SD4670125</t>
  </si>
  <si>
    <t>SMB Finance PLC - Parking June -23</t>
  </si>
  <si>
    <t>C2023042L</t>
  </si>
  <si>
    <t>Brokerage Commission-Sale of Warehouse in Kotugoda (C7-2429)</t>
  </si>
  <si>
    <t>Dinitha Thudalage</t>
  </si>
  <si>
    <t>C2023043L</t>
  </si>
  <si>
    <t>DC25585</t>
  </si>
  <si>
    <t>Brokerage Commission-Aprtment Rental in Briksgate Wattala</t>
  </si>
  <si>
    <t>Tuan</t>
  </si>
  <si>
    <t>C2023044L</t>
  </si>
  <si>
    <t>SD5348669</t>
  </si>
  <si>
    <t>Brokerage Commission-Sale of Commercial Building in Colombo 4 (Ref: C7-4075)</t>
  </si>
  <si>
    <t>T.D.J.E.Fonseka</t>
  </si>
  <si>
    <t>C2023045L-R2</t>
  </si>
  <si>
    <t>DC4028</t>
  </si>
  <si>
    <t>Mohammed Ashraff Adhil</t>
  </si>
  <si>
    <t>C2023046L-R2</t>
  </si>
  <si>
    <t>Sanath Silva - Parking June 23</t>
  </si>
  <si>
    <t>C2023047L</t>
  </si>
  <si>
    <t>DC7824</t>
  </si>
  <si>
    <t>I4T Labs Pvt Ltd - Parking June -23</t>
  </si>
  <si>
    <t>C2023048L</t>
  </si>
  <si>
    <t>SD1377732</t>
  </si>
  <si>
    <t>Shearwater - Property Management July -23</t>
  </si>
  <si>
    <t>C2023049L</t>
  </si>
  <si>
    <t>SMB Finance PLC - Parking July -23</t>
  </si>
  <si>
    <t>C2023050L</t>
  </si>
  <si>
    <t>SD5049739</t>
  </si>
  <si>
    <t>Brokerage Commission-Aprtment Rental in Koswatta (Ref: C7-4259)</t>
  </si>
  <si>
    <t>Dr.Keerthi</t>
  </si>
  <si>
    <t>C2023051L-R1</t>
  </si>
  <si>
    <t>SD3417336</t>
  </si>
  <si>
    <t>Brokerage Commission-House Rental in Arangala (Ref: C7-1319)</t>
  </si>
  <si>
    <t>C2023052L</t>
  </si>
  <si>
    <t>SD1420752</t>
  </si>
  <si>
    <t>Sanath Silva - Parking July 23</t>
  </si>
  <si>
    <t>C2023053L</t>
  </si>
  <si>
    <t>DC10058</t>
  </si>
  <si>
    <t>I4T Labs Pvt Ltd - Parking July -23</t>
  </si>
  <si>
    <t>C2023054L</t>
  </si>
  <si>
    <t>SD8003466</t>
  </si>
  <si>
    <t>Shearwater - Property Management August -23</t>
  </si>
  <si>
    <t>C2023055L</t>
  </si>
  <si>
    <t>SMB Finance PLC - Parking August -23</t>
  </si>
  <si>
    <t>C2023056L-R1</t>
  </si>
  <si>
    <t>SD9801800</t>
  </si>
  <si>
    <t>Brokerage Commission-Sale of Land in Mount Lavinia (Ref: C7-4291)</t>
  </si>
  <si>
    <t>C2023057L</t>
  </si>
  <si>
    <t>SD3294488, SD3635801</t>
  </si>
  <si>
    <t>Brokerage Commission-Sale of Land on Daya Road, Wattala</t>
  </si>
  <si>
    <t>Indika Prasad Wellalage</t>
  </si>
  <si>
    <t>C2023058L-R1</t>
  </si>
  <si>
    <t>SD7948850,SD7955553</t>
  </si>
  <si>
    <t>Brokerage Commission-House Rental in Kandy (Ref: C7-1182)</t>
  </si>
  <si>
    <t>Gomaz</t>
  </si>
  <si>
    <t>C2023059L</t>
  </si>
  <si>
    <t>SD161136</t>
  </si>
  <si>
    <t>Brokerage Commission-Warehouse Rental in Wattala  (Ref: C7-4138)</t>
  </si>
  <si>
    <t>Mr.Anthony Wickramasinghe</t>
  </si>
  <si>
    <t>C2023060L</t>
  </si>
  <si>
    <t>SD1941141</t>
  </si>
  <si>
    <t>Mr.Valen Gunawardena</t>
  </si>
  <si>
    <t>C2023061L</t>
  </si>
  <si>
    <t>SD2392414</t>
  </si>
  <si>
    <t>Brokerage Commission-House Rental in Thalawathugoda (Ref: C7-4148)</t>
  </si>
  <si>
    <t>Mr.Gihan</t>
  </si>
  <si>
    <t>C2023062L</t>
  </si>
  <si>
    <t>SD4714882</t>
  </si>
  <si>
    <t>Sanath Silva - Parking August 23</t>
  </si>
  <si>
    <t>C2023063L</t>
  </si>
  <si>
    <t>DC2439</t>
  </si>
  <si>
    <t>I4T Labs Pvt Ltd - Parking August -23</t>
  </si>
  <si>
    <t>C2023064L</t>
  </si>
  <si>
    <t>SD7796640</t>
  </si>
  <si>
    <t>Shearwater - Property Management September -23</t>
  </si>
  <si>
    <t>C2023065L</t>
  </si>
  <si>
    <t>SMB Finance PLC - Parking September -23</t>
  </si>
  <si>
    <t>C2023066L</t>
  </si>
  <si>
    <t>SD1006474</t>
  </si>
  <si>
    <t>Brokerage Commission-House Rental in Nugegoda  (Ref: C7-4293)</t>
  </si>
  <si>
    <t>Mr. Karunagaran</t>
  </si>
  <si>
    <t>C2023067L</t>
  </si>
  <si>
    <t>SD4588044</t>
  </si>
  <si>
    <t>Brokerage Commission-Warehouse Rental in Peliyagoda  (Ref: C7-4341)</t>
  </si>
  <si>
    <t>Mr.Bandula</t>
  </si>
  <si>
    <t>C2023068L</t>
  </si>
  <si>
    <t>DC44029</t>
  </si>
  <si>
    <t>Sanath Silva - Parking September 23</t>
  </si>
  <si>
    <t>C2023069L</t>
  </si>
  <si>
    <t>DC54793</t>
  </si>
  <si>
    <t>I4T Labs Pvt Ltd - Parking September -23</t>
  </si>
  <si>
    <t>C2023070L</t>
  </si>
  <si>
    <t>SD1322740</t>
  </si>
  <si>
    <t>Shearwater - Property Management October -23</t>
  </si>
  <si>
    <t>C2023071L</t>
  </si>
  <si>
    <t>SMB Finance PLC - Parking October -23</t>
  </si>
  <si>
    <t>C2023072L</t>
  </si>
  <si>
    <t>SD7198690</t>
  </si>
  <si>
    <t>Brokerage Commission-Apartment Rental in Colombo 5 (Ref: C7-4680)</t>
  </si>
  <si>
    <t>Mr.Weerasooriya</t>
  </si>
  <si>
    <t>C2023073L</t>
  </si>
  <si>
    <t>DC54736</t>
  </si>
  <si>
    <t>Brokerage Commission-Sale of Land in Wattala (Ref: C7-4345)</t>
  </si>
  <si>
    <t>Ms.Vanitha Parameswaran</t>
  </si>
  <si>
    <t>C2023074L</t>
  </si>
  <si>
    <t>DC15846</t>
  </si>
  <si>
    <t>I4T Labs Pvt Ltd - Parking October -23</t>
  </si>
  <si>
    <t>C2023075L</t>
  </si>
  <si>
    <t>SD904160</t>
  </si>
  <si>
    <t>Shearwater - Property Management November -23</t>
  </si>
  <si>
    <t>C2023076L</t>
  </si>
  <si>
    <t>SMB Finance PLC - Parking November -23</t>
  </si>
  <si>
    <t>C2023077L</t>
  </si>
  <si>
    <t>SD5926133</t>
  </si>
  <si>
    <t>Sanath Silva - Parking October 23</t>
  </si>
  <si>
    <t>C2023078L</t>
  </si>
  <si>
    <t>DC2106</t>
  </si>
  <si>
    <t>Brokerage Commission-Apartment Rental in Colombo 5 (Ref: C7-4769)</t>
  </si>
  <si>
    <t>Mr Lalith Wasantha</t>
  </si>
  <si>
    <t>C2023079L</t>
  </si>
  <si>
    <t>SD2894</t>
  </si>
  <si>
    <t>Brokerage Commission - Apartment Rental Renewal (Ref:C7-2815)</t>
  </si>
  <si>
    <t>Mr.Pradeepan</t>
  </si>
  <si>
    <t>C2023080L</t>
  </si>
  <si>
    <t>SD3575054</t>
  </si>
  <si>
    <t>Brokerage Commission - House for sale in Rathmalana (Ref:C7-3417)</t>
  </si>
  <si>
    <t>Miss.Norma Srimathi De Silva</t>
  </si>
  <si>
    <t>C2023081L</t>
  </si>
  <si>
    <t>DC35026</t>
  </si>
  <si>
    <t>Car Park Rental for the Month of September 2023 - 3 days</t>
  </si>
  <si>
    <t>Mr. Banadara</t>
  </si>
  <si>
    <t>C2023082L</t>
  </si>
  <si>
    <t>SD2887700</t>
  </si>
  <si>
    <t>Car Park Rental for the Month of November 2023 - (31 Vehicles)</t>
  </si>
  <si>
    <t>C2023083L</t>
  </si>
  <si>
    <t>SD7182127</t>
  </si>
  <si>
    <t>Brokerage Commission - House for sale in Watttala (Ref:C7-4771)</t>
  </si>
  <si>
    <t>Mr. Ranasinghe</t>
  </si>
  <si>
    <t>C2023084L-R1</t>
  </si>
  <si>
    <t>Sanath Silva - Parking November 23</t>
  </si>
  <si>
    <t>C2023085L</t>
  </si>
  <si>
    <t>DC4486</t>
  </si>
  <si>
    <t>I4T Labs Pvt Ltd - Parking November -23</t>
  </si>
  <si>
    <t>C2023086L</t>
  </si>
  <si>
    <t>SD9485032</t>
  </si>
  <si>
    <t>Shearwater - Property Management December -23</t>
  </si>
  <si>
    <t>C2023087L</t>
  </si>
  <si>
    <t>SMB Finance PLC - Parking December -23</t>
  </si>
  <si>
    <t>C2023088L</t>
  </si>
  <si>
    <t>SD6863407</t>
  </si>
  <si>
    <t>Brokerage Commission - Apartment for sale in Trillium Col 08 (Ref:C7-4545)</t>
  </si>
  <si>
    <t>Mr. Rukshan</t>
  </si>
  <si>
    <t>C2023089L</t>
  </si>
  <si>
    <t>DC32783</t>
  </si>
  <si>
    <t>Sanath Silva - Parking December 23</t>
  </si>
  <si>
    <t>C2023090L</t>
  </si>
  <si>
    <t>DC8990</t>
  </si>
  <si>
    <t>I4T Labs Pvt Ltd - Parking December -23</t>
  </si>
  <si>
    <t>C2023091L</t>
  </si>
  <si>
    <t>SD4475671</t>
  </si>
  <si>
    <t>SMIB - Parking December 23</t>
  </si>
  <si>
    <t>C2023092L</t>
  </si>
  <si>
    <t>Brokerage Commission-Apartment Rental in Sky Gardern (Ref: C7-0081)</t>
  </si>
  <si>
    <t>Mr. Alau Ali</t>
  </si>
  <si>
    <t>C2023093L</t>
  </si>
  <si>
    <t>Target 2023</t>
  </si>
  <si>
    <t>Muzammil Mowlana - Parking January -22</t>
  </si>
  <si>
    <t>Mr.Muzammil Mowlana</t>
  </si>
  <si>
    <t>C202201L-1</t>
  </si>
  <si>
    <t>SD5462804</t>
  </si>
  <si>
    <t>Brokerage Commission - House Rental in Nugegoda (Ref: C7-1703)</t>
  </si>
  <si>
    <t>Mr.Ajith Grero</t>
  </si>
  <si>
    <t>C202202L</t>
  </si>
  <si>
    <t>SD4323524,SD4793370</t>
  </si>
  <si>
    <t>Shearwater - Property Management January -22</t>
  </si>
  <si>
    <t>C202203L</t>
  </si>
  <si>
    <t>SD7227061</t>
  </si>
  <si>
    <t>SMB Leasing PLC - Parking January -22</t>
  </si>
  <si>
    <t>SMB Leasing PLC</t>
  </si>
  <si>
    <t>C202204L</t>
  </si>
  <si>
    <t>SD2527914</t>
  </si>
  <si>
    <t>PBSS - Parking January -22</t>
  </si>
  <si>
    <t>PBSS</t>
  </si>
  <si>
    <t>C202205L</t>
  </si>
  <si>
    <t>SD5915602</t>
  </si>
  <si>
    <t>Amal - Parking January -22</t>
  </si>
  <si>
    <t>Mr. Amal</t>
  </si>
  <si>
    <t>C202206L</t>
  </si>
  <si>
    <t>DC3075</t>
  </si>
  <si>
    <t>Sanath Silva - Parking January -22</t>
  </si>
  <si>
    <t>Mr. Sanath Silva</t>
  </si>
  <si>
    <t>C202207L</t>
  </si>
  <si>
    <t>DC2998</t>
  </si>
  <si>
    <t>Brokerage Commission - Apartment Rental in Col 4(Ref:C7-1693) Jan-22</t>
  </si>
  <si>
    <t>Mr.Vakeesan</t>
  </si>
  <si>
    <t>C202208L</t>
  </si>
  <si>
    <t>SD7726465</t>
  </si>
  <si>
    <t>Monarch 21-B1 Booking Commission (Guest: Mr.Kothari)</t>
  </si>
  <si>
    <t>C202209L</t>
  </si>
  <si>
    <t>SD9686498</t>
  </si>
  <si>
    <t>Monarch 21-B1 Booking Commission (Guest: Mr.Naveen)</t>
  </si>
  <si>
    <t>C202210L</t>
  </si>
  <si>
    <t>SD9688958</t>
  </si>
  <si>
    <t>Brokerage Commission - Commercial Rental in Colombo 05 (Ref: C7-1284)</t>
  </si>
  <si>
    <t xml:space="preserve">Mrs. Nanayakkara </t>
  </si>
  <si>
    <t>C202211L</t>
  </si>
  <si>
    <t>SD932763,DC23696</t>
  </si>
  <si>
    <t>Mihirani - Car Park Rental for 20th to 31st Jan -22</t>
  </si>
  <si>
    <t>Mrs. Mihirani</t>
  </si>
  <si>
    <t>C202212L</t>
  </si>
  <si>
    <t>DC1349</t>
  </si>
  <si>
    <t>Brokerage Commission - House Rental in Colombo 03 (Ref: C7-1871)</t>
  </si>
  <si>
    <t>Mrs. Kurukulasuriya</t>
  </si>
  <si>
    <t>C202213L</t>
  </si>
  <si>
    <t>Shearwater - Property Management February -22</t>
  </si>
  <si>
    <t>C202214L</t>
  </si>
  <si>
    <t>SMB Leasing PLC - Parking February -22</t>
  </si>
  <si>
    <t>C202215L</t>
  </si>
  <si>
    <t>SD9491964</t>
  </si>
  <si>
    <t>PBSS - Parking February -22</t>
  </si>
  <si>
    <t>C202216L</t>
  </si>
  <si>
    <t>SD5029555</t>
  </si>
  <si>
    <t>Sanath Silva - Parking February -22</t>
  </si>
  <si>
    <t>C202217L</t>
  </si>
  <si>
    <t>DC3071</t>
  </si>
  <si>
    <t>Brokerage Commission - Sale of Land Colombo 04 (Ref: C7-1585)</t>
  </si>
  <si>
    <t>M Ali Noordeen</t>
  </si>
  <si>
    <t>C202218L</t>
  </si>
  <si>
    <t>SD8575370</t>
  </si>
  <si>
    <t>Brokerage Commission - Office Space Rental in Colombo 04 (Ref: C7-1867)</t>
  </si>
  <si>
    <t>Ms. Nafeeza</t>
  </si>
  <si>
    <t>C202219L</t>
  </si>
  <si>
    <t>SD8659118</t>
  </si>
  <si>
    <t>Brokerage Commission - Warehouse Rental in Wattala (Ref: C7-1861)</t>
  </si>
  <si>
    <t>Mr.Sinthujan</t>
  </si>
  <si>
    <t>C202220L</t>
  </si>
  <si>
    <t>SD748992</t>
  </si>
  <si>
    <t>Brokerage Commission - Land sale in Kalpitiya(Ref: C7-1861)</t>
  </si>
  <si>
    <t>Mr. Imran</t>
  </si>
  <si>
    <t>C202221L</t>
  </si>
  <si>
    <t>SD9128297</t>
  </si>
  <si>
    <t>Brokerage Commission - Apartment Rental (Kelsey Home)</t>
  </si>
  <si>
    <t>Kelsy Homes</t>
  </si>
  <si>
    <t>C202222L</t>
  </si>
  <si>
    <t>Brokerage Commission - Sale of House in Udugampola (Ref: C7-0699)</t>
  </si>
  <si>
    <t>Mr.Mishara</t>
  </si>
  <si>
    <t>C202223L</t>
  </si>
  <si>
    <t>SD7788697,SD7789239</t>
  </si>
  <si>
    <t>Brokerage Commission -  Apartment Rental in Splendour Residencies (Ref: C7-2045)</t>
  </si>
  <si>
    <t>Mr. Hirantha</t>
  </si>
  <si>
    <t>C202224L</t>
  </si>
  <si>
    <t>DC11564</t>
  </si>
  <si>
    <t>Shearwater - Property Management March -22</t>
  </si>
  <si>
    <t>C202225L</t>
  </si>
  <si>
    <t>SMB Leasing PLC - Parking March -22</t>
  </si>
  <si>
    <t>C202226L</t>
  </si>
  <si>
    <t>SD3190984</t>
  </si>
  <si>
    <t>PBSS - Parking March -22</t>
  </si>
  <si>
    <t>C202227L</t>
  </si>
  <si>
    <t>SD8005436</t>
  </si>
  <si>
    <t>Sanath Silva - Parking March -22</t>
  </si>
  <si>
    <t>C202228L</t>
  </si>
  <si>
    <t>DC1549</t>
  </si>
  <si>
    <t>Brokerage Commission - Sale of Land in Kandana (Ref: C7-2250)</t>
  </si>
  <si>
    <t>Ms.Balasooriyage</t>
  </si>
  <si>
    <t>C202229L</t>
  </si>
  <si>
    <t>SD4343198</t>
  </si>
  <si>
    <t>Brokerage Commission -  House Rental in Battaramulla (Ref: C7-2318)</t>
  </si>
  <si>
    <t>Mr.Hamid</t>
  </si>
  <si>
    <t>C202230L</t>
  </si>
  <si>
    <t>SD1930152</t>
  </si>
  <si>
    <t>Brokerage Commission - Apartment Rental - Sep (Ref:C7-1579)</t>
  </si>
  <si>
    <t>C202231L</t>
  </si>
  <si>
    <t>SD3546400</t>
  </si>
  <si>
    <t>Brokerage Commission -  House Rental in Akuregoda (Ref: C7-2137)</t>
  </si>
  <si>
    <t>Ms.Ramya</t>
  </si>
  <si>
    <t>C202232L</t>
  </si>
  <si>
    <t>SD4017793</t>
  </si>
  <si>
    <t>Brokerage Commission - Apartment Rental in Col 4(Ref:C7-1693) Feb-22</t>
  </si>
  <si>
    <t>C202233L</t>
  </si>
  <si>
    <t>SD631696</t>
  </si>
  <si>
    <t>Shearwater - Property Management April -22</t>
  </si>
  <si>
    <t>C202234L</t>
  </si>
  <si>
    <t>SD6040650</t>
  </si>
  <si>
    <t>SMB Leasing PLC - Parking April -22</t>
  </si>
  <si>
    <t>C202235L</t>
  </si>
  <si>
    <t>SD1457688</t>
  </si>
  <si>
    <t>PBSS - Parking April -22</t>
  </si>
  <si>
    <t>C202236L</t>
  </si>
  <si>
    <t>SD8005466</t>
  </si>
  <si>
    <t>Sanath Silva - Parking April -22</t>
  </si>
  <si>
    <t>C202237L</t>
  </si>
  <si>
    <t>Brokerage Commission - Apartment Rental - Koswatte (Ref:C7-0729)</t>
  </si>
  <si>
    <t>C202238L</t>
  </si>
  <si>
    <t>SD608517</t>
  </si>
  <si>
    <t>Brokerage Commission -  Sale of House in Ja-Ela (Ref: C7-2262)</t>
  </si>
  <si>
    <t>Mr.Ranil Suranga</t>
  </si>
  <si>
    <t>C202239L-1</t>
  </si>
  <si>
    <t>SD4960329</t>
  </si>
  <si>
    <t>Brokerage Commission -  Sale of Land in Wellawatte (Ref: C7-1719)</t>
  </si>
  <si>
    <t>Mr. Anandan</t>
  </si>
  <si>
    <t>C202240L</t>
  </si>
  <si>
    <t>SD1622014,SD1622578</t>
  </si>
  <si>
    <t>Brokerage Commission - Sale of Apartment (Ref: C7-1421)</t>
  </si>
  <si>
    <t>Mr.Niranjan Kumara</t>
  </si>
  <si>
    <t>C202241L</t>
  </si>
  <si>
    <t>SD6809386</t>
  </si>
  <si>
    <t>Brokerage Commission - Sale of Apartment (Ref: C7-0624)</t>
  </si>
  <si>
    <t>Mr.Naomal</t>
  </si>
  <si>
    <t>C202242L</t>
  </si>
  <si>
    <t>SD1521704</t>
  </si>
  <si>
    <t>Car Park Revenue Share (2021/2022)</t>
  </si>
  <si>
    <t>C202243L</t>
  </si>
  <si>
    <t>SD7227061-00455648</t>
  </si>
  <si>
    <t>Brokerage Commission - Sale of Land in Ragama</t>
  </si>
  <si>
    <t>Mr.Priyan</t>
  </si>
  <si>
    <t>C202244L</t>
  </si>
  <si>
    <t>SD1474338</t>
  </si>
  <si>
    <t>Brokerage Commission - Rental of Patinum One Apartment (Ref: C7-1315)</t>
  </si>
  <si>
    <t>Mr.Justin Dias</t>
  </si>
  <si>
    <t>C202245L</t>
  </si>
  <si>
    <t>DC41004</t>
  </si>
  <si>
    <t>Brokerage Commission - Apartment Rental in Col 4(Ref:C7-1693) Mar-22</t>
  </si>
  <si>
    <t>C202246L</t>
  </si>
  <si>
    <t>SD7153516</t>
  </si>
  <si>
    <t>Shearwater - Property Management May -22</t>
  </si>
  <si>
    <t>C202247L</t>
  </si>
  <si>
    <t>SMB Leasing PLC - Parking May -22</t>
  </si>
  <si>
    <t>C202248L</t>
  </si>
  <si>
    <t>SD9643373</t>
  </si>
  <si>
    <t>PBSS - Parking May -22</t>
  </si>
  <si>
    <t>C202249L</t>
  </si>
  <si>
    <t>SD8411872</t>
  </si>
  <si>
    <t>Brokerage Commission - Sale of Apartment in Brickgate - Wattala</t>
  </si>
  <si>
    <t>Mr. Tuan</t>
  </si>
  <si>
    <t>C202250L</t>
  </si>
  <si>
    <t>SD919201</t>
  </si>
  <si>
    <t>Brokerage Commission - Sale of Commercial Property in Colombo 03 (Ref: C7-1677)</t>
  </si>
  <si>
    <t>Mr. Shivendra Chulanganie Balasuriya</t>
  </si>
  <si>
    <t>C202251L</t>
  </si>
  <si>
    <t>Shearwater - Property Management June -22</t>
  </si>
  <si>
    <t>C202252L</t>
  </si>
  <si>
    <t>SMB Leasing PLC - Parking June -22</t>
  </si>
  <si>
    <t>C202253L</t>
  </si>
  <si>
    <t>SD3560477</t>
  </si>
  <si>
    <t>PBSS - Parking June -22</t>
  </si>
  <si>
    <t>C202254L-1</t>
  </si>
  <si>
    <t>SD5282595</t>
  </si>
  <si>
    <t>Brokerage Commission - Apartment Rental in Koswatta (Ref:C7-1693)</t>
  </si>
  <si>
    <t>C202255L</t>
  </si>
  <si>
    <t>SD4955199</t>
  </si>
  <si>
    <t>Brokerage Commission -  Sale of House in Panadura (Ref: C7-0805)</t>
  </si>
  <si>
    <t>Ms. Anushi</t>
  </si>
  <si>
    <t>C202256L</t>
  </si>
  <si>
    <t>DC46646</t>
  </si>
  <si>
    <t>Car Park Rental for 6 Slots (13th June 2022 to 30th June 2022)</t>
  </si>
  <si>
    <t>Mr. Seyed Muzammil Mowlana</t>
  </si>
  <si>
    <t>C202257L</t>
  </si>
  <si>
    <t>SD4051352</t>
  </si>
  <si>
    <t>Brokerage Commission - Apartment Rental in Col 4(Ref:C7-1693) Jun-22</t>
  </si>
  <si>
    <t>C202258L</t>
  </si>
  <si>
    <t>SD8750529</t>
  </si>
  <si>
    <t>Brokerage Commission - Apartment Rental in Green Elegance Thalawathugoda (Ref:C7-2518)</t>
  </si>
  <si>
    <t>Mr. Tharukka</t>
  </si>
  <si>
    <t>C202259L</t>
  </si>
  <si>
    <t>Brokerage Commission - Sale of Apartment in Urban Homes (Ref: C7-1425)</t>
  </si>
  <si>
    <t>Miss.Thilanka Dissanayake</t>
  </si>
  <si>
    <t>C202260L</t>
  </si>
  <si>
    <t>SD2310872</t>
  </si>
  <si>
    <t>Shearwater - Property Management July -22</t>
  </si>
  <si>
    <t>C202261L</t>
  </si>
  <si>
    <t>SMB Leasing PLC - Parking July -22</t>
  </si>
  <si>
    <t>C202262L</t>
  </si>
  <si>
    <t>SD5267368</t>
  </si>
  <si>
    <t>PBSS - Parking July -22</t>
  </si>
  <si>
    <t>C202263L</t>
  </si>
  <si>
    <t>SD4448354</t>
  </si>
  <si>
    <t>Seyed Muzammil - Parking July -22</t>
  </si>
  <si>
    <t>C202264L</t>
  </si>
  <si>
    <t>Brokerage Commission - Office Space Rental (Ref:C7-1717)</t>
  </si>
  <si>
    <t xml:space="preserve">Mr.Ferdinand </t>
  </si>
  <si>
    <t>C202265L</t>
  </si>
  <si>
    <t>SD9091466,SD50757,SD484997</t>
  </si>
  <si>
    <t>Brokerage Commission - Sale of Land in Bulathsinhala (Ref:C7-2435)</t>
  </si>
  <si>
    <t>Ms.Manjula</t>
  </si>
  <si>
    <t>C202266L</t>
  </si>
  <si>
    <t>SD4563056</t>
  </si>
  <si>
    <t>Brokerage Commission - Apartment Rental in Col 4(Ref:C7-1693) Jul-22</t>
  </si>
  <si>
    <t>C202267L</t>
  </si>
  <si>
    <t>SD1152550</t>
  </si>
  <si>
    <t>Shearwater - Property Management August -22</t>
  </si>
  <si>
    <t>C202268L</t>
  </si>
  <si>
    <t>SD6056816</t>
  </si>
  <si>
    <t>SMB Leasing PLC - Parking August -22</t>
  </si>
  <si>
    <t>C202269L</t>
  </si>
  <si>
    <t>SD8534846</t>
  </si>
  <si>
    <t>PBSS - Parking August -22</t>
  </si>
  <si>
    <t>C202270L</t>
  </si>
  <si>
    <t>Brokerage Commission - Sale of Apartment in Urban Homes (Ref: C7-2641)</t>
  </si>
  <si>
    <t>Mr. Indika Srimal Perera</t>
  </si>
  <si>
    <t>C202271L</t>
  </si>
  <si>
    <t>SD4395906</t>
  </si>
  <si>
    <t>Brokerage Commission - Apartment Rental in Col 4(Ref:C7-1693) Aug-22</t>
  </si>
  <si>
    <t>C202272L</t>
  </si>
  <si>
    <t>SD2978604</t>
  </si>
  <si>
    <t>Brokerage Commission - Sale of House in Ekala (Ref:C7-1421)</t>
  </si>
  <si>
    <t>Ms.Asha Depani</t>
  </si>
  <si>
    <t>C202273L</t>
  </si>
  <si>
    <t>SD2847523,SD2848310,SD2848937</t>
  </si>
  <si>
    <t>C202274L</t>
  </si>
  <si>
    <t>SD266154</t>
  </si>
  <si>
    <t>Brokerage Commission - Sale of Apartment in Prime Residence (Ref: C7-2490)</t>
  </si>
  <si>
    <t>Mr. Ranil Perera</t>
  </si>
  <si>
    <t>C202275L</t>
  </si>
  <si>
    <t>SD3693593</t>
  </si>
  <si>
    <t>Ms.Akila Dalpatadu</t>
  </si>
  <si>
    <t>C202276L</t>
  </si>
  <si>
    <t>SD466399</t>
  </si>
  <si>
    <t>Shearwater - Property Management September -22</t>
  </si>
  <si>
    <t>C202277L</t>
  </si>
  <si>
    <t>SMB Leasing PLC - Parking September -22</t>
  </si>
  <si>
    <t>C202278L</t>
  </si>
  <si>
    <t>SD4388046</t>
  </si>
  <si>
    <t>PBSS - Parking September -22</t>
  </si>
  <si>
    <t>C202279L</t>
  </si>
  <si>
    <t>Brokerage Commission - Apartment Rental in Haveock City (Ref:C7-1978 )</t>
  </si>
  <si>
    <t>Mr. Hamsa</t>
  </si>
  <si>
    <t>C202280L</t>
  </si>
  <si>
    <t>SD6752187</t>
  </si>
  <si>
    <t>Brokerage Commission - Commercial Property Rental in Nugegoda (Ref:C7-1855)</t>
  </si>
  <si>
    <t>C202281L</t>
  </si>
  <si>
    <t>DC17984</t>
  </si>
  <si>
    <t>Brokerage Commission - Sale of House in Hapugoda (Ref: C7-2517)</t>
  </si>
  <si>
    <t>Mr. R.E.Gunasinha</t>
  </si>
  <si>
    <t>C202282L</t>
  </si>
  <si>
    <t>DC17240</t>
  </si>
  <si>
    <t>Brokerage Commission - Apartment Rental in Col 4(Ref:C7-1693) Sep-22</t>
  </si>
  <si>
    <t>C202283L</t>
  </si>
  <si>
    <t>SD6225525</t>
  </si>
  <si>
    <t>Shearwater - Property Management October -22</t>
  </si>
  <si>
    <t>C202284L</t>
  </si>
  <si>
    <t>SMB Leasing PLC - Parking October -22</t>
  </si>
  <si>
    <t>C202285L</t>
  </si>
  <si>
    <t>SD2403709</t>
  </si>
  <si>
    <t>Brokerage Commission - Apartment Rental in 194 Prime Residence (Ref:C7-0867)</t>
  </si>
  <si>
    <t>Mr. N C Rajaratnam</t>
  </si>
  <si>
    <t>C202286L</t>
  </si>
  <si>
    <t>SD7786412</t>
  </si>
  <si>
    <t>Brokerage Commission - Commercial Property Rental in Colombo-05  (Ref:C7-1708)</t>
  </si>
  <si>
    <t>Mr. Mustaq</t>
  </si>
  <si>
    <t>C202287L</t>
  </si>
  <si>
    <t>SD9311038</t>
  </si>
  <si>
    <t>Brokerage Commission - Apartment Rental in Bricksgate Wattala (Ref:C7-2852)</t>
  </si>
  <si>
    <t>Mr.Tuan Ossen</t>
  </si>
  <si>
    <t>C202288L</t>
  </si>
  <si>
    <t>SD9632866</t>
  </si>
  <si>
    <t>Brokerage Commission - Apartment Rental in Elvitigala Flats (Ref:C7-2815)</t>
  </si>
  <si>
    <t>C202289L</t>
  </si>
  <si>
    <t>SD4152944</t>
  </si>
  <si>
    <t>Brokerage Commission - Apartment Rental in Col 4(Ref:C7-1693) Oct-22</t>
  </si>
  <si>
    <t>C202290L</t>
  </si>
  <si>
    <t>SD2934774</t>
  </si>
  <si>
    <t>Brokerage Commission - Apartment Rental in 194 Prime Residence (Ref:C7-2940)</t>
  </si>
  <si>
    <t>Mr.M D Ruwanpura</t>
  </si>
  <si>
    <t>C202291L-1</t>
  </si>
  <si>
    <t>SD9734513</t>
  </si>
  <si>
    <t>Brokerage Commission - House Rental in Borella (Ref:C7-2917)</t>
  </si>
  <si>
    <t>Mrs. N P Harasgama</t>
  </si>
  <si>
    <t>C202292L</t>
  </si>
  <si>
    <t>SD1083503</t>
  </si>
  <si>
    <t>Brokerage Commission - Apartment Rental in 194 Prime Residence</t>
  </si>
  <si>
    <t>Mr. Shantha</t>
  </si>
  <si>
    <t>C202293L</t>
  </si>
  <si>
    <t>SD9905111</t>
  </si>
  <si>
    <t>Shearwater - Property Management November -22</t>
  </si>
  <si>
    <t>C202294L</t>
  </si>
  <si>
    <t>SMB Leasing PLC - Parking November -22</t>
  </si>
  <si>
    <t>C202295L</t>
  </si>
  <si>
    <t>SD1641899</t>
  </si>
  <si>
    <t>Brokerage Commission - Apartment Rental in Majestic Apartment (Ref:C7-3149)</t>
  </si>
  <si>
    <t>Mr. Mohamed Abdulla Khan</t>
  </si>
  <si>
    <t>C202296L</t>
  </si>
  <si>
    <t>SD8458891</t>
  </si>
  <si>
    <t>Brokerage Commission - Apartment Rental in Bricksgate Wattala (Ref: C7-2853)</t>
  </si>
  <si>
    <t>C202297L</t>
  </si>
  <si>
    <t>SD117630</t>
  </si>
  <si>
    <t>Brokerage Commission - House Rental in Gothami Road (Ref: C7-3156)</t>
  </si>
  <si>
    <t>Mr. Chrish</t>
  </si>
  <si>
    <t>C202298L</t>
  </si>
  <si>
    <t>DC22256</t>
  </si>
  <si>
    <t>Ms.Shanika</t>
  </si>
  <si>
    <t>C202299L</t>
  </si>
  <si>
    <t>SD1336406,SD1336986</t>
  </si>
  <si>
    <t>Sanath Silva - Parking November -22</t>
  </si>
  <si>
    <t>C2022100L</t>
  </si>
  <si>
    <t>DC8152</t>
  </si>
  <si>
    <t>Shearwater - Property Management December -22</t>
  </si>
  <si>
    <t>C2022101L</t>
  </si>
  <si>
    <t>SMB Leasing PLC - Parking December -22</t>
  </si>
  <si>
    <t>C2022102L</t>
  </si>
  <si>
    <t>SD2557973</t>
  </si>
  <si>
    <t>Brokerage Commission - Apartment Rental in Dehiwala (Ref: C7-3128)</t>
  </si>
  <si>
    <t>Mrs Geethika</t>
  </si>
  <si>
    <t>C2022103L</t>
  </si>
  <si>
    <t>SD7821402</t>
  </si>
  <si>
    <t>Brokerage Commission - Apartment Rental in Seible Avenue (Ref: C7-2833)</t>
  </si>
  <si>
    <t>Ms. Natasha</t>
  </si>
  <si>
    <t>C2022104L</t>
  </si>
  <si>
    <t>SD9123199</t>
  </si>
  <si>
    <t>Sanath Silva - Parking December -22</t>
  </si>
  <si>
    <t>C2022105L</t>
  </si>
  <si>
    <t>DC325912</t>
  </si>
  <si>
    <t>Due Date</t>
  </si>
  <si>
    <t>Invoice Date</t>
  </si>
  <si>
    <t>Agent</t>
  </si>
  <si>
    <t>Shearwater - Property Management Jan -21</t>
  </si>
  <si>
    <t>C202101L</t>
  </si>
  <si>
    <t>00455634/7010/034/06-04-2021</t>
  </si>
  <si>
    <t>C7</t>
  </si>
  <si>
    <t>SMB Leasing PLC - Parking Jan -21</t>
  </si>
  <si>
    <t>C202102L</t>
  </si>
  <si>
    <t>00022190/7056/003/11-01-2021</t>
  </si>
  <si>
    <t>Richardson Projects (Pvt) Ltd - Parking Jan - 21</t>
  </si>
  <si>
    <t>C202103L</t>
  </si>
  <si>
    <t>00004886/7056/003/21-01-2021</t>
  </si>
  <si>
    <t>Shearwater - Property Management Feb -21</t>
  </si>
  <si>
    <t>C202104L</t>
  </si>
  <si>
    <t>SMB Leasing PLC - Parking Feb -21</t>
  </si>
  <si>
    <t>C202105L</t>
  </si>
  <si>
    <t>00829359/7278/011/07-02-2021</t>
  </si>
  <si>
    <t>Richardson Projects (Pvt) Ltd - Parking Feb - 21</t>
  </si>
  <si>
    <t>C202106L</t>
  </si>
  <si>
    <t>00005024/7056/003/18-02-2021</t>
  </si>
  <si>
    <t>Brokerage Fee - Kanchana Rental (C7-0372)</t>
  </si>
  <si>
    <t>C202107L</t>
  </si>
  <si>
    <t>CEFT-House ren-</t>
  </si>
  <si>
    <t>Brokerage Fee - Prasahani Rental (C7-0407)</t>
  </si>
  <si>
    <t>C202108L</t>
  </si>
  <si>
    <t>CEFT-Mr Chamin-</t>
  </si>
  <si>
    <t>Consultation Fee - Imara De Chickera</t>
  </si>
  <si>
    <t>C202109L</t>
  </si>
  <si>
    <t>CEFT--HSBC BANK COLO</t>
  </si>
  <si>
    <t>Consultation Fee - R B Realtors &amp; Consultants (Pvt) Ltd</t>
  </si>
  <si>
    <t>C202110L</t>
  </si>
  <si>
    <t>RB REALTORS &amp; CONSULTANTS (PVT)LTD</t>
  </si>
  <si>
    <t>Brokerage Fee - Vanessa Emmanuel Rental (Ref:C7-0436)</t>
  </si>
  <si>
    <t>C202111L</t>
  </si>
  <si>
    <t>CASH DEP/ No 01 Dalada Weediya</t>
  </si>
  <si>
    <t>Haneefa - Shangri-la Charges</t>
  </si>
  <si>
    <t>C202112L</t>
  </si>
  <si>
    <t>Shearwater - Property Management Mar -21</t>
  </si>
  <si>
    <t>C202113L</t>
  </si>
  <si>
    <t>SMB Leasing PLC - Parking Mar -21</t>
  </si>
  <si>
    <t>C202114L</t>
  </si>
  <si>
    <t>00829536/7278/011/03-03-2021</t>
  </si>
  <si>
    <t>C202115L</t>
  </si>
  <si>
    <t>00005142/7056/003/17-03-2021</t>
  </si>
  <si>
    <t>Brokerage fee - Mrs.Keerthi Siebel Avenue - Prime Residencies (Ref:C7-0070)</t>
  </si>
  <si>
    <t>C202116L</t>
  </si>
  <si>
    <t>CASH DEP/ No 182 Negombo Road</t>
  </si>
  <si>
    <t>Brokerage fee - Senali - 21 B2,Tower 3, On320 (Ref:C7-0438)</t>
  </si>
  <si>
    <t>C202117L</t>
  </si>
  <si>
    <t>BROKERAGE FEE C7-0438 ON320</t>
  </si>
  <si>
    <t>Brokerage fee -  Panchali -501, Clara Residencies, Colombo-05 (Ref:C7-0380)</t>
  </si>
  <si>
    <t>C202118L</t>
  </si>
  <si>
    <t>IW SLIPS/WT18166070-Apartment Agent-WITHARAN</t>
  </si>
  <si>
    <t>Brokerage fee - Thiwanka - Edmonton I Residencies, Colombo-05 (Ref:C7-0382)</t>
  </si>
  <si>
    <t>C202119L</t>
  </si>
  <si>
    <t>DC25085</t>
  </si>
  <si>
    <t>Shearwater - Property Management Apr -21</t>
  </si>
  <si>
    <t>C202120L</t>
  </si>
  <si>
    <t>00455640/7010/034/08-09-2021</t>
  </si>
  <si>
    <t>SMB Leasing PLC - Parking Apr -21</t>
  </si>
  <si>
    <t>C202121L</t>
  </si>
  <si>
    <t>00829711/7278/011/07-04-2021</t>
  </si>
  <si>
    <t>Richardson Projects (Pvt) Ltd - Parking Apr - 21</t>
  </si>
  <si>
    <t>C202122L</t>
  </si>
  <si>
    <t>00005318/7056/003/02-05-2021</t>
  </si>
  <si>
    <t>Brokerage fee - Naomal - Global Housing, Talawathugoda (Ref:C7-0625)</t>
  </si>
  <si>
    <t>C202123L</t>
  </si>
  <si>
    <t>SD9574696</t>
  </si>
  <si>
    <t>Consultation fee - R B Realtors &amp; Consultants (Pvt) Ltd - Mendis Watta (Ref:C7-0575)</t>
  </si>
  <si>
    <t>C202124L</t>
  </si>
  <si>
    <t>DC37802</t>
  </si>
  <si>
    <t>Brokerage fee - Mrs.Mohideen - St.Michaels Apartments Ins 1  (Ref:C7-0570)</t>
  </si>
  <si>
    <t>C202125L</t>
  </si>
  <si>
    <t>CEFT-Broker fe-</t>
  </si>
  <si>
    <t>Shearwater - Property Management May -21</t>
  </si>
  <si>
    <t>C202126L</t>
  </si>
  <si>
    <t>SMB Leasing PLC - Parking May -21</t>
  </si>
  <si>
    <t>C202127L</t>
  </si>
  <si>
    <t>00829850/7278/011/11-05-2021</t>
  </si>
  <si>
    <t>Richardson Projects (Pvt) Ltd - Parking May - 21</t>
  </si>
  <si>
    <t>C202128L</t>
  </si>
  <si>
    <t>00005412/7056/003/16-06-2021</t>
  </si>
  <si>
    <t>Shearwater - Property Management June -21</t>
  </si>
  <si>
    <t>C202129L</t>
  </si>
  <si>
    <t>SMB Leasing PLC - Parking June -21</t>
  </si>
  <si>
    <t>C202130L</t>
  </si>
  <si>
    <t>00829950/7278/011/16-06-2021</t>
  </si>
  <si>
    <t>Richardson Projects (Pvt) Ltd - Parking June - 21</t>
  </si>
  <si>
    <t>C202131L</t>
  </si>
  <si>
    <t>Richardson Projects (Pvt) Ltd - Parking June - 21 (Disc 10%)</t>
  </si>
  <si>
    <t>C202131L-1</t>
  </si>
  <si>
    <t>00005659/7056/003/10-08-2021</t>
  </si>
  <si>
    <t>Brokerage fee - Mr.Ranil - Rental of Prime 298, Nugegoda  (Ref:C7-0867)</t>
  </si>
  <si>
    <t>C202132L</t>
  </si>
  <si>
    <t>CEFT-Rental Commission sherdon</t>
  </si>
  <si>
    <t>Shearwater - Property Management July -21</t>
  </si>
  <si>
    <t>C202133L</t>
  </si>
  <si>
    <t>SMB Leasing PLC - Parking July -21</t>
  </si>
  <si>
    <t>C202134L</t>
  </si>
  <si>
    <t>00830057/7278/011/21-07-2021</t>
  </si>
  <si>
    <t>Richardson Projects (Pvt) Ltd - Parking July -21</t>
  </si>
  <si>
    <t>C202135L</t>
  </si>
  <si>
    <t>C202135L-1</t>
  </si>
  <si>
    <t>00005661/7056/003/29-07-2021</t>
  </si>
  <si>
    <t>Consultation fee - R B Realtors &amp; Consultants (Pvt) Ltd - Templers Court (Ref:C7-0661)</t>
  </si>
  <si>
    <t>C202136L</t>
  </si>
  <si>
    <t>CEFT-TEMP COURT LAND</t>
  </si>
  <si>
    <t xml:space="preserve">Consultation fee - A &amp; N Realtors </t>
  </si>
  <si>
    <t>C202137L</t>
  </si>
  <si>
    <t>DC6101</t>
  </si>
  <si>
    <t>Consultation fee - R B Realtors &amp; Consultants (Pvt) Ltd - Sylvester Road (Ref:C7-0950)</t>
  </si>
  <si>
    <t>C202138L</t>
  </si>
  <si>
    <t xml:space="preserve">DC45950	</t>
  </si>
  <si>
    <t>Brokerage Commission - land - Polgahana Road,Ragama (Ref:C7-1211)</t>
  </si>
  <si>
    <t>C202139L</t>
  </si>
  <si>
    <t>SD6457284</t>
  </si>
  <si>
    <t>Shearwater - Property Management August -21</t>
  </si>
  <si>
    <t>C202140L</t>
  </si>
  <si>
    <t>SMB Leasing PLC - Parking August -21</t>
  </si>
  <si>
    <t>C202141L</t>
  </si>
  <si>
    <t>00830218/7278/011/07-09-2021</t>
  </si>
  <si>
    <t>Brokerage Commission - Monarch Rental (Ref:C7-0072)</t>
  </si>
  <si>
    <t>C202142L</t>
  </si>
  <si>
    <t>DC7400</t>
  </si>
  <si>
    <t>Brokerage Commission - House Rental in Colombo 05 (Ref:C7-1171)</t>
  </si>
  <si>
    <t>C202143L</t>
  </si>
  <si>
    <t>TRF CHQ 38360683</t>
  </si>
  <si>
    <t>Brokerage Commission - House Rental (Ref:C7-1184)</t>
  </si>
  <si>
    <t>C202144L</t>
  </si>
  <si>
    <t>00528565/7010/679/26-08-2021</t>
  </si>
  <si>
    <t>Brokerage Commission - Apartment Rental (Ref:C7-1281)</t>
  </si>
  <si>
    <t>C202145L</t>
  </si>
  <si>
    <t>00113595/7214/011/19-08-2021</t>
  </si>
  <si>
    <t>Brokerage Commission - House Rental (Ref:C7-1348)</t>
  </si>
  <si>
    <t>C202146L</t>
  </si>
  <si>
    <t>SD3679371, SD3682970, SD3683819,SD8295855</t>
  </si>
  <si>
    <t>Prem &amp; Chaminda</t>
  </si>
  <si>
    <t>C202147L</t>
  </si>
  <si>
    <t>CEFT-KELSEY HOMES (PVT) LTD</t>
  </si>
  <si>
    <t>SMB Leasing PLC - Parking September -21</t>
  </si>
  <si>
    <t>C202148L</t>
  </si>
  <si>
    <t>00830271/7278/011/27-09-2021</t>
  </si>
  <si>
    <t>Shearwater - Property Management September -21</t>
  </si>
  <si>
    <t>C202149L</t>
  </si>
  <si>
    <t>Brokerage Commission - Land Sale in Nuwaraeliya (C7-1148)</t>
  </si>
  <si>
    <t>C202150L</t>
  </si>
  <si>
    <t>SD8701071</t>
  </si>
  <si>
    <t>Brokerage Commission - Apartment Rental - Sep (Ref:C7-1476)</t>
  </si>
  <si>
    <t>C202151L</t>
  </si>
  <si>
    <t>SD9129363</t>
  </si>
  <si>
    <t>Brokerage Commission - House Sale in Kandana (C7-0897)</t>
  </si>
  <si>
    <t>C202152L</t>
  </si>
  <si>
    <t>CEFT-Chaminda</t>
  </si>
  <si>
    <t>Brokerage Commission - Land Sale in Colombo 05 (C7-1325)</t>
  </si>
  <si>
    <t>C202153L</t>
  </si>
  <si>
    <t>DC11694</t>
  </si>
  <si>
    <t>Theeban &amp; Chaminda</t>
  </si>
  <si>
    <t>Documentation Handling Chargers-Thalakotuwa Gardens</t>
  </si>
  <si>
    <t>C202154L</t>
  </si>
  <si>
    <t>C202155L</t>
  </si>
  <si>
    <t>SD5203000</t>
  </si>
  <si>
    <t>Brokerage Commission - Apartment Rental - Sep (Ref:C7-1579) Tenant Commission</t>
  </si>
  <si>
    <t>C202156L</t>
  </si>
  <si>
    <t>SMB Leasing PLC - Parking October -21</t>
  </si>
  <si>
    <t>C202157L</t>
  </si>
  <si>
    <t>SD4008177 (00830450/7278/011/15-10-2021)</t>
  </si>
  <si>
    <t>Shearwater - Property Management October -21</t>
  </si>
  <si>
    <t>C202158L</t>
  </si>
  <si>
    <t>Brokerage Commission - Kalpitiya Land Sale (Ref:C7-0561)</t>
  </si>
  <si>
    <t>C202159L</t>
  </si>
  <si>
    <t>SD9506686</t>
  </si>
  <si>
    <t>C202160L</t>
  </si>
  <si>
    <t>SD641488</t>
  </si>
  <si>
    <t>Brokerage Commission - Apartment Rental (Ref:C7-0990)</t>
  </si>
  <si>
    <t>C202161L</t>
  </si>
  <si>
    <t>SD3195023</t>
  </si>
  <si>
    <t>Amal - Parking October -21</t>
  </si>
  <si>
    <t>C202162L</t>
  </si>
  <si>
    <t>DC639</t>
  </si>
  <si>
    <t>Sanath Silva - Parking October -21</t>
  </si>
  <si>
    <t>C202163L</t>
  </si>
  <si>
    <t>DC684</t>
  </si>
  <si>
    <t>Brokerage Commission - Apartment Rental Mount Lavinia (Ref:C7-1728)</t>
  </si>
  <si>
    <t>C202164L</t>
  </si>
  <si>
    <t>SD6807759</t>
  </si>
  <si>
    <t>Brokerage Commission - Heerassagala House Sale (Ref:C7-0109)</t>
  </si>
  <si>
    <t>C202165L</t>
  </si>
  <si>
    <t>SD7722449</t>
  </si>
  <si>
    <t>SMB Leasing PLC - Parking November -21</t>
  </si>
  <si>
    <t>C202166L</t>
  </si>
  <si>
    <t>SD3412680 (Chq - 00022494)</t>
  </si>
  <si>
    <t>Shearwater - Property Management November -21</t>
  </si>
  <si>
    <t>C202167L</t>
  </si>
  <si>
    <t>Brokerage Commission - Apartment Rental Colombo 03 (Ref:C7-1001)</t>
  </si>
  <si>
    <t>C202168L</t>
  </si>
  <si>
    <t>SD376579, SD376945</t>
  </si>
  <si>
    <t>PBSS - Parking November -21</t>
  </si>
  <si>
    <t>C202169L</t>
  </si>
  <si>
    <t>SD382929</t>
  </si>
  <si>
    <t>Brokerage Commission - Sale of Land in Dompe (Ref:C7-1456)</t>
  </si>
  <si>
    <t>C202170L</t>
  </si>
  <si>
    <t>SD3015083</t>
  </si>
  <si>
    <t>Amal - Parking November -21</t>
  </si>
  <si>
    <t>C202171L</t>
  </si>
  <si>
    <t>DC1487</t>
  </si>
  <si>
    <t>Sanath Silva - Parking November -21</t>
  </si>
  <si>
    <t>C202172L</t>
  </si>
  <si>
    <t>Brokerage Commission - Apartment Rental in Prime Mabola (Ref:C7-1840)</t>
  </si>
  <si>
    <t>C202173L</t>
  </si>
  <si>
    <t>SD4718703</t>
  </si>
  <si>
    <t>Brokerage Commission - Apartment Rental in Arangala (Ref:C7-1319)</t>
  </si>
  <si>
    <t>C202174L</t>
  </si>
  <si>
    <t>DC15726 (Cheque- 35108840)</t>
  </si>
  <si>
    <t>Brokerage Commission - Apartment Rental in Arangala (Ref:C7-0729)</t>
  </si>
  <si>
    <t>C202175L</t>
  </si>
  <si>
    <t>SD3476547</t>
  </si>
  <si>
    <t>Brokerage Commission - House Rental in Thalangama (Ref:C7-1567)</t>
  </si>
  <si>
    <t>C202176L</t>
  </si>
  <si>
    <t>SD7982550</t>
  </si>
  <si>
    <t xml:space="preserve">Consultation fee - R B Realtors &amp; Consultants (Pvt) Ltd - Athurugiriya Land </t>
  </si>
  <si>
    <t>C202177L</t>
  </si>
  <si>
    <t>DC18563</t>
  </si>
  <si>
    <t>Brokerage Commission - Apartment Rental in Col 4(Ref:C7-1693) Nov-21</t>
  </si>
  <si>
    <t>C202178L</t>
  </si>
  <si>
    <t>SD3691330</t>
  </si>
  <si>
    <t>Brokerage Commission - Apartment Rental in Col 4(Ref:C7-1693) Dec-21</t>
  </si>
  <si>
    <t>C202179L</t>
  </si>
  <si>
    <t>SD3691706</t>
  </si>
  <si>
    <t>Brokerage Commission - Warehouse Rental in Palliyewatta (Ref:C7-1502)</t>
  </si>
  <si>
    <t>C202180L</t>
  </si>
  <si>
    <t>SD7374084</t>
  </si>
  <si>
    <t>C202181L</t>
  </si>
  <si>
    <t>SMB Leasing PLC - Parking December -21</t>
  </si>
  <si>
    <t>C202182L</t>
  </si>
  <si>
    <t>SD5871731 (Cheque- 00022654)</t>
  </si>
  <si>
    <t>PBSS - Parking December -21</t>
  </si>
  <si>
    <t>C202183L</t>
  </si>
  <si>
    <t>SD8243536 (Cheque- 10000959)</t>
  </si>
  <si>
    <t>Shearwater - Property Management December -21</t>
  </si>
  <si>
    <t>C202184L</t>
  </si>
  <si>
    <t>Amal - Parking December -21</t>
  </si>
  <si>
    <t>C202185L</t>
  </si>
  <si>
    <t>DC3303</t>
  </si>
  <si>
    <t xml:space="preserve">Brokerage Commission - Apartment Marine City Dehiwala </t>
  </si>
  <si>
    <t>C202186L</t>
  </si>
  <si>
    <t>SD4834413</t>
  </si>
  <si>
    <t>Brokerage Commission - Sale of Land in Polengoda (Ref: C7-1227)</t>
  </si>
  <si>
    <t>C202187L</t>
  </si>
  <si>
    <t>SD1094320</t>
  </si>
  <si>
    <t>Brokerage Commission - Commercial Rental Ketharama (Ref:C7-1779)</t>
  </si>
  <si>
    <t>C202188L</t>
  </si>
  <si>
    <t>SD9590332 (Cheque- 00771131)</t>
  </si>
  <si>
    <t>Brokerage Commission - Apartement Rental in Koswatta (Ref: C7-0729)</t>
  </si>
  <si>
    <t>C202189L</t>
  </si>
  <si>
    <t>SD2966511</t>
  </si>
  <si>
    <t>Brokerage Commission - Sale of Land in Hunupitiya (Ref: C7-0586)</t>
  </si>
  <si>
    <t>C202190L</t>
  </si>
  <si>
    <t>SD3351718</t>
  </si>
  <si>
    <t>Shearwater Parking Revenue Share 10%</t>
  </si>
  <si>
    <t>00455641/7010/034/08-09-2021</t>
  </si>
  <si>
    <t xml:space="preserve">Agent </t>
  </si>
  <si>
    <t>Amount</t>
  </si>
  <si>
    <t>Dhulmith</t>
  </si>
  <si>
    <t>Shearwater - Property Management Jan</t>
  </si>
  <si>
    <t>C202001L</t>
  </si>
  <si>
    <t>BOC Cheque 455628 &amp; 455624/7010/034/08-08-2020</t>
  </si>
  <si>
    <t>Shearwater - Property Management Feb</t>
  </si>
  <si>
    <t>C202002L</t>
  </si>
  <si>
    <t>Shearwater - Property Management Mar</t>
  </si>
  <si>
    <t>C202003L</t>
  </si>
  <si>
    <t>Shearwater - Property Management Apr</t>
  </si>
  <si>
    <t>C202004L</t>
  </si>
  <si>
    <t>Waived off for COVID-19</t>
  </si>
  <si>
    <t>Shearwater - Property Management May</t>
  </si>
  <si>
    <t>C202005L</t>
  </si>
  <si>
    <t>Brokerage 2% - Edmonton Richard</t>
  </si>
  <si>
    <t>C202006L</t>
  </si>
  <si>
    <t>Payment through Sherden</t>
  </si>
  <si>
    <t>Shearwater - Property Management Jun</t>
  </si>
  <si>
    <t>C202007L</t>
  </si>
  <si>
    <t>Shearwater - Property Management Jul</t>
  </si>
  <si>
    <t>C202008L</t>
  </si>
  <si>
    <t>SMB Leasing PLC - Parking Aug</t>
  </si>
  <si>
    <t>C202009L</t>
  </si>
  <si>
    <t>00021285/7056/003/03-09-2020</t>
  </si>
  <si>
    <t>SMB Leasing PLC - Parking Sep</t>
  </si>
  <si>
    <t>C202010L</t>
  </si>
  <si>
    <t>00021372/7056/003/06-09-2020</t>
  </si>
  <si>
    <t xml:space="preserve">Richardson Projects (Pvt) Ltd - Parking Sep </t>
  </si>
  <si>
    <t>C202011L</t>
  </si>
  <si>
    <t>00004362/7056/003/03-09-2020</t>
  </si>
  <si>
    <t>Shearwater - Property Management Aug</t>
  </si>
  <si>
    <t>C202012L</t>
  </si>
  <si>
    <t xml:space="preserve">Richardson Projects (Pvt) Ltd - Parking Oct </t>
  </si>
  <si>
    <t>C202013L</t>
  </si>
  <si>
    <t>00004519/7056/003/14-10-2020</t>
  </si>
  <si>
    <t>SMB Leasing PLC - Parking Oct</t>
  </si>
  <si>
    <t>C202014L</t>
  </si>
  <si>
    <t>00021594/7056/003/07-10-2020</t>
  </si>
  <si>
    <t>Richardson Projects (Pvt) Ltd - Parking Oct (1 Slot)</t>
  </si>
  <si>
    <t>C202015L</t>
  </si>
  <si>
    <t>Chq No -004655</t>
  </si>
  <si>
    <t>State Mortgage &amp; Investment Bank - Parking Oct</t>
  </si>
  <si>
    <t>C202016L</t>
  </si>
  <si>
    <t>00606994/7010/034/23-10-2020</t>
  </si>
  <si>
    <t>SMB Leasing PLC - Parking Nov</t>
  </si>
  <si>
    <t>C202017L</t>
  </si>
  <si>
    <t>Richardson Projects (Pvt) Ltd - Parking Nov</t>
  </si>
  <si>
    <t>C202018L</t>
  </si>
  <si>
    <t>Theekshana Katuwawala - Parking Nov</t>
  </si>
  <si>
    <t>C202019L</t>
  </si>
  <si>
    <t>State Mortgage &amp; Investment Bank - Parking Nov</t>
  </si>
  <si>
    <t>C202020L</t>
  </si>
  <si>
    <t>00630161/7010/034/30-12-2020</t>
  </si>
  <si>
    <t>State Mortgage &amp; Investment Bank - Additional Parking Oct</t>
  </si>
  <si>
    <t>C202021L</t>
  </si>
  <si>
    <t>Shearwater - Property Management Sep</t>
  </si>
  <si>
    <t>C202022L</t>
  </si>
  <si>
    <t>Shearwater - Property Management Oct</t>
  </si>
  <si>
    <t>C202023L</t>
  </si>
  <si>
    <t>C202018L-1</t>
  </si>
  <si>
    <t>Brokerage Fee - Punchihewa Malabe Land (Ref:C7-0077)</t>
  </si>
  <si>
    <t>C202024L</t>
  </si>
  <si>
    <t>Cash Deposit</t>
  </si>
  <si>
    <t>SMB Leasing PLC - Parking Dec</t>
  </si>
  <si>
    <t>C202025L</t>
  </si>
  <si>
    <t>Chq No - 021976</t>
  </si>
  <si>
    <t>Richardson Projects (Pvt) Ltd - Parking Dec</t>
  </si>
  <si>
    <t>C202026L</t>
  </si>
  <si>
    <t>00004731/7056/003/17-12-2020</t>
  </si>
  <si>
    <t>State Mortgage &amp; Investment Bank - Parking Dec</t>
  </si>
  <si>
    <t>C202027L</t>
  </si>
  <si>
    <t>Shearwater - Property Management Nov</t>
  </si>
  <si>
    <t>C202028L</t>
  </si>
  <si>
    <t>Richardson Projects (Pvt) Ltd - Parking Dec (Additonal)</t>
  </si>
  <si>
    <t>C202029L</t>
  </si>
  <si>
    <t>00004821/7056/003/01-02-2021</t>
  </si>
  <si>
    <t>Pink Elephant</t>
  </si>
  <si>
    <t>C202030L</t>
  </si>
  <si>
    <t xml:space="preserve">Brokerage Fee - Punchihewa </t>
  </si>
  <si>
    <t>C202031L</t>
  </si>
  <si>
    <t>CEFT-punchihew-</t>
  </si>
  <si>
    <t>Shearwater - Property Management Dec</t>
  </si>
  <si>
    <t>C202032L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</si>
</sst>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[$-409]mmm\-yy"/>
    <numFmt numFmtId="166" formatCode="mmm\-d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  <scheme val="minor"/>
    </font>
    <font>
      <sz val="11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14" fontId="3" fillId="0" borderId="0" xfId="0" applyNumberFormat="1" applyFont="1"/>
    <xf numFmtId="165" fontId="3" fillId="0" borderId="0" xfId="0" applyNumberFormat="1" applyFont="1"/>
    <xf numFmtId="43" fontId="3" fillId="2" borderId="0" xfId="0" applyNumberFormat="1" applyFont="1" applyFill="1"/>
    <xf numFmtId="0" fontId="2" fillId="2" borderId="0" xfId="0" applyFont="1" applyFill="1"/>
    <xf numFmtId="43" fontId="4" fillId="2" borderId="0" xfId="0" applyNumberFormat="1" applyFont="1" applyFill="1"/>
    <xf numFmtId="0" fontId="4" fillId="0" borderId="0" xfId="0" applyFont="1"/>
    <xf numFmtId="43" fontId="4" fillId="0" borderId="0" xfId="0" applyNumberFormat="1" applyFont="1"/>
    <xf numFmtId="4" fontId="5" fillId="0" borderId="0" xfId="0" applyNumberFormat="1" applyFont="1"/>
    <xf numFmtId="0" fontId="5" fillId="0" borderId="0" xfId="0" applyFont="1"/>
    <xf numFmtId="0" fontId="3" fillId="3" borderId="0" xfId="0" applyFont="1" applyFill="1"/>
    <xf numFmtId="164" fontId="3" fillId="0" borderId="0" xfId="0" applyNumberFormat="1" applyFont="1"/>
    <xf numFmtId="164" fontId="6" fillId="0" borderId="0" xfId="0" applyNumberFormat="1" applyFont="1"/>
    <xf numFmtId="0" fontId="6" fillId="0" borderId="0" xfId="0" applyFont="1"/>
    <xf numFmtId="43" fontId="5" fillId="0" borderId="0" xfId="0" applyNumberFormat="1" applyFont="1"/>
    <xf numFmtId="4" fontId="7" fillId="0" borderId="0" xfId="0" applyNumberFormat="1" applyFont="1"/>
    <xf numFmtId="0" fontId="7" fillId="0" borderId="0" xfId="0" applyFont="1"/>
    <xf numFmtId="14" fontId="3" fillId="2" borderId="0" xfId="0" applyNumberFormat="1" applyFont="1" applyFill="1"/>
    <xf numFmtId="4" fontId="2" fillId="2" borderId="0" xfId="0" applyNumberFormat="1" applyFont="1" applyFill="1"/>
    <xf numFmtId="14" fontId="2" fillId="0" borderId="0" xfId="0" applyNumberFormat="1" applyFont="1"/>
    <xf numFmtId="43" fontId="3" fillId="0" borderId="1" xfId="0" applyNumberFormat="1" applyFont="1" applyBorder="1"/>
    <xf numFmtId="4" fontId="3" fillId="0" borderId="1" xfId="0" applyNumberFormat="1" applyFont="1" applyBorder="1"/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0" fontId="3" fillId="4" borderId="0" xfId="0" applyFont="1" applyFill="1" applyAlignment="1">
      <alignment horizontal="left"/>
    </xf>
    <xf numFmtId="43" fontId="3" fillId="4" borderId="0" xfId="0" applyNumberFormat="1" applyFont="1" applyFill="1"/>
    <xf numFmtId="14" fontId="4" fillId="0" borderId="0" xfId="0" applyNumberFormat="1" applyFont="1"/>
    <xf numFmtId="164" fontId="2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5" fillId="0" borderId="0" xfId="0" applyNumberFormat="1" applyFont="1"/>
    <xf numFmtId="14" fontId="5" fillId="0" borderId="0" xfId="0" applyNumberFormat="1" applyFont="1" applyAlignment="1">
      <alignment horizontal="left"/>
    </xf>
    <xf numFmtId="165" fontId="5" fillId="0" borderId="0" xfId="0" applyNumberFormat="1" applyFont="1"/>
    <xf numFmtId="0" fontId="5" fillId="0" borderId="0" xfId="0" applyFont="1" applyAlignment="1">
      <alignment horizontal="left"/>
    </xf>
    <xf numFmtId="166" fontId="2" fillId="0" borderId="0" xfId="0" applyNumberFormat="1" applyFont="1"/>
    <xf numFmtId="43" fontId="3" fillId="5" borderId="2" xfId="0" applyNumberFormat="1" applyFont="1" applyFill="1" applyBorder="1"/>
    <xf numFmtId="165" fontId="3" fillId="3" borderId="2" xfId="0" applyNumberFormat="1" applyFont="1" applyFill="1" applyBorder="1"/>
    <xf numFmtId="4" fontId="3" fillId="0" borderId="0" xfId="0" applyNumberFormat="1" applyFont="1"/>
    <xf numFmtId="14" fontId="3" fillId="3" borderId="2" xfId="0" applyNumberFormat="1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 applyAlignment="1">
      <alignment horizontal="left"/>
    </xf>
    <xf numFmtId="43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64"/>
  <sheetViews>
    <sheetView tabSelected="1" topLeftCell="A80"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 x14ac:dyDescent="0.3"/>
  <cols>
    <col min="1" max="1" width="13.44140625" customWidth="1"/>
    <col min="2" max="2" width="68.109375" customWidth="1"/>
    <col min="3" max="3" width="21.5546875" customWidth="1"/>
    <col min="4" max="4" width="15.44140625" customWidth="1"/>
    <col min="5" max="5" width="15.6640625" customWidth="1"/>
    <col min="6" max="6" width="14.6640625" customWidth="1"/>
    <col min="7" max="7" width="18.44140625" customWidth="1"/>
    <col min="8" max="8" width="19.109375" customWidth="1"/>
    <col min="9" max="9" width="19.44140625" customWidth="1"/>
    <col min="10" max="10" width="17.109375" customWidth="1"/>
    <col min="11" max="11" width="15.44140625" customWidth="1"/>
    <col min="12" max="12" width="11.88671875" customWidth="1"/>
    <col min="13" max="13" width="15.88671875" customWidth="1"/>
    <col min="14" max="14" width="13.88671875" customWidth="1"/>
    <col min="15" max="15" width="14.44140625" customWidth="1"/>
    <col min="16" max="16" width="15" customWidth="1"/>
    <col min="17" max="17" width="15.88671875" customWidth="1"/>
    <col min="18" max="18" width="16.109375" customWidth="1"/>
    <col min="19" max="19" width="13.88671875" customWidth="1"/>
    <col min="20" max="20" width="10.6640625" customWidth="1"/>
    <col min="21" max="25" width="8.88671875" customWidth="1"/>
  </cols>
  <sheetData>
    <row r="1" spans="1:25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/>
      <c r="T1" s="5" t="s">
        <v>18</v>
      </c>
      <c r="U1" s="3"/>
      <c r="V1" s="3"/>
      <c r="W1" s="3"/>
      <c r="X1" s="3"/>
      <c r="Y1" s="3"/>
    </row>
    <row r="2" spans="1:25" ht="14.4" x14ac:dyDescent="0.3">
      <c r="A2" s="6">
        <v>46025</v>
      </c>
      <c r="B2" s="2" t="s">
        <v>19</v>
      </c>
      <c r="C2" s="7" t="s">
        <v>20</v>
      </c>
      <c r="D2" s="8" t="s">
        <v>21</v>
      </c>
      <c r="E2" s="9">
        <v>100000</v>
      </c>
      <c r="F2" s="2">
        <v>0</v>
      </c>
      <c r="G2" s="10"/>
      <c r="H2" s="9"/>
      <c r="I2" s="9">
        <f t="shared" ref="I2:I52" si="0">E2-H2</f>
        <v>100000</v>
      </c>
      <c r="K2" s="2" t="s">
        <v>22</v>
      </c>
      <c r="L2" s="11">
        <f>L4</f>
        <v>46023</v>
      </c>
      <c r="M2" s="9">
        <f>E2</f>
        <v>100000</v>
      </c>
      <c r="N2" s="9">
        <f>M2</f>
        <v>100000</v>
      </c>
      <c r="O2" s="9"/>
      <c r="P2" s="12"/>
      <c r="Q2" s="12"/>
      <c r="R2" s="12"/>
      <c r="S2" s="9">
        <f t="shared" ref="S2:S51" si="1">M2-N2-O2-P2-Q2-R2</f>
        <v>0</v>
      </c>
      <c r="T2" s="1"/>
    </row>
    <row r="3" spans="1:25" ht="14.4" x14ac:dyDescent="0.3">
      <c r="A3" s="6">
        <v>46025</v>
      </c>
      <c r="B3" s="2" t="s">
        <v>23</v>
      </c>
      <c r="C3" s="7" t="s">
        <v>24</v>
      </c>
      <c r="D3" s="8" t="s">
        <v>25</v>
      </c>
      <c r="E3" s="9">
        <v>42000</v>
      </c>
      <c r="F3" s="6">
        <f t="shared" ref="F3:F52" si="2">A3</f>
        <v>46025</v>
      </c>
      <c r="G3" s="10"/>
      <c r="H3" s="12">
        <v>42000</v>
      </c>
      <c r="I3" s="9">
        <f t="shared" si="0"/>
        <v>0</v>
      </c>
      <c r="J3" s="2" t="s">
        <v>26</v>
      </c>
      <c r="K3" s="2" t="s">
        <v>27</v>
      </c>
      <c r="L3" s="11">
        <f>L2</f>
        <v>46023</v>
      </c>
      <c r="M3" s="9"/>
      <c r="N3" s="9"/>
      <c r="O3" s="9"/>
      <c r="P3" s="12"/>
      <c r="Q3" s="12"/>
      <c r="R3" s="12"/>
      <c r="S3" s="9">
        <f t="shared" si="1"/>
        <v>0</v>
      </c>
      <c r="T3" s="1"/>
    </row>
    <row r="4" spans="1:25" ht="14.4" x14ac:dyDescent="0.3">
      <c r="A4" s="6">
        <v>46041</v>
      </c>
      <c r="B4" s="2" t="s">
        <v>28</v>
      </c>
      <c r="C4" s="7" t="s">
        <v>29</v>
      </c>
      <c r="D4" s="8" t="s">
        <v>30</v>
      </c>
      <c r="E4" s="9">
        <v>1350000</v>
      </c>
      <c r="F4" s="6">
        <f t="shared" si="2"/>
        <v>46041</v>
      </c>
      <c r="G4" s="10">
        <v>46042</v>
      </c>
      <c r="H4" s="9">
        <v>1350000</v>
      </c>
      <c r="I4" s="9">
        <f t="shared" si="0"/>
        <v>0</v>
      </c>
      <c r="J4" s="2" t="s">
        <v>31</v>
      </c>
      <c r="K4" s="2" t="s">
        <v>32</v>
      </c>
      <c r="L4" s="11">
        <v>46023</v>
      </c>
      <c r="M4" s="9">
        <f t="shared" ref="M4:M7" si="3">E4</f>
        <v>1350000</v>
      </c>
      <c r="N4" s="9"/>
      <c r="O4" s="9"/>
      <c r="P4" s="12"/>
      <c r="Q4" s="12"/>
      <c r="R4" s="12">
        <f>E4</f>
        <v>1350000</v>
      </c>
      <c r="S4" s="9">
        <f t="shared" si="1"/>
        <v>0</v>
      </c>
      <c r="T4" s="1"/>
    </row>
    <row r="5" spans="1:25" ht="14.4" x14ac:dyDescent="0.3">
      <c r="A5" s="6">
        <v>46048</v>
      </c>
      <c r="B5" s="2" t="s">
        <v>33</v>
      </c>
      <c r="C5" s="7" t="s">
        <v>34</v>
      </c>
      <c r="D5" s="8" t="s">
        <v>35</v>
      </c>
      <c r="E5" s="9">
        <v>810000</v>
      </c>
      <c r="F5" s="6">
        <f t="shared" si="2"/>
        <v>46048</v>
      </c>
      <c r="G5" s="10">
        <v>46073</v>
      </c>
      <c r="H5" s="9">
        <f>E5</f>
        <v>810000</v>
      </c>
      <c r="I5" s="9">
        <f t="shared" si="0"/>
        <v>0</v>
      </c>
      <c r="J5" s="2" t="s">
        <v>36</v>
      </c>
      <c r="K5" s="2" t="s">
        <v>32</v>
      </c>
      <c r="L5" s="11">
        <f>L9</f>
        <v>46054</v>
      </c>
      <c r="M5" s="9">
        <f t="shared" si="3"/>
        <v>810000</v>
      </c>
      <c r="N5" s="9"/>
      <c r="O5" s="9"/>
      <c r="P5" s="12"/>
      <c r="Q5" s="12">
        <f>E5</f>
        <v>810000</v>
      </c>
      <c r="R5" s="12"/>
      <c r="S5" s="9">
        <f t="shared" si="1"/>
        <v>0</v>
      </c>
      <c r="T5" s="1"/>
    </row>
    <row r="6" spans="1:25" ht="14.4" x14ac:dyDescent="0.3">
      <c r="A6" s="6">
        <v>46053</v>
      </c>
      <c r="B6" s="13" t="s">
        <v>37</v>
      </c>
      <c r="C6" s="7" t="s">
        <v>20</v>
      </c>
      <c r="D6" s="8" t="s">
        <v>38</v>
      </c>
      <c r="E6" s="9">
        <v>4507</v>
      </c>
      <c r="F6" s="6">
        <f t="shared" si="2"/>
        <v>46053</v>
      </c>
      <c r="G6" s="6">
        <v>46132</v>
      </c>
      <c r="H6" s="12">
        <v>4507</v>
      </c>
      <c r="I6" s="9">
        <f t="shared" si="0"/>
        <v>0</v>
      </c>
      <c r="J6" s="2" t="s">
        <v>39</v>
      </c>
      <c r="K6" s="2" t="s">
        <v>22</v>
      </c>
      <c r="L6" s="11">
        <v>46023</v>
      </c>
      <c r="M6" s="9">
        <f t="shared" si="3"/>
        <v>4507</v>
      </c>
      <c r="N6" s="9">
        <f t="shared" ref="N6:N7" si="4">M6</f>
        <v>4507</v>
      </c>
      <c r="O6" s="9"/>
      <c r="P6" s="12"/>
      <c r="Q6" s="12"/>
      <c r="R6" s="12"/>
      <c r="S6" s="9">
        <f t="shared" si="1"/>
        <v>0</v>
      </c>
      <c r="T6" s="1"/>
    </row>
    <row r="7" spans="1:25" ht="14.4" x14ac:dyDescent="0.3">
      <c r="A7" s="6">
        <v>46055</v>
      </c>
      <c r="B7" s="2" t="s">
        <v>40</v>
      </c>
      <c r="C7" s="7" t="s">
        <v>20</v>
      </c>
      <c r="D7" s="8" t="s">
        <v>41</v>
      </c>
      <c r="E7" s="9">
        <v>100000</v>
      </c>
      <c r="F7" s="6">
        <f t="shared" si="2"/>
        <v>46055</v>
      </c>
      <c r="G7" s="6"/>
      <c r="H7" s="14"/>
      <c r="I7" s="9">
        <f t="shared" si="0"/>
        <v>100000</v>
      </c>
      <c r="J7" s="15"/>
      <c r="K7" s="2" t="s">
        <v>22</v>
      </c>
      <c r="L7" s="11">
        <v>46054</v>
      </c>
      <c r="M7" s="16">
        <f t="shared" si="3"/>
        <v>100000</v>
      </c>
      <c r="N7" s="16">
        <f t="shared" si="4"/>
        <v>100000</v>
      </c>
      <c r="O7" s="16"/>
      <c r="P7" s="14"/>
      <c r="Q7" s="14"/>
      <c r="R7" s="14"/>
      <c r="S7" s="16">
        <f t="shared" si="1"/>
        <v>0</v>
      </c>
      <c r="T7" s="17"/>
      <c r="U7" s="18"/>
      <c r="V7" s="18"/>
      <c r="W7" s="18"/>
      <c r="X7" s="18"/>
      <c r="Y7" s="18"/>
    </row>
    <row r="8" spans="1:25" ht="14.4" x14ac:dyDescent="0.3">
      <c r="A8" s="6">
        <v>46055</v>
      </c>
      <c r="B8" s="2" t="s">
        <v>42</v>
      </c>
      <c r="C8" s="7" t="s">
        <v>24</v>
      </c>
      <c r="D8" s="8" t="s">
        <v>43</v>
      </c>
      <c r="E8" s="9">
        <v>42000</v>
      </c>
      <c r="F8" s="6">
        <f t="shared" si="2"/>
        <v>46055</v>
      </c>
      <c r="G8" s="10">
        <v>46091</v>
      </c>
      <c r="H8" s="12">
        <v>42000</v>
      </c>
      <c r="I8" s="9">
        <f t="shared" si="0"/>
        <v>0</v>
      </c>
      <c r="J8" s="2" t="s">
        <v>44</v>
      </c>
      <c r="K8" s="2" t="s">
        <v>27</v>
      </c>
      <c r="L8" s="11">
        <v>46054</v>
      </c>
      <c r="M8" s="9"/>
      <c r="N8" s="9"/>
      <c r="O8" s="9"/>
      <c r="P8" s="12"/>
      <c r="Q8" s="12"/>
      <c r="R8" s="12"/>
      <c r="S8" s="16">
        <f t="shared" si="1"/>
        <v>0</v>
      </c>
      <c r="T8" s="1"/>
    </row>
    <row r="9" spans="1:25" ht="14.4" x14ac:dyDescent="0.3">
      <c r="A9" s="6">
        <v>46055</v>
      </c>
      <c r="B9" s="2" t="s">
        <v>45</v>
      </c>
      <c r="C9" s="19" t="s">
        <v>46</v>
      </c>
      <c r="D9" s="8" t="s">
        <v>47</v>
      </c>
      <c r="E9" s="9">
        <v>620000</v>
      </c>
      <c r="F9" s="6">
        <f t="shared" si="2"/>
        <v>46055</v>
      </c>
      <c r="G9" s="10"/>
      <c r="H9" s="12">
        <f>619000+1000</f>
        <v>620000</v>
      </c>
      <c r="I9" s="9">
        <f t="shared" si="0"/>
        <v>0</v>
      </c>
      <c r="J9" s="2" t="s">
        <v>48</v>
      </c>
      <c r="K9" s="2" t="s">
        <v>32</v>
      </c>
      <c r="L9" s="11">
        <v>46054</v>
      </c>
      <c r="M9" s="16">
        <f t="shared" ref="M9:M13" si="5">E9</f>
        <v>620000</v>
      </c>
      <c r="N9" s="16"/>
      <c r="O9" s="9"/>
      <c r="P9" s="12"/>
      <c r="Q9" s="12"/>
      <c r="R9" s="12">
        <f>M9</f>
        <v>620000</v>
      </c>
      <c r="S9" s="16">
        <f t="shared" si="1"/>
        <v>0</v>
      </c>
      <c r="T9" s="1"/>
    </row>
    <row r="10" spans="1:25" ht="14.4" x14ac:dyDescent="0.3">
      <c r="A10" s="6">
        <v>46071</v>
      </c>
      <c r="B10" s="2" t="s">
        <v>49</v>
      </c>
      <c r="C10" s="7" t="s">
        <v>50</v>
      </c>
      <c r="D10" s="8" t="s">
        <v>51</v>
      </c>
      <c r="E10" s="9">
        <f>1121250</f>
        <v>1121250</v>
      </c>
      <c r="F10" s="6">
        <f t="shared" si="2"/>
        <v>46071</v>
      </c>
      <c r="G10" s="10"/>
      <c r="H10" s="12">
        <f>E10/2</f>
        <v>560625</v>
      </c>
      <c r="I10" s="9">
        <f t="shared" si="0"/>
        <v>560625</v>
      </c>
      <c r="K10" s="2" t="s">
        <v>32</v>
      </c>
      <c r="L10" s="11">
        <v>46082</v>
      </c>
      <c r="M10" s="16">
        <f t="shared" si="5"/>
        <v>1121250</v>
      </c>
      <c r="N10" s="9"/>
      <c r="O10" s="9"/>
      <c r="P10" s="12"/>
      <c r="Q10" s="12">
        <f>E10</f>
        <v>1121250</v>
      </c>
      <c r="R10" s="12"/>
      <c r="S10" s="9">
        <f t="shared" si="1"/>
        <v>0</v>
      </c>
      <c r="T10" s="1">
        <f>Q10/2</f>
        <v>560625</v>
      </c>
    </row>
    <row r="11" spans="1:25" ht="14.4" x14ac:dyDescent="0.3">
      <c r="A11" s="6">
        <v>46071</v>
      </c>
      <c r="B11" s="2" t="s">
        <v>52</v>
      </c>
      <c r="C11" s="2" t="s">
        <v>53</v>
      </c>
      <c r="D11" s="8" t="s">
        <v>54</v>
      </c>
      <c r="E11" s="9">
        <v>900000</v>
      </c>
      <c r="F11" s="6">
        <f t="shared" si="2"/>
        <v>46071</v>
      </c>
      <c r="G11" s="10">
        <v>46073</v>
      </c>
      <c r="H11" s="12">
        <f>E11</f>
        <v>900000</v>
      </c>
      <c r="I11" s="9">
        <f t="shared" si="0"/>
        <v>0</v>
      </c>
      <c r="J11" s="2" t="s">
        <v>55</v>
      </c>
      <c r="K11" s="2" t="s">
        <v>32</v>
      </c>
      <c r="L11" s="11">
        <v>46054</v>
      </c>
      <c r="M11" s="16">
        <f t="shared" si="5"/>
        <v>900000</v>
      </c>
      <c r="N11" s="9"/>
      <c r="O11" s="9"/>
      <c r="P11" s="12"/>
      <c r="Q11" s="12">
        <f>M11</f>
        <v>900000</v>
      </c>
      <c r="R11" s="12"/>
      <c r="S11" s="9">
        <f t="shared" si="1"/>
        <v>0</v>
      </c>
      <c r="T11" s="1"/>
    </row>
    <row r="12" spans="1:25" ht="14.4" x14ac:dyDescent="0.3">
      <c r="A12" s="6">
        <v>46081</v>
      </c>
      <c r="B12" s="13" t="s">
        <v>56</v>
      </c>
      <c r="C12" s="7" t="s">
        <v>20</v>
      </c>
      <c r="D12" s="8" t="s">
        <v>57</v>
      </c>
      <c r="E12" s="9">
        <v>4512</v>
      </c>
      <c r="F12" s="6">
        <f t="shared" si="2"/>
        <v>46081</v>
      </c>
      <c r="G12" s="6">
        <v>46132</v>
      </c>
      <c r="H12" s="12">
        <v>4512</v>
      </c>
      <c r="I12" s="9">
        <f t="shared" si="0"/>
        <v>0</v>
      </c>
      <c r="J12" s="2" t="s">
        <v>39</v>
      </c>
      <c r="K12" s="2" t="s">
        <v>22</v>
      </c>
      <c r="L12" s="11">
        <v>46054</v>
      </c>
      <c r="M12" s="9">
        <f t="shared" si="5"/>
        <v>4512</v>
      </c>
      <c r="N12" s="9">
        <f t="shared" ref="N12:N13" si="6">M12</f>
        <v>4512</v>
      </c>
      <c r="O12" s="9"/>
      <c r="P12" s="12"/>
      <c r="Q12" s="12"/>
      <c r="R12" s="12"/>
      <c r="S12" s="9">
        <f t="shared" si="1"/>
        <v>0</v>
      </c>
      <c r="T12" s="1"/>
    </row>
    <row r="13" spans="1:25" ht="14.4" x14ac:dyDescent="0.3">
      <c r="A13" s="6">
        <v>46090</v>
      </c>
      <c r="B13" s="2" t="s">
        <v>58</v>
      </c>
      <c r="C13" s="7" t="s">
        <v>20</v>
      </c>
      <c r="D13" s="8" t="s">
        <v>59</v>
      </c>
      <c r="E13" s="9">
        <v>100000</v>
      </c>
      <c r="F13" s="6">
        <f t="shared" si="2"/>
        <v>46090</v>
      </c>
      <c r="G13" s="10"/>
      <c r="H13" s="12"/>
      <c r="I13" s="9">
        <f t="shared" si="0"/>
        <v>100000</v>
      </c>
      <c r="K13" s="2" t="s">
        <v>22</v>
      </c>
      <c r="L13" s="11">
        <v>46082</v>
      </c>
      <c r="M13" s="9">
        <f t="shared" si="5"/>
        <v>100000</v>
      </c>
      <c r="N13" s="9">
        <f t="shared" si="6"/>
        <v>100000</v>
      </c>
      <c r="O13" s="9"/>
      <c r="P13" s="12"/>
      <c r="Q13" s="12"/>
      <c r="R13" s="12"/>
      <c r="S13" s="9">
        <f t="shared" si="1"/>
        <v>0</v>
      </c>
      <c r="T13" s="1"/>
    </row>
    <row r="14" spans="1:25" ht="14.4" x14ac:dyDescent="0.3">
      <c r="A14" s="6">
        <v>46090</v>
      </c>
      <c r="B14" s="2" t="s">
        <v>60</v>
      </c>
      <c r="C14" s="7" t="s">
        <v>24</v>
      </c>
      <c r="D14" s="8" t="s">
        <v>61</v>
      </c>
      <c r="E14" s="9">
        <v>42000</v>
      </c>
      <c r="F14" s="6">
        <f t="shared" si="2"/>
        <v>46090</v>
      </c>
      <c r="G14" s="10">
        <v>46161</v>
      </c>
      <c r="H14" s="12">
        <v>42000</v>
      </c>
      <c r="I14" s="9">
        <f t="shared" si="0"/>
        <v>0</v>
      </c>
      <c r="J14" s="2" t="s">
        <v>62</v>
      </c>
      <c r="K14" s="2" t="s">
        <v>27</v>
      </c>
      <c r="L14" s="11">
        <v>46082</v>
      </c>
      <c r="M14" s="9"/>
      <c r="N14" s="9"/>
      <c r="O14" s="9"/>
      <c r="P14" s="12"/>
      <c r="Q14" s="12"/>
      <c r="R14" s="12"/>
      <c r="S14" s="9">
        <f t="shared" si="1"/>
        <v>0</v>
      </c>
      <c r="T14" s="1"/>
    </row>
    <row r="15" spans="1:25" ht="14.4" x14ac:dyDescent="0.3">
      <c r="A15" s="6">
        <v>46090</v>
      </c>
      <c r="B15" s="2" t="s">
        <v>63</v>
      </c>
      <c r="C15" s="7" t="s">
        <v>64</v>
      </c>
      <c r="D15" s="8" t="s">
        <v>65</v>
      </c>
      <c r="E15" s="9">
        <v>1050000</v>
      </c>
      <c r="F15" s="6">
        <f t="shared" si="2"/>
        <v>46090</v>
      </c>
      <c r="G15" s="6">
        <v>46073</v>
      </c>
      <c r="H15" s="12">
        <v>1050000</v>
      </c>
      <c r="I15" s="9">
        <f t="shared" si="0"/>
        <v>0</v>
      </c>
      <c r="J15" s="13" t="s">
        <v>66</v>
      </c>
      <c r="K15" s="2" t="s">
        <v>32</v>
      </c>
      <c r="L15" s="11">
        <v>46054</v>
      </c>
      <c r="M15" s="9">
        <f t="shared" ref="M15:M16" si="7">H15</f>
        <v>1050000</v>
      </c>
      <c r="N15" s="9"/>
      <c r="O15" s="9"/>
      <c r="P15" s="12">
        <f t="shared" ref="P15:P16" si="8">M15</f>
        <v>1050000</v>
      </c>
      <c r="Q15" s="12"/>
      <c r="R15" s="12"/>
      <c r="S15" s="9">
        <f t="shared" si="1"/>
        <v>0</v>
      </c>
      <c r="T15" s="1"/>
    </row>
    <row r="16" spans="1:25" ht="14.4" x14ac:dyDescent="0.3">
      <c r="A16" s="6">
        <v>46105</v>
      </c>
      <c r="B16" s="7" t="s">
        <v>67</v>
      </c>
      <c r="C16" s="7" t="s">
        <v>68</v>
      </c>
      <c r="D16" s="8" t="s">
        <v>69</v>
      </c>
      <c r="E16" s="9">
        <f>5827500/2</f>
        <v>2913750</v>
      </c>
      <c r="F16" s="6">
        <f t="shared" si="2"/>
        <v>46105</v>
      </c>
      <c r="G16" s="6">
        <v>46107</v>
      </c>
      <c r="H16" s="12">
        <f>E16</f>
        <v>2913750</v>
      </c>
      <c r="I16" s="9">
        <f t="shared" si="0"/>
        <v>0</v>
      </c>
      <c r="K16" s="2" t="s">
        <v>32</v>
      </c>
      <c r="L16" s="11">
        <v>46082</v>
      </c>
      <c r="M16" s="9">
        <f t="shared" si="7"/>
        <v>2913750</v>
      </c>
      <c r="N16" s="9"/>
      <c r="O16" s="9"/>
      <c r="P16" s="12">
        <f t="shared" si="8"/>
        <v>2913750</v>
      </c>
      <c r="Q16" s="12"/>
      <c r="R16" s="12"/>
      <c r="S16" s="9">
        <f t="shared" si="1"/>
        <v>0</v>
      </c>
      <c r="T16" s="1"/>
    </row>
    <row r="17" spans="1:25" ht="14.4" x14ac:dyDescent="0.3">
      <c r="A17" s="6">
        <v>46106</v>
      </c>
      <c r="B17" s="13" t="s">
        <v>70</v>
      </c>
      <c r="C17" s="7" t="s">
        <v>20</v>
      </c>
      <c r="D17" s="8" t="s">
        <v>71</v>
      </c>
      <c r="E17" s="9">
        <v>4341</v>
      </c>
      <c r="F17" s="6">
        <f t="shared" si="2"/>
        <v>46106</v>
      </c>
      <c r="G17" s="6">
        <v>46132</v>
      </c>
      <c r="H17" s="12">
        <v>4341</v>
      </c>
      <c r="I17" s="9">
        <f t="shared" si="0"/>
        <v>0</v>
      </c>
      <c r="J17" s="2" t="s">
        <v>39</v>
      </c>
      <c r="K17" s="2" t="s">
        <v>22</v>
      </c>
      <c r="L17" s="11">
        <v>46082</v>
      </c>
      <c r="M17" s="9">
        <f t="shared" ref="M17:M19" si="9">E17</f>
        <v>4341</v>
      </c>
      <c r="N17" s="9">
        <f>M17</f>
        <v>4341</v>
      </c>
      <c r="O17" s="9"/>
      <c r="P17" s="12"/>
      <c r="Q17" s="12"/>
      <c r="R17" s="12"/>
      <c r="S17" s="9">
        <f t="shared" si="1"/>
        <v>0</v>
      </c>
      <c r="T17" s="1"/>
    </row>
    <row r="18" spans="1:25" ht="14.4" x14ac:dyDescent="0.3">
      <c r="A18" s="6">
        <v>46115</v>
      </c>
      <c r="B18" s="13" t="s">
        <v>72</v>
      </c>
      <c r="C18" s="7" t="s">
        <v>73</v>
      </c>
      <c r="D18" s="8" t="s">
        <v>74</v>
      </c>
      <c r="E18" s="9">
        <v>350000</v>
      </c>
      <c r="F18" s="6">
        <f t="shared" si="2"/>
        <v>46115</v>
      </c>
      <c r="G18" s="10">
        <v>46115</v>
      </c>
      <c r="H18" s="12">
        <v>350000</v>
      </c>
      <c r="I18" s="9">
        <f t="shared" si="0"/>
        <v>0</v>
      </c>
      <c r="J18" s="2" t="s">
        <v>75</v>
      </c>
      <c r="K18" s="2" t="s">
        <v>32</v>
      </c>
      <c r="L18" s="11">
        <v>46113</v>
      </c>
      <c r="M18" s="9">
        <f t="shared" si="9"/>
        <v>350000</v>
      </c>
      <c r="N18" s="9">
        <f>M18/2</f>
        <v>175000</v>
      </c>
      <c r="O18" s="9">
        <f>N18</f>
        <v>175000</v>
      </c>
      <c r="P18" s="12"/>
      <c r="Q18" s="12"/>
      <c r="R18" s="12"/>
      <c r="S18" s="9">
        <f t="shared" si="1"/>
        <v>0</v>
      </c>
      <c r="T18" s="1"/>
    </row>
    <row r="19" spans="1:25" ht="14.4" x14ac:dyDescent="0.3">
      <c r="A19" s="6">
        <v>46120</v>
      </c>
      <c r="B19" s="2" t="s">
        <v>76</v>
      </c>
      <c r="C19" s="7" t="s">
        <v>20</v>
      </c>
      <c r="D19" s="8" t="s">
        <v>77</v>
      </c>
      <c r="E19" s="9">
        <v>50000</v>
      </c>
      <c r="F19" s="6">
        <f t="shared" si="2"/>
        <v>46120</v>
      </c>
      <c r="G19" s="10"/>
      <c r="H19" s="12"/>
      <c r="I19" s="9">
        <f t="shared" si="0"/>
        <v>50000</v>
      </c>
      <c r="K19" s="2" t="s">
        <v>22</v>
      </c>
      <c r="L19" s="11">
        <v>46113</v>
      </c>
      <c r="M19" s="9">
        <f t="shared" si="9"/>
        <v>50000</v>
      </c>
      <c r="N19" s="9">
        <f>M19</f>
        <v>50000</v>
      </c>
      <c r="O19" s="9"/>
      <c r="P19" s="9"/>
      <c r="Q19" s="9"/>
      <c r="R19" s="9"/>
      <c r="S19" s="9">
        <f t="shared" si="1"/>
        <v>0</v>
      </c>
      <c r="T19" s="1"/>
    </row>
    <row r="20" spans="1:25" ht="14.4" x14ac:dyDescent="0.3">
      <c r="A20" s="6">
        <v>46120</v>
      </c>
      <c r="B20" s="2" t="s">
        <v>78</v>
      </c>
      <c r="C20" s="7" t="s">
        <v>24</v>
      </c>
      <c r="D20" s="8" t="s">
        <v>79</v>
      </c>
      <c r="E20" s="9">
        <v>42000</v>
      </c>
      <c r="F20" s="6">
        <f t="shared" si="2"/>
        <v>46120</v>
      </c>
      <c r="G20" s="10">
        <v>46171</v>
      </c>
      <c r="H20" s="9">
        <v>42000</v>
      </c>
      <c r="I20" s="9">
        <f t="shared" si="0"/>
        <v>0</v>
      </c>
      <c r="J20" s="2" t="s">
        <v>80</v>
      </c>
      <c r="K20" s="2" t="s">
        <v>27</v>
      </c>
      <c r="L20" s="11">
        <v>46113</v>
      </c>
      <c r="M20" s="9"/>
      <c r="N20" s="9"/>
      <c r="O20" s="9"/>
      <c r="P20" s="9"/>
      <c r="Q20" s="9"/>
      <c r="R20" s="9"/>
      <c r="S20" s="9">
        <f t="shared" si="1"/>
        <v>0</v>
      </c>
      <c r="T20" s="1"/>
    </row>
    <row r="21" spans="1:25" ht="14.4" x14ac:dyDescent="0.3">
      <c r="A21" s="6">
        <v>46115</v>
      </c>
      <c r="B21" s="13" t="s">
        <v>81</v>
      </c>
      <c r="C21" s="7" t="s">
        <v>82</v>
      </c>
      <c r="D21" s="8" t="s">
        <v>83</v>
      </c>
      <c r="E21" s="9">
        <f>54000000*1.5%</f>
        <v>810000</v>
      </c>
      <c r="F21" s="6">
        <f t="shared" si="2"/>
        <v>46115</v>
      </c>
      <c r="G21" s="20">
        <v>46139</v>
      </c>
      <c r="H21" s="9">
        <v>810000</v>
      </c>
      <c r="I21" s="9">
        <f t="shared" si="0"/>
        <v>0</v>
      </c>
      <c r="J21" s="2" t="s">
        <v>84</v>
      </c>
      <c r="K21" s="2" t="s">
        <v>32</v>
      </c>
      <c r="L21" s="11">
        <v>46113</v>
      </c>
      <c r="M21" s="9">
        <f>E21</f>
        <v>810000</v>
      </c>
      <c r="N21" s="9"/>
      <c r="O21" s="9"/>
      <c r="P21" s="12">
        <f>M21</f>
        <v>810000</v>
      </c>
      <c r="Q21" s="12"/>
      <c r="R21" s="12"/>
      <c r="S21" s="9">
        <f t="shared" si="1"/>
        <v>0</v>
      </c>
      <c r="T21" s="1"/>
    </row>
    <row r="22" spans="1:25" ht="14.4" x14ac:dyDescent="0.3">
      <c r="A22" s="6">
        <v>46142</v>
      </c>
      <c r="B22" s="13" t="s">
        <v>85</v>
      </c>
      <c r="C22" s="7" t="s">
        <v>20</v>
      </c>
      <c r="D22" s="8" t="s">
        <v>86</v>
      </c>
      <c r="E22" s="9">
        <v>4378</v>
      </c>
      <c r="F22" s="10">
        <f t="shared" si="2"/>
        <v>46142</v>
      </c>
      <c r="G22" s="10"/>
      <c r="H22" s="9"/>
      <c r="I22" s="9">
        <f t="shared" si="0"/>
        <v>4378</v>
      </c>
      <c r="J22" s="13"/>
      <c r="K22" s="2" t="s">
        <v>27</v>
      </c>
      <c r="L22" s="11">
        <v>46113</v>
      </c>
      <c r="M22" s="9"/>
      <c r="N22" s="9"/>
      <c r="O22" s="9"/>
      <c r="P22" s="9"/>
      <c r="Q22" s="9"/>
      <c r="R22" s="9"/>
      <c r="S22" s="9">
        <f t="shared" si="1"/>
        <v>0</v>
      </c>
      <c r="T22" s="1"/>
    </row>
    <row r="23" spans="1:25" ht="15.75" customHeight="1" x14ac:dyDescent="0.3">
      <c r="A23" s="6">
        <v>46146</v>
      </c>
      <c r="B23" s="2" t="s">
        <v>87</v>
      </c>
      <c r="C23" s="7" t="s">
        <v>20</v>
      </c>
      <c r="D23" s="8" t="s">
        <v>88</v>
      </c>
      <c r="E23" s="9">
        <v>50000</v>
      </c>
      <c r="F23" s="10">
        <f t="shared" si="2"/>
        <v>46146</v>
      </c>
      <c r="G23" s="10"/>
      <c r="H23" s="9"/>
      <c r="I23" s="9">
        <f t="shared" si="0"/>
        <v>50000</v>
      </c>
      <c r="K23" s="2" t="s">
        <v>22</v>
      </c>
      <c r="L23" s="11">
        <v>46143</v>
      </c>
      <c r="M23" s="9">
        <v>100000</v>
      </c>
      <c r="N23" s="9">
        <v>100000</v>
      </c>
      <c r="O23" s="9"/>
      <c r="P23" s="9"/>
      <c r="Q23" s="9"/>
      <c r="R23" s="9"/>
      <c r="S23" s="9">
        <f t="shared" si="1"/>
        <v>0</v>
      </c>
      <c r="T23" s="1"/>
    </row>
    <row r="24" spans="1:25" ht="15.75" customHeight="1" x14ac:dyDescent="0.3">
      <c r="A24" s="6">
        <v>46146</v>
      </c>
      <c r="B24" s="2" t="s">
        <v>89</v>
      </c>
      <c r="C24" s="7" t="s">
        <v>24</v>
      </c>
      <c r="D24" s="8" t="s">
        <v>90</v>
      </c>
      <c r="E24" s="9">
        <v>42000</v>
      </c>
      <c r="F24" s="10">
        <f t="shared" si="2"/>
        <v>46146</v>
      </c>
      <c r="G24" s="10">
        <v>46196</v>
      </c>
      <c r="H24" s="9">
        <v>42000</v>
      </c>
      <c r="I24" s="9">
        <f t="shared" si="0"/>
        <v>0</v>
      </c>
      <c r="J24" s="2" t="s">
        <v>91</v>
      </c>
      <c r="K24" s="2" t="s">
        <v>27</v>
      </c>
      <c r="L24" s="11">
        <v>46143</v>
      </c>
      <c r="M24" s="9"/>
      <c r="N24" s="9"/>
      <c r="O24" s="9"/>
      <c r="P24" s="9"/>
      <c r="Q24" s="9"/>
      <c r="R24" s="9"/>
      <c r="S24" s="9">
        <f t="shared" si="1"/>
        <v>0</v>
      </c>
      <c r="T24" s="1"/>
    </row>
    <row r="25" spans="1:25" ht="15.75" customHeight="1" x14ac:dyDescent="0.3">
      <c r="A25" s="6">
        <v>46150</v>
      </c>
      <c r="B25" s="2" t="s">
        <v>92</v>
      </c>
      <c r="C25" s="7" t="s">
        <v>93</v>
      </c>
      <c r="D25" s="8" t="s">
        <v>94</v>
      </c>
      <c r="E25" s="9">
        <v>3300</v>
      </c>
      <c r="F25" s="10">
        <f t="shared" si="2"/>
        <v>46150</v>
      </c>
      <c r="G25" s="10"/>
      <c r="H25" s="12">
        <v>3300</v>
      </c>
      <c r="I25" s="9">
        <f t="shared" si="0"/>
        <v>0</v>
      </c>
      <c r="J25" s="2" t="s">
        <v>95</v>
      </c>
      <c r="K25" s="2" t="s">
        <v>22</v>
      </c>
      <c r="L25" s="11">
        <v>46143</v>
      </c>
      <c r="M25" s="9">
        <f t="shared" ref="M25:M28" si="10">E25</f>
        <v>3300</v>
      </c>
      <c r="N25" s="9"/>
      <c r="O25" s="9">
        <f>E25</f>
        <v>3300</v>
      </c>
      <c r="P25" s="9"/>
      <c r="Q25" s="9"/>
      <c r="R25" s="9"/>
      <c r="S25" s="9">
        <f t="shared" si="1"/>
        <v>0</v>
      </c>
      <c r="T25" s="1"/>
    </row>
    <row r="26" spans="1:25" ht="14.4" x14ac:dyDescent="0.3">
      <c r="A26" s="6">
        <v>46167</v>
      </c>
      <c r="B26" s="13" t="s">
        <v>96</v>
      </c>
      <c r="C26" s="7" t="s">
        <v>97</v>
      </c>
      <c r="D26" s="8" t="s">
        <v>98</v>
      </c>
      <c r="E26" s="9">
        <f>325000/2</f>
        <v>162500</v>
      </c>
      <c r="F26" s="10">
        <f t="shared" si="2"/>
        <v>46167</v>
      </c>
      <c r="G26" s="10">
        <v>46168</v>
      </c>
      <c r="H26" s="9">
        <v>162500</v>
      </c>
      <c r="I26" s="9">
        <f t="shared" si="0"/>
        <v>0</v>
      </c>
      <c r="J26" s="2" t="s">
        <v>99</v>
      </c>
      <c r="K26" s="2" t="s">
        <v>32</v>
      </c>
      <c r="L26" s="11">
        <v>46143</v>
      </c>
      <c r="M26" s="9">
        <f t="shared" si="10"/>
        <v>162500</v>
      </c>
      <c r="N26" s="9"/>
      <c r="O26" s="9"/>
      <c r="P26" s="9"/>
      <c r="Q26" s="9">
        <f>M26</f>
        <v>162500</v>
      </c>
      <c r="R26" s="9"/>
      <c r="S26" s="9">
        <f t="shared" si="1"/>
        <v>0</v>
      </c>
      <c r="T26" s="1"/>
    </row>
    <row r="27" spans="1:25" ht="15.75" customHeight="1" x14ac:dyDescent="0.3">
      <c r="A27" s="6">
        <v>46169</v>
      </c>
      <c r="B27" s="2" t="s">
        <v>100</v>
      </c>
      <c r="C27" s="7" t="s">
        <v>101</v>
      </c>
      <c r="D27" s="8" t="s">
        <v>102</v>
      </c>
      <c r="E27" s="9">
        <v>425000</v>
      </c>
      <c r="F27" s="10">
        <f t="shared" si="2"/>
        <v>46169</v>
      </c>
      <c r="G27" s="10">
        <v>46171</v>
      </c>
      <c r="H27" s="9">
        <v>425000</v>
      </c>
      <c r="I27" s="9">
        <f t="shared" si="0"/>
        <v>0</v>
      </c>
      <c r="J27" s="2" t="s">
        <v>103</v>
      </c>
      <c r="K27" s="2" t="s">
        <v>32</v>
      </c>
      <c r="L27" s="11">
        <v>46143</v>
      </c>
      <c r="M27" s="9">
        <f t="shared" si="10"/>
        <v>425000</v>
      </c>
      <c r="N27" s="9"/>
      <c r="O27" s="9"/>
      <c r="P27" s="9">
        <f>M27</f>
        <v>425000</v>
      </c>
      <c r="Q27" s="9"/>
      <c r="R27" s="9"/>
      <c r="S27" s="9">
        <f t="shared" si="1"/>
        <v>0</v>
      </c>
      <c r="T27" s="1"/>
    </row>
    <row r="28" spans="1:25" ht="15.75" customHeight="1" x14ac:dyDescent="0.3">
      <c r="A28" s="6">
        <v>46173</v>
      </c>
      <c r="B28" s="13" t="s">
        <v>104</v>
      </c>
      <c r="C28" s="7" t="s">
        <v>20</v>
      </c>
      <c r="D28" s="8" t="s">
        <v>105</v>
      </c>
      <c r="E28" s="9">
        <v>7314</v>
      </c>
      <c r="F28" s="6">
        <f t="shared" si="2"/>
        <v>46173</v>
      </c>
      <c r="G28" s="10"/>
      <c r="H28" s="9"/>
      <c r="I28" s="9">
        <f t="shared" si="0"/>
        <v>7314</v>
      </c>
      <c r="J28" s="13"/>
      <c r="K28" s="2" t="s">
        <v>22</v>
      </c>
      <c r="L28" s="11">
        <v>46143</v>
      </c>
      <c r="M28" s="9">
        <f t="shared" si="10"/>
        <v>7314</v>
      </c>
      <c r="N28" s="9">
        <f>M28</f>
        <v>7314</v>
      </c>
      <c r="O28" s="9"/>
      <c r="P28" s="9"/>
      <c r="Q28" s="9"/>
      <c r="R28" s="9"/>
      <c r="S28" s="9">
        <f t="shared" si="1"/>
        <v>0</v>
      </c>
      <c r="T28" s="1"/>
    </row>
    <row r="29" spans="1:25" ht="15.75" customHeight="1" x14ac:dyDescent="0.3">
      <c r="A29" s="6">
        <v>46173</v>
      </c>
      <c r="B29" s="2" t="s">
        <v>106</v>
      </c>
      <c r="C29" s="7" t="s">
        <v>107</v>
      </c>
      <c r="D29" s="8" t="s">
        <v>108</v>
      </c>
      <c r="E29" s="16">
        <v>28500</v>
      </c>
      <c r="F29" s="6">
        <f t="shared" si="2"/>
        <v>46173</v>
      </c>
      <c r="G29" s="21">
        <v>46192</v>
      </c>
      <c r="H29" s="16">
        <f>E29</f>
        <v>28500</v>
      </c>
      <c r="I29" s="16">
        <f t="shared" si="0"/>
        <v>0</v>
      </c>
      <c r="J29" s="22" t="s">
        <v>109</v>
      </c>
      <c r="K29" s="2" t="s">
        <v>27</v>
      </c>
      <c r="L29" s="11">
        <v>46143</v>
      </c>
      <c r="M29" s="16"/>
      <c r="N29" s="23"/>
      <c r="O29" s="16"/>
      <c r="P29" s="23"/>
      <c r="Q29" s="23"/>
      <c r="R29" s="23"/>
      <c r="S29" s="9">
        <f t="shared" si="1"/>
        <v>0</v>
      </c>
      <c r="T29" s="24"/>
      <c r="U29" s="25"/>
      <c r="V29" s="25"/>
      <c r="W29" s="25"/>
      <c r="X29" s="25"/>
      <c r="Y29" s="25"/>
    </row>
    <row r="30" spans="1:25" ht="15.75" customHeight="1" x14ac:dyDescent="0.3">
      <c r="A30" s="6">
        <v>46173</v>
      </c>
      <c r="B30" s="13" t="s">
        <v>110</v>
      </c>
      <c r="C30" s="7" t="s">
        <v>111</v>
      </c>
      <c r="D30" s="8" t="s">
        <v>112</v>
      </c>
      <c r="E30" s="9">
        <v>140000</v>
      </c>
      <c r="F30" s="6">
        <f t="shared" si="2"/>
        <v>46173</v>
      </c>
      <c r="G30" s="10">
        <v>46175</v>
      </c>
      <c r="H30" s="9">
        <v>140000</v>
      </c>
      <c r="I30" s="9">
        <f t="shared" si="0"/>
        <v>0</v>
      </c>
      <c r="J30" s="2" t="s">
        <v>113</v>
      </c>
      <c r="K30" s="2" t="s">
        <v>32</v>
      </c>
      <c r="L30" s="11">
        <v>46143</v>
      </c>
      <c r="M30" s="9">
        <f t="shared" ref="M30:M31" si="11">E30</f>
        <v>140000</v>
      </c>
      <c r="N30" s="9"/>
      <c r="O30" s="9"/>
      <c r="P30" s="9"/>
      <c r="Q30" s="9">
        <f>M30</f>
        <v>140000</v>
      </c>
      <c r="R30" s="9"/>
      <c r="S30" s="9">
        <f t="shared" si="1"/>
        <v>0</v>
      </c>
      <c r="T30" s="1"/>
    </row>
    <row r="31" spans="1:25" ht="15.75" customHeight="1" x14ac:dyDescent="0.3">
      <c r="A31" s="6">
        <v>46175</v>
      </c>
      <c r="B31" s="2" t="s">
        <v>114</v>
      </c>
      <c r="C31" s="7" t="s">
        <v>20</v>
      </c>
      <c r="D31" s="8" t="s">
        <v>115</v>
      </c>
      <c r="E31" s="9">
        <v>50000</v>
      </c>
      <c r="F31" s="6">
        <f t="shared" si="2"/>
        <v>46175</v>
      </c>
      <c r="G31" s="10"/>
      <c r="H31" s="12"/>
      <c r="I31" s="9">
        <f t="shared" si="0"/>
        <v>50000</v>
      </c>
      <c r="K31" s="2" t="s">
        <v>22</v>
      </c>
      <c r="L31" s="11">
        <v>46174</v>
      </c>
      <c r="M31" s="9">
        <f t="shared" si="11"/>
        <v>50000</v>
      </c>
      <c r="N31" s="9">
        <f>M31</f>
        <v>50000</v>
      </c>
      <c r="O31" s="9"/>
      <c r="P31" s="9"/>
      <c r="Q31" s="9"/>
      <c r="R31" s="9"/>
      <c r="S31" s="9">
        <f t="shared" si="1"/>
        <v>0</v>
      </c>
      <c r="T31" s="1"/>
    </row>
    <row r="32" spans="1:25" ht="15.75" customHeight="1" x14ac:dyDescent="0.3">
      <c r="A32" s="6">
        <v>46175</v>
      </c>
      <c r="B32" s="2" t="s">
        <v>116</v>
      </c>
      <c r="C32" s="7" t="s">
        <v>24</v>
      </c>
      <c r="D32" s="8" t="s">
        <v>117</v>
      </c>
      <c r="E32" s="9">
        <v>42000</v>
      </c>
      <c r="F32" s="6">
        <f t="shared" si="2"/>
        <v>46175</v>
      </c>
      <c r="H32" s="9"/>
      <c r="I32" s="9">
        <f t="shared" si="0"/>
        <v>42000</v>
      </c>
      <c r="K32" s="2" t="s">
        <v>27</v>
      </c>
      <c r="L32" s="11">
        <v>46174</v>
      </c>
      <c r="M32" s="9"/>
      <c r="N32" s="9"/>
      <c r="O32" s="9"/>
      <c r="P32" s="9"/>
      <c r="Q32" s="9"/>
      <c r="R32" s="9"/>
      <c r="S32" s="9">
        <f t="shared" si="1"/>
        <v>0</v>
      </c>
      <c r="T32" s="1"/>
    </row>
    <row r="33" spans="1:25" ht="15.75" customHeight="1" x14ac:dyDescent="0.3">
      <c r="A33" s="6">
        <v>46210</v>
      </c>
      <c r="B33" s="2" t="s">
        <v>118</v>
      </c>
      <c r="C33" s="7" t="s">
        <v>107</v>
      </c>
      <c r="D33" s="8" t="s">
        <v>119</v>
      </c>
      <c r="E33" s="9">
        <v>35625</v>
      </c>
      <c r="F33" s="10">
        <f t="shared" si="2"/>
        <v>46210</v>
      </c>
      <c r="G33" s="10">
        <v>46227</v>
      </c>
      <c r="H33" s="9">
        <f>E33</f>
        <v>35625</v>
      </c>
      <c r="I33" s="9">
        <f t="shared" si="0"/>
        <v>0</v>
      </c>
      <c r="J33" s="2" t="s">
        <v>120</v>
      </c>
      <c r="K33" s="2" t="s">
        <v>27</v>
      </c>
      <c r="L33" s="11">
        <v>46174</v>
      </c>
      <c r="M33" s="9"/>
      <c r="N33" s="9"/>
      <c r="O33" s="9"/>
      <c r="P33" s="9"/>
      <c r="Q33" s="9"/>
      <c r="R33" s="9"/>
      <c r="S33" s="9">
        <f t="shared" si="1"/>
        <v>0</v>
      </c>
      <c r="T33" s="1"/>
    </row>
    <row r="34" spans="1:25" ht="15.75" customHeight="1" x14ac:dyDescent="0.3">
      <c r="A34" s="6">
        <v>46210</v>
      </c>
      <c r="B34" s="13" t="s">
        <v>121</v>
      </c>
      <c r="C34" s="7" t="s">
        <v>20</v>
      </c>
      <c r="D34" s="8" t="s">
        <v>122</v>
      </c>
      <c r="E34" s="9">
        <f>80425*0.1</f>
        <v>8042.5</v>
      </c>
      <c r="F34" s="10">
        <f t="shared" si="2"/>
        <v>46210</v>
      </c>
      <c r="G34" s="10"/>
      <c r="H34" s="9"/>
      <c r="I34" s="9">
        <f t="shared" si="0"/>
        <v>8042.5</v>
      </c>
      <c r="K34" s="2" t="s">
        <v>27</v>
      </c>
      <c r="L34" s="11">
        <v>46174</v>
      </c>
      <c r="M34" s="9"/>
      <c r="N34" s="9"/>
      <c r="O34" s="9"/>
      <c r="P34" s="9"/>
      <c r="Q34" s="9"/>
      <c r="R34" s="9"/>
      <c r="S34" s="9">
        <f t="shared" si="1"/>
        <v>0</v>
      </c>
      <c r="T34" s="1"/>
    </row>
    <row r="35" spans="1:25" ht="15.75" customHeight="1" x14ac:dyDescent="0.3">
      <c r="A35" s="6">
        <v>46210</v>
      </c>
      <c r="B35" s="2" t="s">
        <v>123</v>
      </c>
      <c r="C35" s="7" t="s">
        <v>20</v>
      </c>
      <c r="D35" s="8" t="s">
        <v>124</v>
      </c>
      <c r="E35" s="9">
        <v>50000</v>
      </c>
      <c r="F35" s="10">
        <f t="shared" si="2"/>
        <v>46210</v>
      </c>
      <c r="G35" s="10"/>
      <c r="H35" s="9"/>
      <c r="I35" s="9">
        <f t="shared" si="0"/>
        <v>50000</v>
      </c>
      <c r="K35" s="2" t="s">
        <v>22</v>
      </c>
      <c r="L35" s="11">
        <v>46204</v>
      </c>
      <c r="M35" s="9">
        <f>E35</f>
        <v>50000</v>
      </c>
      <c r="N35" s="9">
        <f>M35</f>
        <v>50000</v>
      </c>
      <c r="O35" s="9"/>
      <c r="P35" s="9"/>
      <c r="Q35" s="9"/>
      <c r="R35" s="9"/>
      <c r="S35" s="9">
        <f t="shared" si="1"/>
        <v>0</v>
      </c>
      <c r="T35" s="1"/>
    </row>
    <row r="36" spans="1:25" ht="15.75" customHeight="1" x14ac:dyDescent="0.3">
      <c r="A36" s="6">
        <v>46210</v>
      </c>
      <c r="B36" s="2" t="s">
        <v>125</v>
      </c>
      <c r="C36" s="7" t="s">
        <v>24</v>
      </c>
      <c r="D36" s="8" t="s">
        <v>126</v>
      </c>
      <c r="E36" s="9">
        <v>49000</v>
      </c>
      <c r="F36" s="10">
        <f t="shared" si="2"/>
        <v>46210</v>
      </c>
      <c r="G36" s="26">
        <v>46225</v>
      </c>
      <c r="H36" s="12">
        <v>49000</v>
      </c>
      <c r="I36" s="12">
        <f t="shared" si="0"/>
        <v>0</v>
      </c>
      <c r="J36" s="13" t="s">
        <v>127</v>
      </c>
      <c r="K36" s="2" t="s">
        <v>27</v>
      </c>
      <c r="L36" s="11">
        <v>46204</v>
      </c>
      <c r="M36" s="12"/>
      <c r="N36" s="12"/>
      <c r="O36" s="12"/>
      <c r="P36" s="12"/>
      <c r="Q36" s="12"/>
      <c r="R36" s="12"/>
      <c r="S36" s="9">
        <f t="shared" si="1"/>
        <v>0</v>
      </c>
      <c r="T36" s="27"/>
      <c r="U36" s="13"/>
      <c r="V36" s="13"/>
      <c r="W36" s="13"/>
      <c r="X36" s="13"/>
      <c r="Y36" s="13"/>
    </row>
    <row r="37" spans="1:25" ht="15.75" customHeight="1" x14ac:dyDescent="0.3">
      <c r="A37" s="6">
        <v>46216</v>
      </c>
      <c r="B37" s="2" t="s">
        <v>128</v>
      </c>
      <c r="C37" s="7" t="s">
        <v>129</v>
      </c>
      <c r="D37" s="8" t="s">
        <v>130</v>
      </c>
      <c r="E37" s="9">
        <v>500000</v>
      </c>
      <c r="F37" s="10">
        <f t="shared" si="2"/>
        <v>46216</v>
      </c>
      <c r="G37" s="10">
        <v>46215</v>
      </c>
      <c r="H37" s="9">
        <v>500000</v>
      </c>
      <c r="I37" s="9">
        <f t="shared" si="0"/>
        <v>0</v>
      </c>
      <c r="J37" s="2" t="s">
        <v>131</v>
      </c>
      <c r="K37" s="2" t="s">
        <v>32</v>
      </c>
      <c r="L37" s="11">
        <v>46204</v>
      </c>
      <c r="M37" s="9">
        <v>500000</v>
      </c>
      <c r="N37" s="9"/>
      <c r="O37" s="9"/>
      <c r="P37" s="9">
        <f t="shared" ref="P37:P38" si="12">E37</f>
        <v>500000</v>
      </c>
      <c r="Q37" s="9"/>
      <c r="R37" s="9"/>
      <c r="S37" s="9">
        <f t="shared" si="1"/>
        <v>0</v>
      </c>
      <c r="T37" s="1"/>
    </row>
    <row r="38" spans="1:25" ht="15.75" customHeight="1" x14ac:dyDescent="0.3">
      <c r="A38" s="6">
        <v>46233</v>
      </c>
      <c r="B38" s="13" t="s">
        <v>132</v>
      </c>
      <c r="C38" s="7" t="s">
        <v>133</v>
      </c>
      <c r="D38" s="8" t="s">
        <v>134</v>
      </c>
      <c r="E38" s="9">
        <v>200000</v>
      </c>
      <c r="F38" s="10">
        <f t="shared" si="2"/>
        <v>46233</v>
      </c>
      <c r="G38" s="10">
        <v>46233</v>
      </c>
      <c r="H38" s="12">
        <v>200000</v>
      </c>
      <c r="I38" s="9">
        <f t="shared" si="0"/>
        <v>0</v>
      </c>
      <c r="J38" s="2" t="s">
        <v>135</v>
      </c>
      <c r="K38" s="2" t="s">
        <v>32</v>
      </c>
      <c r="L38" s="11">
        <v>46204</v>
      </c>
      <c r="M38" s="9">
        <v>200000</v>
      </c>
      <c r="N38" s="9"/>
      <c r="O38" s="9"/>
      <c r="P38" s="9">
        <f t="shared" si="12"/>
        <v>200000</v>
      </c>
      <c r="Q38" s="9"/>
      <c r="R38" s="9"/>
      <c r="S38" s="9">
        <f t="shared" si="1"/>
        <v>0</v>
      </c>
      <c r="T38" s="1"/>
    </row>
    <row r="39" spans="1:25" ht="15.75" customHeight="1" x14ac:dyDescent="0.3">
      <c r="A39" s="6">
        <v>46233</v>
      </c>
      <c r="B39" s="13" t="s">
        <v>136</v>
      </c>
      <c r="C39" s="7" t="s">
        <v>20</v>
      </c>
      <c r="D39" s="8" t="s">
        <v>137</v>
      </c>
      <c r="E39" s="9">
        <v>9537</v>
      </c>
      <c r="F39" s="10">
        <f t="shared" si="2"/>
        <v>46233</v>
      </c>
      <c r="G39" s="20"/>
      <c r="H39" s="9"/>
      <c r="I39" s="9">
        <f t="shared" si="0"/>
        <v>9537</v>
      </c>
      <c r="K39" s="2" t="s">
        <v>22</v>
      </c>
      <c r="L39" s="11">
        <v>46204</v>
      </c>
      <c r="M39" s="9">
        <f>E39</f>
        <v>9537</v>
      </c>
      <c r="N39" s="9">
        <f>M39</f>
        <v>9537</v>
      </c>
      <c r="O39" s="9"/>
      <c r="P39" s="9"/>
      <c r="Q39" s="9"/>
      <c r="R39" s="9"/>
      <c r="S39" s="9">
        <f t="shared" si="1"/>
        <v>0</v>
      </c>
      <c r="T39" s="1"/>
    </row>
    <row r="40" spans="1:25" ht="15.75" customHeight="1" x14ac:dyDescent="0.3">
      <c r="A40" s="6">
        <v>46233</v>
      </c>
      <c r="B40" s="2" t="s">
        <v>138</v>
      </c>
      <c r="C40" s="7" t="s">
        <v>107</v>
      </c>
      <c r="D40" s="8" t="s">
        <v>139</v>
      </c>
      <c r="E40" s="9">
        <v>42750</v>
      </c>
      <c r="F40" s="10">
        <f t="shared" si="2"/>
        <v>46233</v>
      </c>
      <c r="G40" s="20">
        <v>46254</v>
      </c>
      <c r="H40" s="9">
        <v>42725</v>
      </c>
      <c r="I40" s="9">
        <f t="shared" si="0"/>
        <v>25</v>
      </c>
      <c r="J40" s="2" t="s">
        <v>140</v>
      </c>
      <c r="K40" s="2" t="s">
        <v>27</v>
      </c>
      <c r="L40" s="11">
        <v>46204</v>
      </c>
      <c r="M40" s="9"/>
      <c r="N40" s="9"/>
      <c r="O40" s="9"/>
      <c r="P40" s="9"/>
      <c r="Q40" s="9"/>
      <c r="R40" s="9"/>
      <c r="S40" s="9">
        <f t="shared" si="1"/>
        <v>0</v>
      </c>
      <c r="T40" s="1"/>
    </row>
    <row r="41" spans="1:25" ht="15.75" customHeight="1" x14ac:dyDescent="0.3">
      <c r="A41" s="6">
        <v>46238</v>
      </c>
      <c r="B41" s="2" t="s">
        <v>141</v>
      </c>
      <c r="C41" s="7" t="s">
        <v>20</v>
      </c>
      <c r="D41" s="8" t="s">
        <v>142</v>
      </c>
      <c r="E41" s="9">
        <v>50000</v>
      </c>
      <c r="F41" s="10">
        <f t="shared" si="2"/>
        <v>46238</v>
      </c>
      <c r="G41" s="20"/>
      <c r="H41" s="9"/>
      <c r="I41" s="9">
        <f t="shared" si="0"/>
        <v>50000</v>
      </c>
      <c r="K41" s="2" t="s">
        <v>22</v>
      </c>
      <c r="L41" s="11">
        <v>46235</v>
      </c>
      <c r="M41" s="9">
        <f>E41</f>
        <v>50000</v>
      </c>
      <c r="N41" s="9">
        <f>M41</f>
        <v>50000</v>
      </c>
      <c r="O41" s="9"/>
      <c r="P41" s="9"/>
      <c r="Q41" s="9"/>
      <c r="R41" s="9"/>
      <c r="S41" s="9">
        <f t="shared" si="1"/>
        <v>0</v>
      </c>
      <c r="T41" s="1"/>
    </row>
    <row r="42" spans="1:25" ht="15.75" customHeight="1" x14ac:dyDescent="0.3">
      <c r="A42" s="6">
        <v>46238</v>
      </c>
      <c r="B42" s="2" t="s">
        <v>143</v>
      </c>
      <c r="C42" s="7" t="s">
        <v>24</v>
      </c>
      <c r="D42" s="8" t="s">
        <v>144</v>
      </c>
      <c r="E42" s="12">
        <v>56000</v>
      </c>
      <c r="F42" s="10">
        <f t="shared" si="2"/>
        <v>46238</v>
      </c>
      <c r="G42" s="28">
        <v>46253</v>
      </c>
      <c r="H42" s="9">
        <v>56000</v>
      </c>
      <c r="I42" s="9">
        <f t="shared" si="0"/>
        <v>0</v>
      </c>
      <c r="J42" s="13" t="s">
        <v>145</v>
      </c>
      <c r="K42" s="2" t="s">
        <v>27</v>
      </c>
      <c r="L42" s="11">
        <v>46235</v>
      </c>
      <c r="M42" s="9"/>
      <c r="N42" s="9"/>
      <c r="O42" s="9"/>
      <c r="P42" s="9"/>
      <c r="Q42" s="9"/>
      <c r="R42" s="9"/>
      <c r="S42" s="9">
        <f t="shared" si="1"/>
        <v>0</v>
      </c>
      <c r="T42" s="1"/>
    </row>
    <row r="43" spans="1:25" ht="15.75" customHeight="1" x14ac:dyDescent="0.3">
      <c r="A43" s="6">
        <v>46247</v>
      </c>
      <c r="B43" s="2" t="s">
        <v>146</v>
      </c>
      <c r="C43" s="7" t="s">
        <v>147</v>
      </c>
      <c r="D43" s="8" t="s">
        <v>148</v>
      </c>
      <c r="E43" s="9">
        <f>(27000000*3%)-100000</f>
        <v>710000</v>
      </c>
      <c r="F43" s="10">
        <f t="shared" si="2"/>
        <v>46247</v>
      </c>
      <c r="G43" s="10">
        <v>46251</v>
      </c>
      <c r="H43" s="9">
        <v>710000</v>
      </c>
      <c r="I43" s="9">
        <f t="shared" si="0"/>
        <v>0</v>
      </c>
      <c r="J43" s="2" t="s">
        <v>149</v>
      </c>
      <c r="K43" s="2" t="s">
        <v>32</v>
      </c>
      <c r="L43" s="11">
        <v>46235</v>
      </c>
      <c r="M43" s="9">
        <f t="shared" ref="M43:M45" si="13">E43</f>
        <v>710000</v>
      </c>
      <c r="N43" s="9"/>
      <c r="O43" s="9"/>
      <c r="P43" s="9"/>
      <c r="Q43" s="9">
        <f>E43</f>
        <v>710000</v>
      </c>
      <c r="R43" s="9"/>
      <c r="S43" s="9">
        <f t="shared" si="1"/>
        <v>0</v>
      </c>
      <c r="T43" s="1"/>
    </row>
    <row r="44" spans="1:25" ht="15.75" customHeight="1" x14ac:dyDescent="0.3">
      <c r="A44" s="6">
        <v>46248</v>
      </c>
      <c r="B44" s="13" t="s">
        <v>150</v>
      </c>
      <c r="C44" s="7" t="s">
        <v>151</v>
      </c>
      <c r="D44" s="8" t="s">
        <v>152</v>
      </c>
      <c r="E44" s="9">
        <v>430000</v>
      </c>
      <c r="F44" s="10">
        <f t="shared" si="2"/>
        <v>46248</v>
      </c>
      <c r="G44" s="10">
        <v>46251</v>
      </c>
      <c r="H44" s="9">
        <f>107500+322500</f>
        <v>430000</v>
      </c>
      <c r="I44" s="9">
        <f t="shared" si="0"/>
        <v>0</v>
      </c>
      <c r="J44" s="2" t="s">
        <v>153</v>
      </c>
      <c r="K44" s="2" t="s">
        <v>32</v>
      </c>
      <c r="L44" s="11">
        <v>46235</v>
      </c>
      <c r="M44" s="9">
        <f t="shared" si="13"/>
        <v>430000</v>
      </c>
      <c r="N44" s="9"/>
      <c r="O44" s="9"/>
      <c r="P44" s="9"/>
      <c r="Q44" s="9">
        <f t="shared" ref="Q44:Q45" si="14">M44</f>
        <v>430000</v>
      </c>
      <c r="R44" s="9"/>
      <c r="S44" s="9">
        <f t="shared" si="1"/>
        <v>0</v>
      </c>
      <c r="T44" s="1"/>
    </row>
    <row r="45" spans="1:25" ht="15.75" customHeight="1" x14ac:dyDescent="0.3">
      <c r="A45" s="6">
        <v>46252</v>
      </c>
      <c r="B45" s="2" t="s">
        <v>154</v>
      </c>
      <c r="C45" s="7" t="s">
        <v>155</v>
      </c>
      <c r="D45" s="8" t="s">
        <v>156</v>
      </c>
      <c r="E45" s="9">
        <v>526970.94999999995</v>
      </c>
      <c r="F45" s="10">
        <f t="shared" si="2"/>
        <v>46252</v>
      </c>
      <c r="G45" s="28"/>
      <c r="H45" s="9"/>
      <c r="I45" s="9">
        <f t="shared" si="0"/>
        <v>526970.94999999995</v>
      </c>
      <c r="J45" s="13"/>
      <c r="K45" s="2" t="s">
        <v>32</v>
      </c>
      <c r="L45" s="11">
        <v>46235</v>
      </c>
      <c r="M45" s="9">
        <f t="shared" si="13"/>
        <v>526970.94999999995</v>
      </c>
      <c r="N45" s="9"/>
      <c r="O45" s="9"/>
      <c r="P45" s="9"/>
      <c r="Q45" s="9">
        <f t="shared" si="14"/>
        <v>526970.94999999995</v>
      </c>
      <c r="R45" s="9"/>
      <c r="S45" s="9">
        <f t="shared" si="1"/>
        <v>0</v>
      </c>
      <c r="T45" s="1"/>
    </row>
    <row r="46" spans="1:25" ht="15.75" customHeight="1" x14ac:dyDescent="0.3">
      <c r="A46" s="6">
        <v>46265</v>
      </c>
      <c r="B46" s="13" t="s">
        <v>157</v>
      </c>
      <c r="C46" s="7" t="s">
        <v>20</v>
      </c>
      <c r="D46" s="8" t="s">
        <v>158</v>
      </c>
      <c r="E46" s="9">
        <v>8406</v>
      </c>
      <c r="F46" s="10">
        <f t="shared" si="2"/>
        <v>46265</v>
      </c>
      <c r="G46" s="6"/>
      <c r="H46" s="9"/>
      <c r="I46" s="9">
        <f t="shared" si="0"/>
        <v>8406</v>
      </c>
      <c r="K46" s="2" t="s">
        <v>27</v>
      </c>
      <c r="L46" s="11">
        <v>46235</v>
      </c>
      <c r="M46" s="9"/>
      <c r="N46" s="9"/>
      <c r="O46" s="9"/>
      <c r="P46" s="9"/>
      <c r="Q46" s="9"/>
      <c r="R46" s="9"/>
      <c r="S46" s="9">
        <f t="shared" si="1"/>
        <v>0</v>
      </c>
      <c r="T46" s="1"/>
    </row>
    <row r="47" spans="1:25" ht="15.75" customHeight="1" x14ac:dyDescent="0.3">
      <c r="A47" s="6">
        <v>46265</v>
      </c>
      <c r="B47" s="2" t="s">
        <v>159</v>
      </c>
      <c r="C47" s="7" t="s">
        <v>107</v>
      </c>
      <c r="D47" s="8" t="s">
        <v>160</v>
      </c>
      <c r="E47" s="9">
        <v>25650</v>
      </c>
      <c r="F47" s="10">
        <f t="shared" si="2"/>
        <v>46265</v>
      </c>
      <c r="G47" s="6"/>
      <c r="H47" s="12"/>
      <c r="I47" s="9">
        <f t="shared" si="0"/>
        <v>25650</v>
      </c>
      <c r="K47" s="2" t="s">
        <v>27</v>
      </c>
      <c r="L47" s="11">
        <v>46235</v>
      </c>
      <c r="M47" s="9"/>
      <c r="N47" s="9"/>
      <c r="O47" s="9"/>
      <c r="P47" s="9"/>
      <c r="Q47" s="9"/>
      <c r="R47" s="9"/>
      <c r="S47" s="9">
        <f t="shared" si="1"/>
        <v>0</v>
      </c>
      <c r="T47" s="1"/>
    </row>
    <row r="48" spans="1:25" ht="15.75" customHeight="1" x14ac:dyDescent="0.3">
      <c r="A48" s="10">
        <v>46271</v>
      </c>
      <c r="B48" s="2" t="s">
        <v>141</v>
      </c>
      <c r="C48" s="7" t="s">
        <v>20</v>
      </c>
      <c r="D48" s="8" t="s">
        <v>161</v>
      </c>
      <c r="E48" s="9">
        <v>50000</v>
      </c>
      <c r="F48" s="10">
        <f t="shared" si="2"/>
        <v>46271</v>
      </c>
      <c r="G48" s="6"/>
      <c r="H48" s="12"/>
      <c r="I48" s="9">
        <f t="shared" si="0"/>
        <v>50000</v>
      </c>
      <c r="K48" s="2" t="s">
        <v>22</v>
      </c>
      <c r="L48" s="11">
        <v>46266</v>
      </c>
      <c r="M48" s="9">
        <f>E48</f>
        <v>50000</v>
      </c>
      <c r="N48" s="9">
        <f>M48</f>
        <v>50000</v>
      </c>
      <c r="O48" s="9"/>
      <c r="P48" s="9"/>
      <c r="Q48" s="9"/>
      <c r="R48" s="9"/>
      <c r="S48" s="9">
        <f t="shared" si="1"/>
        <v>0</v>
      </c>
      <c r="T48" s="1"/>
    </row>
    <row r="49" spans="1:20" ht="15.75" customHeight="1" x14ac:dyDescent="0.3">
      <c r="A49" s="10">
        <v>46271</v>
      </c>
      <c r="B49" s="2" t="s">
        <v>143</v>
      </c>
      <c r="C49" s="7" t="s">
        <v>24</v>
      </c>
      <c r="D49" s="8" t="s">
        <v>162</v>
      </c>
      <c r="E49" s="12">
        <v>56000</v>
      </c>
      <c r="F49" s="10">
        <f t="shared" si="2"/>
        <v>46271</v>
      </c>
      <c r="G49" s="6"/>
      <c r="H49" s="9"/>
      <c r="I49" s="9">
        <f t="shared" si="0"/>
        <v>56000</v>
      </c>
      <c r="K49" s="2" t="s">
        <v>27</v>
      </c>
      <c r="L49" s="11">
        <v>46266</v>
      </c>
      <c r="M49" s="9"/>
      <c r="N49" s="9"/>
      <c r="O49" s="9"/>
      <c r="P49" s="9"/>
      <c r="Q49" s="9"/>
      <c r="R49" s="9"/>
      <c r="S49" s="9">
        <f t="shared" si="1"/>
        <v>0</v>
      </c>
      <c r="T49" s="1"/>
    </row>
    <row r="50" spans="1:20" ht="15.75" customHeight="1" x14ac:dyDescent="0.3">
      <c r="A50" s="10">
        <v>46286</v>
      </c>
      <c r="B50" s="2" t="s">
        <v>163</v>
      </c>
      <c r="C50" s="2" t="s">
        <v>164</v>
      </c>
      <c r="D50" s="8" t="s">
        <v>165</v>
      </c>
      <c r="E50" s="9">
        <f>37000000*1.5%</f>
        <v>555000</v>
      </c>
      <c r="F50" s="10">
        <f t="shared" si="2"/>
        <v>46286</v>
      </c>
      <c r="G50" s="10">
        <v>46287</v>
      </c>
      <c r="H50" s="9">
        <v>555000</v>
      </c>
      <c r="I50" s="9">
        <f t="shared" si="0"/>
        <v>0</v>
      </c>
      <c r="K50" s="2" t="s">
        <v>32</v>
      </c>
      <c r="L50" s="11">
        <v>46266</v>
      </c>
      <c r="M50" s="9">
        <f t="shared" ref="M50:M52" si="15">E50</f>
        <v>555000</v>
      </c>
      <c r="N50" s="9"/>
      <c r="O50" s="9">
        <f t="shared" ref="O50:O52" si="16">M50</f>
        <v>555000</v>
      </c>
      <c r="P50" s="9"/>
      <c r="Q50" s="9"/>
      <c r="R50" s="9"/>
      <c r="S50" s="9">
        <f t="shared" si="1"/>
        <v>0</v>
      </c>
      <c r="T50" s="1"/>
    </row>
    <row r="51" spans="1:20" ht="15.75" customHeight="1" x14ac:dyDescent="0.3">
      <c r="A51" s="10">
        <v>46289</v>
      </c>
      <c r="B51" s="2" t="s">
        <v>166</v>
      </c>
      <c r="C51" s="2" t="s">
        <v>167</v>
      </c>
      <c r="D51" s="8" t="s">
        <v>168</v>
      </c>
      <c r="E51" s="9">
        <f>134658340*1.5%</f>
        <v>2019875.0999999999</v>
      </c>
      <c r="F51" s="10">
        <f t="shared" si="2"/>
        <v>46289</v>
      </c>
      <c r="G51" s="28"/>
      <c r="H51" s="9"/>
      <c r="I51" s="9">
        <f t="shared" si="0"/>
        <v>2019875.0999999999</v>
      </c>
      <c r="K51" s="2" t="s">
        <v>32</v>
      </c>
      <c r="L51" s="11">
        <v>46266</v>
      </c>
      <c r="M51" s="9">
        <f t="shared" si="15"/>
        <v>2019875.0999999999</v>
      </c>
      <c r="N51" s="9"/>
      <c r="O51" s="9">
        <f t="shared" si="16"/>
        <v>2019875.0999999999</v>
      </c>
      <c r="P51" s="9"/>
      <c r="Q51" s="9"/>
      <c r="R51" s="9"/>
      <c r="S51" s="9">
        <f t="shared" si="1"/>
        <v>0</v>
      </c>
      <c r="T51" s="1"/>
    </row>
    <row r="52" spans="1:20" ht="15.75" customHeight="1" x14ac:dyDescent="0.3">
      <c r="A52" s="10">
        <v>46293</v>
      </c>
      <c r="B52" s="13" t="s">
        <v>169</v>
      </c>
      <c r="C52" s="2" t="s">
        <v>93</v>
      </c>
      <c r="D52" s="8" t="s">
        <v>170</v>
      </c>
      <c r="E52" s="9">
        <v>150000</v>
      </c>
      <c r="F52" s="10">
        <f t="shared" si="2"/>
        <v>46293</v>
      </c>
      <c r="G52" s="6"/>
      <c r="H52" s="9"/>
      <c r="I52" s="9">
        <f t="shared" si="0"/>
        <v>150000</v>
      </c>
      <c r="K52" s="2" t="s">
        <v>32</v>
      </c>
      <c r="L52" s="11">
        <v>46266</v>
      </c>
      <c r="M52" s="9">
        <f t="shared" si="15"/>
        <v>150000</v>
      </c>
      <c r="N52" s="9"/>
      <c r="O52" s="9">
        <f t="shared" si="16"/>
        <v>150000</v>
      </c>
      <c r="P52" s="9"/>
      <c r="Q52" s="9"/>
      <c r="R52" s="9"/>
      <c r="S52" s="9"/>
      <c r="T52" s="1"/>
    </row>
    <row r="53" spans="1:20" ht="15.75" customHeight="1" x14ac:dyDescent="0.3">
      <c r="A53" s="10">
        <v>46296</v>
      </c>
      <c r="B53" s="13" t="s">
        <v>171</v>
      </c>
      <c r="C53" s="7" t="s">
        <v>20</v>
      </c>
      <c r="D53" s="8" t="s">
        <v>172</v>
      </c>
      <c r="E53" s="9"/>
      <c r="F53" s="10"/>
      <c r="G53" s="6"/>
      <c r="H53" s="9"/>
      <c r="I53" s="9"/>
      <c r="K53" s="2" t="s">
        <v>27</v>
      </c>
      <c r="L53" s="11">
        <v>46266</v>
      </c>
      <c r="M53" s="9"/>
      <c r="N53" s="9"/>
      <c r="O53" s="9"/>
      <c r="P53" s="9"/>
      <c r="Q53" s="9"/>
      <c r="R53" s="9"/>
      <c r="S53" s="9"/>
      <c r="T53" s="1"/>
    </row>
    <row r="54" spans="1:20" ht="15.75" customHeight="1" x14ac:dyDescent="0.3">
      <c r="A54" s="10">
        <v>46296</v>
      </c>
      <c r="B54" s="2" t="s">
        <v>173</v>
      </c>
      <c r="C54" s="7" t="s">
        <v>24</v>
      </c>
      <c r="D54" s="8" t="s">
        <v>174</v>
      </c>
      <c r="E54" s="9"/>
      <c r="F54" s="10"/>
      <c r="G54" s="6"/>
      <c r="H54" s="9"/>
      <c r="I54" s="9"/>
      <c r="K54" s="2" t="s">
        <v>27</v>
      </c>
      <c r="L54" s="11">
        <v>46266</v>
      </c>
      <c r="M54" s="9"/>
      <c r="N54" s="9"/>
      <c r="O54" s="9"/>
      <c r="P54" s="9"/>
      <c r="Q54" s="9"/>
      <c r="R54" s="9"/>
      <c r="S54" s="9"/>
      <c r="T54" s="1"/>
    </row>
    <row r="55" spans="1:20" ht="15.75" customHeight="1" x14ac:dyDescent="0.3">
      <c r="A55" s="10">
        <v>46296</v>
      </c>
      <c r="B55" s="13" t="s">
        <v>175</v>
      </c>
      <c r="C55" s="7" t="s">
        <v>176</v>
      </c>
      <c r="D55" s="8" t="s">
        <v>177</v>
      </c>
      <c r="E55" s="9">
        <v>160000</v>
      </c>
      <c r="F55" s="10">
        <f t="shared" ref="F55:F57" si="17">A55</f>
        <v>46296</v>
      </c>
      <c r="G55" s="6"/>
      <c r="H55" s="9"/>
      <c r="I55" s="9">
        <f t="shared" ref="I55:I94" si="18">E55-H55</f>
        <v>160000</v>
      </c>
      <c r="K55" s="2" t="s">
        <v>32</v>
      </c>
      <c r="L55" s="11">
        <v>46296</v>
      </c>
      <c r="M55" s="9">
        <f t="shared" ref="M55:M56" si="19">E55</f>
        <v>160000</v>
      </c>
      <c r="N55" s="9"/>
      <c r="O55" s="9"/>
      <c r="P55" s="9"/>
      <c r="Q55" s="9">
        <f>E55</f>
        <v>160000</v>
      </c>
      <c r="R55" s="9"/>
      <c r="S55" s="9">
        <f t="shared" ref="S55:S93" si="20">M55-N55-O55-P55-Q55-R55</f>
        <v>0</v>
      </c>
      <c r="T55" s="1"/>
    </row>
    <row r="56" spans="1:20" ht="15.75" customHeight="1" x14ac:dyDescent="0.3">
      <c r="A56" s="10">
        <v>46296</v>
      </c>
      <c r="B56" s="2" t="s">
        <v>141</v>
      </c>
      <c r="C56" s="7" t="s">
        <v>20</v>
      </c>
      <c r="D56" s="8" t="s">
        <v>178</v>
      </c>
      <c r="E56" s="9">
        <v>50000</v>
      </c>
      <c r="F56" s="10">
        <f t="shared" si="17"/>
        <v>46296</v>
      </c>
      <c r="G56" s="28"/>
      <c r="H56" s="9"/>
      <c r="I56" s="9">
        <f t="shared" si="18"/>
        <v>50000</v>
      </c>
      <c r="K56" s="2" t="s">
        <v>22</v>
      </c>
      <c r="L56" s="11">
        <v>46296</v>
      </c>
      <c r="M56" s="9">
        <f t="shared" si="19"/>
        <v>50000</v>
      </c>
      <c r="N56" s="9">
        <f>M56</f>
        <v>50000</v>
      </c>
      <c r="O56" s="9"/>
      <c r="P56" s="9"/>
      <c r="Q56" s="9"/>
      <c r="R56" s="9"/>
      <c r="S56" s="9">
        <f t="shared" si="20"/>
        <v>0</v>
      </c>
      <c r="T56" s="1"/>
    </row>
    <row r="57" spans="1:20" ht="15.75" customHeight="1" x14ac:dyDescent="0.3">
      <c r="A57" s="10">
        <v>46296</v>
      </c>
      <c r="B57" s="2" t="s">
        <v>143</v>
      </c>
      <c r="C57" s="7" t="s">
        <v>24</v>
      </c>
      <c r="D57" s="8" t="s">
        <v>179</v>
      </c>
      <c r="E57" s="12">
        <v>56000</v>
      </c>
      <c r="F57" s="10">
        <f t="shared" si="17"/>
        <v>46296</v>
      </c>
      <c r="G57" s="6"/>
      <c r="H57" s="9"/>
      <c r="I57" s="9">
        <f t="shared" si="18"/>
        <v>56000</v>
      </c>
      <c r="K57" s="2" t="s">
        <v>27</v>
      </c>
      <c r="L57" s="11">
        <v>46296</v>
      </c>
      <c r="M57" s="9"/>
      <c r="N57" s="9"/>
      <c r="O57" s="9"/>
      <c r="P57" s="9"/>
      <c r="Q57" s="9"/>
      <c r="R57" s="9"/>
      <c r="S57" s="9">
        <f t="shared" si="20"/>
        <v>0</v>
      </c>
      <c r="T57" s="1"/>
    </row>
    <row r="58" spans="1:20" ht="15.75" customHeight="1" x14ac:dyDescent="0.3">
      <c r="A58" s="10"/>
      <c r="B58" s="13"/>
      <c r="E58" s="9"/>
      <c r="F58" s="6"/>
      <c r="G58" s="6"/>
      <c r="H58" s="9"/>
      <c r="I58" s="9">
        <f t="shared" si="18"/>
        <v>0</v>
      </c>
      <c r="K58" s="2"/>
      <c r="L58" s="11"/>
      <c r="M58" s="9"/>
      <c r="N58" s="9"/>
      <c r="O58" s="9"/>
      <c r="P58" s="9"/>
      <c r="Q58" s="9"/>
      <c r="R58" s="9"/>
      <c r="S58" s="9">
        <f t="shared" si="20"/>
        <v>0</v>
      </c>
      <c r="T58" s="1"/>
    </row>
    <row r="59" spans="1:20" ht="15.75" customHeight="1" x14ac:dyDescent="0.3">
      <c r="A59" s="10"/>
      <c r="B59" s="13"/>
      <c r="E59" s="9"/>
      <c r="F59" s="6"/>
      <c r="G59" s="28"/>
      <c r="H59" s="9"/>
      <c r="I59" s="9">
        <f t="shared" si="18"/>
        <v>0</v>
      </c>
      <c r="K59" s="2"/>
      <c r="L59" s="11"/>
      <c r="M59" s="9"/>
      <c r="N59" s="9"/>
      <c r="O59" s="9"/>
      <c r="P59" s="9"/>
      <c r="Q59" s="9"/>
      <c r="R59" s="9"/>
      <c r="S59" s="9">
        <f t="shared" si="20"/>
        <v>0</v>
      </c>
      <c r="T59" s="1"/>
    </row>
    <row r="60" spans="1:20" ht="15.75" customHeight="1" x14ac:dyDescent="0.3">
      <c r="A60" s="10"/>
      <c r="C60" s="7"/>
      <c r="E60" s="9"/>
      <c r="F60" s="6"/>
      <c r="G60" s="28"/>
      <c r="H60" s="9"/>
      <c r="I60" s="9">
        <f t="shared" si="18"/>
        <v>0</v>
      </c>
      <c r="K60" s="2"/>
      <c r="L60" s="11"/>
      <c r="M60" s="9"/>
      <c r="N60" s="9"/>
      <c r="O60" s="9"/>
      <c r="P60" s="9"/>
      <c r="Q60" s="9"/>
      <c r="R60" s="9"/>
      <c r="S60" s="9">
        <f t="shared" si="20"/>
        <v>0</v>
      </c>
      <c r="T60" s="1"/>
    </row>
    <row r="61" spans="1:20" ht="15.75" customHeight="1" x14ac:dyDescent="0.3">
      <c r="A61" s="10"/>
      <c r="B61" s="13"/>
      <c r="C61" s="7"/>
      <c r="E61" s="9"/>
      <c r="F61" s="6"/>
      <c r="H61" s="9"/>
      <c r="I61" s="9">
        <f t="shared" si="18"/>
        <v>0</v>
      </c>
      <c r="K61" s="2"/>
      <c r="L61" s="11"/>
      <c r="M61" s="9"/>
      <c r="N61" s="9"/>
      <c r="O61" s="9"/>
      <c r="P61" s="9"/>
      <c r="Q61" s="9"/>
      <c r="R61" s="9"/>
      <c r="S61" s="9">
        <f t="shared" si="20"/>
        <v>0</v>
      </c>
      <c r="T61" s="1"/>
    </row>
    <row r="62" spans="1:20" ht="15.75" customHeight="1" x14ac:dyDescent="0.3">
      <c r="A62" s="10"/>
      <c r="C62" s="7"/>
      <c r="E62" s="9"/>
      <c r="F62" s="6"/>
      <c r="G62" s="6"/>
      <c r="H62" s="9"/>
      <c r="I62" s="9">
        <f t="shared" si="18"/>
        <v>0</v>
      </c>
      <c r="J62" s="13"/>
      <c r="K62" s="2"/>
      <c r="L62" s="11"/>
      <c r="M62" s="9"/>
      <c r="N62" s="9"/>
      <c r="O62" s="9"/>
      <c r="P62" s="9"/>
      <c r="Q62" s="9"/>
      <c r="R62" s="9"/>
      <c r="S62" s="9">
        <f t="shared" si="20"/>
        <v>0</v>
      </c>
      <c r="T62" s="1"/>
    </row>
    <row r="63" spans="1:20" ht="15.75" customHeight="1" x14ac:dyDescent="0.3">
      <c r="A63" s="10"/>
      <c r="C63" s="7"/>
      <c r="E63" s="9"/>
      <c r="F63" s="6"/>
      <c r="G63" s="28"/>
      <c r="H63" s="9"/>
      <c r="I63" s="9">
        <f t="shared" si="18"/>
        <v>0</v>
      </c>
      <c r="K63" s="2"/>
      <c r="L63" s="11"/>
      <c r="M63" s="9"/>
      <c r="N63" s="9"/>
      <c r="O63" s="9"/>
      <c r="P63" s="9"/>
      <c r="Q63" s="9"/>
      <c r="R63" s="9"/>
      <c r="S63" s="9">
        <f t="shared" si="20"/>
        <v>0</v>
      </c>
      <c r="T63" s="1"/>
    </row>
    <row r="64" spans="1:20" ht="15.75" customHeight="1" x14ac:dyDescent="0.3">
      <c r="A64" s="10"/>
      <c r="C64" s="7"/>
      <c r="E64" s="9"/>
      <c r="F64" s="6"/>
      <c r="G64" s="28"/>
      <c r="H64" s="9"/>
      <c r="I64" s="9">
        <f t="shared" si="18"/>
        <v>0</v>
      </c>
      <c r="K64" s="2"/>
      <c r="L64" s="11"/>
      <c r="M64" s="9"/>
      <c r="N64" s="9"/>
      <c r="O64" s="9"/>
      <c r="P64" s="9"/>
      <c r="Q64" s="9"/>
      <c r="R64" s="9"/>
      <c r="S64" s="9">
        <f t="shared" si="20"/>
        <v>0</v>
      </c>
      <c r="T64" s="1"/>
    </row>
    <row r="65" spans="1:20" ht="15.75" customHeight="1" x14ac:dyDescent="0.3">
      <c r="A65" s="10"/>
      <c r="E65" s="9"/>
      <c r="F65" s="6"/>
      <c r="G65" s="6"/>
      <c r="H65" s="9"/>
      <c r="I65" s="9">
        <f t="shared" si="18"/>
        <v>0</v>
      </c>
      <c r="K65" s="2"/>
      <c r="L65" s="11"/>
      <c r="M65" s="9"/>
      <c r="N65" s="9"/>
      <c r="O65" s="9"/>
      <c r="P65" s="9"/>
      <c r="Q65" s="9"/>
      <c r="R65" s="9"/>
      <c r="S65" s="9">
        <f t="shared" si="20"/>
        <v>0</v>
      </c>
      <c r="T65" s="1"/>
    </row>
    <row r="66" spans="1:20" ht="15.75" customHeight="1" x14ac:dyDescent="0.3">
      <c r="A66" s="10"/>
      <c r="B66" s="13"/>
      <c r="C66" s="7"/>
      <c r="E66" s="9"/>
      <c r="F66" s="6"/>
      <c r="G66" s="28"/>
      <c r="H66" s="9"/>
      <c r="I66" s="9">
        <f t="shared" si="18"/>
        <v>0</v>
      </c>
      <c r="J66" s="13"/>
      <c r="K66" s="2"/>
      <c r="L66" s="11"/>
      <c r="M66" s="9"/>
      <c r="N66" s="9"/>
      <c r="O66" s="9"/>
      <c r="P66" s="9"/>
      <c r="Q66" s="9"/>
      <c r="R66" s="9"/>
      <c r="S66" s="9">
        <f t="shared" si="20"/>
        <v>0</v>
      </c>
      <c r="T66" s="1"/>
    </row>
    <row r="67" spans="1:20" ht="15.75" customHeight="1" x14ac:dyDescent="0.3">
      <c r="A67" s="6"/>
      <c r="C67" s="7"/>
      <c r="E67" s="9"/>
      <c r="F67" s="6"/>
      <c r="G67" s="6"/>
      <c r="H67" s="9"/>
      <c r="I67" s="9">
        <f t="shared" si="18"/>
        <v>0</v>
      </c>
      <c r="K67" s="2"/>
      <c r="L67" s="11"/>
      <c r="M67" s="9"/>
      <c r="N67" s="9"/>
      <c r="O67" s="9"/>
      <c r="P67" s="9"/>
      <c r="Q67" s="9"/>
      <c r="R67" s="9"/>
      <c r="S67" s="9">
        <f t="shared" si="20"/>
        <v>0</v>
      </c>
      <c r="T67" s="1"/>
    </row>
    <row r="68" spans="1:20" ht="15.75" customHeight="1" x14ac:dyDescent="0.3">
      <c r="A68" s="6"/>
      <c r="C68" s="7"/>
      <c r="E68" s="9"/>
      <c r="F68" s="6"/>
      <c r="G68" s="6"/>
      <c r="H68" s="9"/>
      <c r="I68" s="9">
        <f t="shared" si="18"/>
        <v>0</v>
      </c>
      <c r="K68" s="2"/>
      <c r="L68" s="11"/>
      <c r="M68" s="9"/>
      <c r="N68" s="9"/>
      <c r="O68" s="9"/>
      <c r="P68" s="9"/>
      <c r="Q68" s="9"/>
      <c r="R68" s="9"/>
      <c r="S68" s="9">
        <f t="shared" si="20"/>
        <v>0</v>
      </c>
      <c r="T68" s="1"/>
    </row>
    <row r="69" spans="1:20" ht="15.75" customHeight="1" x14ac:dyDescent="0.3">
      <c r="A69" s="6"/>
      <c r="E69" s="9"/>
      <c r="F69" s="10"/>
      <c r="G69" s="6"/>
      <c r="H69" s="9"/>
      <c r="I69" s="9">
        <f t="shared" si="18"/>
        <v>0</v>
      </c>
      <c r="K69" s="2"/>
      <c r="L69" s="11"/>
      <c r="M69" s="9"/>
      <c r="N69" s="9"/>
      <c r="O69" s="9"/>
      <c r="P69" s="9"/>
      <c r="Q69" s="9"/>
      <c r="R69" s="9"/>
      <c r="S69" s="9">
        <f t="shared" si="20"/>
        <v>0</v>
      </c>
      <c r="T69" s="1"/>
    </row>
    <row r="70" spans="1:20" ht="20.25" customHeight="1" x14ac:dyDescent="0.3">
      <c r="A70" s="6"/>
      <c r="E70" s="9"/>
      <c r="F70" s="10"/>
      <c r="G70" s="6"/>
      <c r="H70" s="9"/>
      <c r="I70" s="9">
        <f t="shared" si="18"/>
        <v>0</v>
      </c>
      <c r="K70" s="2"/>
      <c r="L70" s="11"/>
      <c r="M70" s="9"/>
      <c r="N70" s="9"/>
      <c r="O70" s="9"/>
      <c r="P70" s="9"/>
      <c r="Q70" s="9"/>
      <c r="R70" s="9"/>
      <c r="S70" s="9">
        <f t="shared" si="20"/>
        <v>0</v>
      </c>
      <c r="T70" s="1"/>
    </row>
    <row r="71" spans="1:20" ht="15.75" customHeight="1" x14ac:dyDescent="0.3">
      <c r="A71" s="10"/>
      <c r="C71" s="7"/>
      <c r="E71" s="9"/>
      <c r="F71" s="10"/>
      <c r="G71" s="6"/>
      <c r="H71" s="9"/>
      <c r="I71" s="9">
        <f t="shared" si="18"/>
        <v>0</v>
      </c>
      <c r="K71" s="2"/>
      <c r="L71" s="11"/>
      <c r="M71" s="9"/>
      <c r="N71" s="9"/>
      <c r="O71" s="9"/>
      <c r="P71" s="9"/>
      <c r="Q71" s="9"/>
      <c r="R71" s="9"/>
      <c r="S71" s="9">
        <f t="shared" si="20"/>
        <v>0</v>
      </c>
      <c r="T71" s="1"/>
    </row>
    <row r="72" spans="1:20" ht="15.75" customHeight="1" x14ac:dyDescent="0.3">
      <c r="A72" s="10"/>
      <c r="E72" s="9"/>
      <c r="F72" s="10"/>
      <c r="G72" s="6"/>
      <c r="H72" s="9"/>
      <c r="I72" s="9">
        <f t="shared" si="18"/>
        <v>0</v>
      </c>
      <c r="K72" s="2"/>
      <c r="L72" s="11"/>
      <c r="M72" s="9"/>
      <c r="N72" s="9"/>
      <c r="O72" s="9"/>
      <c r="P72" s="9"/>
      <c r="Q72" s="9"/>
      <c r="R72" s="9"/>
      <c r="S72" s="9">
        <f t="shared" si="20"/>
        <v>0</v>
      </c>
      <c r="T72" s="1"/>
    </row>
    <row r="73" spans="1:20" ht="15.75" customHeight="1" x14ac:dyDescent="0.3">
      <c r="A73" s="6"/>
      <c r="C73" s="7"/>
      <c r="E73" s="9"/>
      <c r="F73" s="10"/>
      <c r="G73" s="6"/>
      <c r="H73" s="9"/>
      <c r="I73" s="9">
        <f t="shared" si="18"/>
        <v>0</v>
      </c>
      <c r="K73" s="2"/>
      <c r="L73" s="11"/>
      <c r="M73" s="9"/>
      <c r="N73" s="9"/>
      <c r="O73" s="9"/>
      <c r="P73" s="9"/>
      <c r="Q73" s="9"/>
      <c r="R73" s="9"/>
      <c r="S73" s="9">
        <f t="shared" si="20"/>
        <v>0</v>
      </c>
      <c r="T73" s="1"/>
    </row>
    <row r="74" spans="1:20" ht="15.75" customHeight="1" x14ac:dyDescent="0.3">
      <c r="A74" s="6"/>
      <c r="E74" s="9"/>
      <c r="F74" s="6"/>
      <c r="G74" s="6"/>
      <c r="H74" s="9"/>
      <c r="I74" s="9">
        <f t="shared" si="18"/>
        <v>0</v>
      </c>
      <c r="J74" s="13"/>
      <c r="K74" s="2"/>
      <c r="L74" s="11"/>
      <c r="M74" s="9"/>
      <c r="N74" s="9"/>
      <c r="O74" s="9"/>
      <c r="P74" s="9"/>
      <c r="Q74" s="9"/>
      <c r="R74" s="9"/>
      <c r="S74" s="9">
        <f t="shared" si="20"/>
        <v>0</v>
      </c>
      <c r="T74" s="1"/>
    </row>
    <row r="75" spans="1:20" ht="15.75" customHeight="1" x14ac:dyDescent="0.3">
      <c r="A75" s="6"/>
      <c r="C75" s="7"/>
      <c r="E75" s="9"/>
      <c r="F75" s="6"/>
      <c r="H75" s="9"/>
      <c r="I75" s="9">
        <f t="shared" si="18"/>
        <v>0</v>
      </c>
      <c r="K75" s="2"/>
      <c r="L75" s="11"/>
      <c r="M75" s="9"/>
      <c r="N75" s="9"/>
      <c r="O75" s="9"/>
      <c r="P75" s="9"/>
      <c r="Q75" s="9"/>
      <c r="R75" s="9"/>
      <c r="S75" s="9">
        <f t="shared" si="20"/>
        <v>0</v>
      </c>
      <c r="T75" s="1"/>
    </row>
    <row r="76" spans="1:20" ht="15.75" customHeight="1" x14ac:dyDescent="0.3">
      <c r="A76" s="6"/>
      <c r="C76" s="7"/>
      <c r="E76" s="9"/>
      <c r="F76" s="6"/>
      <c r="G76" s="28"/>
      <c r="H76" s="9"/>
      <c r="I76" s="9">
        <f t="shared" si="18"/>
        <v>0</v>
      </c>
      <c r="K76" s="2"/>
      <c r="L76" s="11"/>
      <c r="M76" s="9"/>
      <c r="N76" s="9"/>
      <c r="O76" s="9"/>
      <c r="P76" s="9"/>
      <c r="Q76" s="9"/>
      <c r="R76" s="9"/>
      <c r="S76" s="9">
        <f t="shared" si="20"/>
        <v>0</v>
      </c>
      <c r="T76" s="1"/>
    </row>
    <row r="77" spans="1:20" ht="15.75" customHeight="1" x14ac:dyDescent="0.3">
      <c r="A77" s="6"/>
      <c r="E77" s="9"/>
      <c r="F77" s="6"/>
      <c r="G77" s="6"/>
      <c r="H77" s="9"/>
      <c r="I77" s="9">
        <f t="shared" si="18"/>
        <v>0</v>
      </c>
      <c r="K77" s="2"/>
      <c r="L77" s="11"/>
      <c r="M77" s="9"/>
      <c r="N77" s="9"/>
      <c r="O77" s="9"/>
      <c r="P77" s="9"/>
      <c r="Q77" s="9"/>
      <c r="R77" s="9"/>
      <c r="S77" s="9">
        <f t="shared" si="20"/>
        <v>0</v>
      </c>
      <c r="T77" s="1"/>
    </row>
    <row r="78" spans="1:20" ht="15.75" customHeight="1" x14ac:dyDescent="0.3">
      <c r="A78" s="6"/>
      <c r="E78" s="9"/>
      <c r="F78" s="2" t="s">
        <v>180</v>
      </c>
      <c r="G78" s="6"/>
      <c r="H78" s="9"/>
      <c r="I78" s="9">
        <f t="shared" si="18"/>
        <v>0</v>
      </c>
      <c r="K78" s="2"/>
      <c r="L78" s="11"/>
      <c r="M78" s="9"/>
      <c r="N78" s="9"/>
      <c r="O78" s="9"/>
      <c r="P78" s="9"/>
      <c r="Q78" s="9"/>
      <c r="R78" s="9"/>
      <c r="S78" s="9">
        <f t="shared" si="20"/>
        <v>0</v>
      </c>
      <c r="T78" s="1"/>
    </row>
    <row r="79" spans="1:20" ht="15.75" customHeight="1" x14ac:dyDescent="0.3">
      <c r="A79" s="6"/>
      <c r="E79" s="9"/>
      <c r="F79" s="6"/>
      <c r="G79" s="28"/>
      <c r="H79" s="9"/>
      <c r="I79" s="9">
        <f t="shared" si="18"/>
        <v>0</v>
      </c>
      <c r="K79" s="2"/>
      <c r="L79" s="11"/>
      <c r="M79" s="9"/>
      <c r="N79" s="9"/>
      <c r="O79" s="9"/>
      <c r="P79" s="9"/>
      <c r="Q79" s="9"/>
      <c r="R79" s="9"/>
      <c r="S79" s="9">
        <f t="shared" si="20"/>
        <v>0</v>
      </c>
      <c r="T79" s="1"/>
    </row>
    <row r="80" spans="1:20" ht="15.75" customHeight="1" x14ac:dyDescent="0.3">
      <c r="A80" s="6"/>
      <c r="E80" s="9"/>
      <c r="F80" s="6"/>
      <c r="H80" s="9"/>
      <c r="I80" s="9">
        <f t="shared" si="18"/>
        <v>0</v>
      </c>
      <c r="K80" s="2"/>
      <c r="L80" s="11"/>
      <c r="M80" s="9"/>
      <c r="N80" s="9"/>
      <c r="O80" s="9"/>
      <c r="P80" s="9"/>
      <c r="Q80" s="9"/>
      <c r="R80" s="9"/>
      <c r="S80" s="9">
        <f t="shared" si="20"/>
        <v>0</v>
      </c>
      <c r="T80" s="1"/>
    </row>
    <row r="81" spans="1:20" ht="15.75" customHeight="1" x14ac:dyDescent="0.3">
      <c r="A81" s="6"/>
      <c r="E81" s="9"/>
      <c r="F81" s="6"/>
      <c r="H81" s="9"/>
      <c r="I81" s="9">
        <f t="shared" si="18"/>
        <v>0</v>
      </c>
      <c r="K81" s="2"/>
      <c r="L81" s="11"/>
      <c r="M81" s="9"/>
      <c r="N81" s="9"/>
      <c r="O81" s="9"/>
      <c r="P81" s="9"/>
      <c r="Q81" s="9"/>
      <c r="R81" s="9"/>
      <c r="S81" s="9">
        <f t="shared" si="20"/>
        <v>0</v>
      </c>
      <c r="T81" s="1"/>
    </row>
    <row r="82" spans="1:20" ht="15.75" customHeight="1" x14ac:dyDescent="0.3">
      <c r="A82" s="6"/>
      <c r="E82" s="9"/>
      <c r="F82" s="6"/>
      <c r="H82" s="9"/>
      <c r="I82" s="9">
        <f t="shared" si="18"/>
        <v>0</v>
      </c>
      <c r="K82" s="2"/>
      <c r="L82" s="11"/>
      <c r="M82" s="9"/>
      <c r="N82" s="9"/>
      <c r="O82" s="9"/>
      <c r="P82" s="9"/>
      <c r="Q82" s="9"/>
      <c r="R82" s="9"/>
      <c r="S82" s="9">
        <f t="shared" si="20"/>
        <v>0</v>
      </c>
      <c r="T82" s="1"/>
    </row>
    <row r="83" spans="1:20" ht="15.75" customHeight="1" x14ac:dyDescent="0.3">
      <c r="A83" s="6"/>
      <c r="C83" s="7"/>
      <c r="E83" s="9"/>
      <c r="F83" s="6"/>
      <c r="H83" s="9"/>
      <c r="I83" s="9">
        <f t="shared" si="18"/>
        <v>0</v>
      </c>
      <c r="K83" s="2"/>
      <c r="L83" s="11"/>
      <c r="M83" s="9"/>
      <c r="N83" s="9"/>
      <c r="O83" s="9"/>
      <c r="P83" s="9"/>
      <c r="Q83" s="9"/>
      <c r="R83" s="9"/>
      <c r="S83" s="9">
        <f t="shared" si="20"/>
        <v>0</v>
      </c>
      <c r="T83" s="1"/>
    </row>
    <row r="84" spans="1:20" ht="15.75" customHeight="1" x14ac:dyDescent="0.3">
      <c r="A84" s="6"/>
      <c r="C84" s="7"/>
      <c r="E84" s="9"/>
      <c r="F84" s="6"/>
      <c r="H84" s="9"/>
      <c r="I84" s="9">
        <f t="shared" si="18"/>
        <v>0</v>
      </c>
      <c r="K84" s="2"/>
      <c r="L84" s="11"/>
      <c r="M84" s="9"/>
      <c r="N84" s="9"/>
      <c r="O84" s="9"/>
      <c r="P84" s="9"/>
      <c r="Q84" s="9"/>
      <c r="R84" s="9"/>
      <c r="S84" s="9">
        <f t="shared" si="20"/>
        <v>0</v>
      </c>
      <c r="T84" s="1"/>
    </row>
    <row r="85" spans="1:20" ht="15.75" customHeight="1" x14ac:dyDescent="0.3">
      <c r="A85" s="6"/>
      <c r="E85" s="9"/>
      <c r="F85" s="6"/>
      <c r="H85" s="9"/>
      <c r="I85" s="9">
        <f t="shared" si="18"/>
        <v>0</v>
      </c>
      <c r="K85" s="2"/>
      <c r="L85" s="11"/>
      <c r="M85" s="9"/>
      <c r="N85" s="9"/>
      <c r="O85" s="9"/>
      <c r="P85" s="9"/>
      <c r="Q85" s="9"/>
      <c r="R85" s="9"/>
      <c r="S85" s="9">
        <f t="shared" si="20"/>
        <v>0</v>
      </c>
      <c r="T85" s="1"/>
    </row>
    <row r="86" spans="1:20" ht="15.75" customHeight="1" x14ac:dyDescent="0.3">
      <c r="A86" s="6"/>
      <c r="E86" s="9"/>
      <c r="F86" s="6"/>
      <c r="H86" s="9"/>
      <c r="I86" s="9">
        <f t="shared" si="18"/>
        <v>0</v>
      </c>
      <c r="K86" s="2"/>
      <c r="L86" s="11"/>
      <c r="M86" s="9"/>
      <c r="N86" s="9"/>
      <c r="O86" s="9"/>
      <c r="P86" s="9"/>
      <c r="Q86" s="9"/>
      <c r="R86" s="9"/>
      <c r="S86" s="9">
        <f t="shared" si="20"/>
        <v>0</v>
      </c>
      <c r="T86" s="1"/>
    </row>
    <row r="87" spans="1:20" ht="15.75" customHeight="1" x14ac:dyDescent="0.3">
      <c r="A87" s="28"/>
      <c r="E87" s="9"/>
      <c r="F87" s="6"/>
      <c r="H87" s="9"/>
      <c r="I87" s="9">
        <f t="shared" si="18"/>
        <v>0</v>
      </c>
      <c r="K87" s="2"/>
      <c r="L87" s="11"/>
      <c r="M87" s="9"/>
      <c r="N87" s="9"/>
      <c r="O87" s="9"/>
      <c r="P87" s="9"/>
      <c r="Q87" s="9"/>
      <c r="R87" s="9"/>
      <c r="S87" s="9">
        <f t="shared" si="20"/>
        <v>0</v>
      </c>
      <c r="T87" s="1"/>
    </row>
    <row r="88" spans="1:20" ht="15.75" customHeight="1" x14ac:dyDescent="0.3">
      <c r="A88" s="28"/>
      <c r="E88" s="9"/>
      <c r="F88" s="6"/>
      <c r="H88" s="9"/>
      <c r="I88" s="9">
        <f t="shared" si="18"/>
        <v>0</v>
      </c>
      <c r="K88" s="2"/>
      <c r="L88" s="11"/>
      <c r="M88" s="9"/>
      <c r="N88" s="9"/>
      <c r="O88" s="9"/>
      <c r="P88" s="9"/>
      <c r="Q88" s="9"/>
      <c r="R88" s="9"/>
      <c r="S88" s="9">
        <f t="shared" si="20"/>
        <v>0</v>
      </c>
      <c r="T88" s="1"/>
    </row>
    <row r="89" spans="1:20" ht="15.75" customHeight="1" x14ac:dyDescent="0.3">
      <c r="E89" s="9"/>
      <c r="F89" s="9"/>
      <c r="H89" s="9"/>
      <c r="I89" s="9">
        <f t="shared" si="18"/>
        <v>0</v>
      </c>
      <c r="K89" s="2"/>
      <c r="M89" s="9"/>
      <c r="N89" s="9"/>
      <c r="O89" s="9"/>
      <c r="P89" s="9"/>
      <c r="Q89" s="9"/>
      <c r="R89" s="9"/>
      <c r="S89" s="9">
        <f t="shared" si="20"/>
        <v>0</v>
      </c>
      <c r="T89" s="1"/>
    </row>
    <row r="90" spans="1:20" ht="15.75" customHeight="1" x14ac:dyDescent="0.3">
      <c r="E90" s="9"/>
      <c r="F90" s="9"/>
      <c r="H90" s="9"/>
      <c r="I90" s="9">
        <f t="shared" si="18"/>
        <v>0</v>
      </c>
      <c r="K90" s="2"/>
      <c r="M90" s="9"/>
      <c r="N90" s="9"/>
      <c r="O90" s="9"/>
      <c r="P90" s="9"/>
      <c r="Q90" s="9"/>
      <c r="R90" s="9"/>
      <c r="S90" s="9">
        <f t="shared" si="20"/>
        <v>0</v>
      </c>
      <c r="T90" s="1"/>
    </row>
    <row r="91" spans="1:20" ht="15.75" customHeight="1" x14ac:dyDescent="0.3">
      <c r="E91" s="9"/>
      <c r="F91" s="9"/>
      <c r="H91" s="9"/>
      <c r="I91" s="9">
        <f t="shared" si="18"/>
        <v>0</v>
      </c>
      <c r="K91" s="2"/>
      <c r="M91" s="9"/>
      <c r="N91" s="9"/>
      <c r="O91" s="9"/>
      <c r="P91" s="9"/>
      <c r="Q91" s="9"/>
      <c r="R91" s="9"/>
      <c r="S91" s="9">
        <f t="shared" si="20"/>
        <v>0</v>
      </c>
      <c r="T91" s="1"/>
    </row>
    <row r="92" spans="1:20" ht="15.75" customHeight="1" x14ac:dyDescent="0.3">
      <c r="E92" s="9"/>
      <c r="F92" s="9"/>
      <c r="H92" s="9"/>
      <c r="I92" s="9">
        <f t="shared" si="18"/>
        <v>0</v>
      </c>
      <c r="K92" s="2"/>
      <c r="M92" s="9"/>
      <c r="N92" s="9"/>
      <c r="O92" s="9"/>
      <c r="P92" s="9"/>
      <c r="Q92" s="9"/>
      <c r="R92" s="9"/>
      <c r="S92" s="9">
        <f t="shared" si="20"/>
        <v>0</v>
      </c>
      <c r="T92" s="1"/>
    </row>
    <row r="93" spans="1:20" ht="15.75" customHeight="1" x14ac:dyDescent="0.3">
      <c r="E93" s="9"/>
      <c r="F93" s="9"/>
      <c r="H93" s="9"/>
      <c r="I93" s="9">
        <f t="shared" si="18"/>
        <v>0</v>
      </c>
      <c r="K93" s="2"/>
      <c r="M93" s="9"/>
      <c r="N93" s="9"/>
      <c r="O93" s="9"/>
      <c r="P93" s="9"/>
      <c r="Q93" s="9"/>
      <c r="R93" s="9"/>
      <c r="S93" s="9">
        <f t="shared" si="20"/>
        <v>0</v>
      </c>
      <c r="T93" s="1"/>
    </row>
    <row r="94" spans="1:20" ht="15.75" customHeight="1" x14ac:dyDescent="0.3">
      <c r="E94" s="9"/>
      <c r="F94" s="9"/>
      <c r="H94" s="9"/>
      <c r="I94" s="9">
        <f t="shared" si="18"/>
        <v>0</v>
      </c>
      <c r="K94" s="2"/>
      <c r="M94" s="9"/>
      <c r="N94" s="9"/>
      <c r="O94" s="9"/>
      <c r="P94" s="4"/>
      <c r="Q94" s="4"/>
      <c r="R94" s="4"/>
      <c r="S94" s="4">
        <v>0</v>
      </c>
      <c r="T94" s="1"/>
    </row>
    <row r="95" spans="1:20" ht="15.75" customHeight="1" x14ac:dyDescent="0.3">
      <c r="E95" s="29">
        <f>SUM(E2:E90)</f>
        <v>17210208.550000001</v>
      </c>
      <c r="F95" s="9"/>
      <c r="G95" s="9"/>
      <c r="H95" s="29">
        <f t="shared" ref="H95:I95" si="21">SUM(H2:H90)</f>
        <v>12925385</v>
      </c>
      <c r="I95" s="29">
        <f t="shared" si="21"/>
        <v>4284823.55</v>
      </c>
      <c r="J95" s="9"/>
      <c r="K95" s="9"/>
      <c r="L95" s="9"/>
      <c r="M95" s="29">
        <f t="shared" ref="M95:T95" si="22">SUM(M2:M94)</f>
        <v>16637857.049999999</v>
      </c>
      <c r="N95" s="29">
        <f t="shared" si="22"/>
        <v>905211</v>
      </c>
      <c r="O95" s="29">
        <f t="shared" si="22"/>
        <v>2903175.0999999996</v>
      </c>
      <c r="P95" s="29">
        <f t="shared" si="22"/>
        <v>5898750</v>
      </c>
      <c r="Q95" s="29">
        <f t="shared" si="22"/>
        <v>4960720.95</v>
      </c>
      <c r="R95" s="29">
        <f t="shared" si="22"/>
        <v>1970000</v>
      </c>
      <c r="S95" s="29">
        <f t="shared" si="22"/>
        <v>0</v>
      </c>
      <c r="T95" s="30">
        <f t="shared" si="22"/>
        <v>560625</v>
      </c>
    </row>
    <row r="96" spans="1:20" ht="15.75" customHeight="1" x14ac:dyDescent="0.3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4"/>
      <c r="Q96" s="4"/>
      <c r="R96" s="4"/>
      <c r="T96" s="1"/>
    </row>
    <row r="97" spans="4:20" ht="15.75" customHeight="1" x14ac:dyDescent="0.3">
      <c r="E97" s="31" t="s">
        <v>181</v>
      </c>
      <c r="F97" s="31" t="s">
        <v>12</v>
      </c>
      <c r="H97" s="31" t="s">
        <v>182</v>
      </c>
      <c r="I97" s="32" t="s">
        <v>183</v>
      </c>
      <c r="M97" s="9" t="s">
        <v>184</v>
      </c>
      <c r="N97" s="9"/>
      <c r="O97" s="9"/>
      <c r="P97" s="9">
        <f t="shared" ref="P97:R97" si="23">4000000*4</f>
        <v>16000000</v>
      </c>
      <c r="Q97" s="9">
        <f t="shared" si="23"/>
        <v>16000000</v>
      </c>
      <c r="R97" s="9">
        <f t="shared" si="23"/>
        <v>16000000</v>
      </c>
      <c r="T97" s="1"/>
    </row>
    <row r="98" spans="4:20" ht="15.75" customHeight="1" x14ac:dyDescent="0.3">
      <c r="D98" s="2" t="s">
        <v>32</v>
      </c>
      <c r="E98" s="9">
        <f>SUMIF(K2:K90,D98,E2:E90)</f>
        <v>15904346.049999999</v>
      </c>
      <c r="F98" s="9">
        <f>SUMIF(K2:K90,D98,M2:M90)</f>
        <v>15904346.049999999</v>
      </c>
      <c r="G98" s="9"/>
      <c r="H98" s="9">
        <f t="shared" ref="H98:I98" si="24">SUMIF($K2:$K90,$D$98,H2:H90)</f>
        <v>12486875</v>
      </c>
      <c r="I98" s="9">
        <f t="shared" si="24"/>
        <v>3417471.05</v>
      </c>
      <c r="M98" s="9" t="s">
        <v>185</v>
      </c>
      <c r="N98" s="9"/>
      <c r="O98" s="9"/>
      <c r="P98" s="9">
        <f t="shared" ref="P98:R98" si="25">P97-P95</f>
        <v>10101250</v>
      </c>
      <c r="Q98" s="9">
        <f t="shared" si="25"/>
        <v>11039279.050000001</v>
      </c>
      <c r="R98" s="9">
        <f t="shared" si="25"/>
        <v>14030000</v>
      </c>
      <c r="T98" s="1"/>
    </row>
    <row r="99" spans="4:20" ht="15.75" customHeight="1" x14ac:dyDescent="0.3">
      <c r="D99" s="2" t="s">
        <v>22</v>
      </c>
      <c r="E99" s="9">
        <f>SUMIF(K2:K90,D99,E2:E90)</f>
        <v>683511</v>
      </c>
      <c r="F99" s="9">
        <f>SUMIF(K2:K90,D99,M2:M90)</f>
        <v>733511</v>
      </c>
      <c r="G99" s="9"/>
      <c r="H99" s="9">
        <f t="shared" ref="H99:I99" si="26">SUMIF($K2:$K90,$D$99,H2:H90)</f>
        <v>16660</v>
      </c>
      <c r="I99" s="9">
        <f t="shared" si="26"/>
        <v>666851</v>
      </c>
      <c r="M99" s="9" t="s">
        <v>186</v>
      </c>
      <c r="N99" s="9"/>
      <c r="O99" s="9"/>
      <c r="P99" s="33">
        <f t="shared" ref="P99:R99" si="27">P95/P97</f>
        <v>0.36867187499999998</v>
      </c>
      <c r="Q99" s="33">
        <f t="shared" si="27"/>
        <v>0.31004505937499999</v>
      </c>
      <c r="R99" s="33">
        <f t="shared" si="27"/>
        <v>0.123125</v>
      </c>
      <c r="T99" s="1"/>
    </row>
    <row r="100" spans="4:20" ht="15.75" customHeight="1" x14ac:dyDescent="0.3">
      <c r="D100" s="2" t="s">
        <v>27</v>
      </c>
      <c r="E100" s="9">
        <f>SUMIF(K2:K90,D100,E2:E90)</f>
        <v>622351.5</v>
      </c>
      <c r="F100" s="9"/>
      <c r="G100" s="9"/>
      <c r="H100" s="9">
        <f t="shared" ref="H100:I100" si="28">SUMIF($K2:$K90,$D$100,H2:H90)</f>
        <v>421850</v>
      </c>
      <c r="I100" s="9">
        <f t="shared" si="28"/>
        <v>200501.5</v>
      </c>
      <c r="M100" s="9"/>
      <c r="N100" s="9"/>
      <c r="O100" s="9"/>
      <c r="P100" s="9"/>
      <c r="Q100" s="9"/>
      <c r="R100" s="9"/>
      <c r="T100" s="1"/>
    </row>
    <row r="101" spans="4:20" ht="15.75" customHeight="1" x14ac:dyDescent="0.3">
      <c r="E101" s="29">
        <f t="shared" ref="E101:F101" si="29">SUM(E98:E100)</f>
        <v>17210208.549999997</v>
      </c>
      <c r="F101" s="29">
        <f t="shared" si="29"/>
        <v>16637857.049999999</v>
      </c>
      <c r="G101" s="9"/>
      <c r="H101" s="9">
        <f>SUMIF($K2:$K97,$D$98,H2:H97)</f>
        <v>12486875</v>
      </c>
      <c r="I101" s="29">
        <f>SUM(I98:I100)</f>
        <v>4284823.55</v>
      </c>
      <c r="M101" s="9"/>
      <c r="N101" s="9"/>
      <c r="O101" s="9"/>
      <c r="P101" s="9"/>
      <c r="Q101" s="9"/>
      <c r="R101" s="9"/>
      <c r="T101" s="1"/>
    </row>
    <row r="102" spans="4:20" ht="15.75" customHeight="1" x14ac:dyDescent="0.3">
      <c r="E102" s="9">
        <f>E95-E101</f>
        <v>0</v>
      </c>
      <c r="F102" s="9">
        <f>F101-S95</f>
        <v>16637857.049999999</v>
      </c>
      <c r="G102" s="9"/>
      <c r="H102" s="9">
        <f>SUMIF($K2:$K98,$D$98,H2:H98)</f>
        <v>12486875</v>
      </c>
      <c r="I102" s="9">
        <f>I95-I101</f>
        <v>0</v>
      </c>
      <c r="M102" s="9"/>
      <c r="N102" s="9"/>
      <c r="O102" s="9"/>
      <c r="P102" s="9"/>
      <c r="Q102" s="9"/>
      <c r="R102" s="9"/>
      <c r="T102" s="1"/>
    </row>
    <row r="103" spans="4:20" ht="15.75" customHeight="1" x14ac:dyDescent="0.3">
      <c r="E103" s="9"/>
      <c r="F103" s="9"/>
      <c r="G103" s="9"/>
      <c r="H103" s="9"/>
      <c r="M103" s="9"/>
      <c r="N103" s="9"/>
      <c r="O103" s="9"/>
      <c r="P103" s="9"/>
      <c r="Q103" s="9"/>
      <c r="R103" s="9"/>
      <c r="T103" s="1"/>
    </row>
    <row r="104" spans="4:20" ht="15.75" customHeight="1" x14ac:dyDescent="0.3">
      <c r="E104" s="9"/>
      <c r="F104" s="9"/>
      <c r="H104" s="9"/>
      <c r="M104" s="9"/>
      <c r="N104" s="9"/>
      <c r="O104" s="9"/>
      <c r="P104" s="9"/>
      <c r="Q104" s="9"/>
      <c r="R104" s="9"/>
      <c r="T104" s="1"/>
    </row>
    <row r="105" spans="4:20" ht="15.75" customHeight="1" x14ac:dyDescent="0.3">
      <c r="E105" s="9"/>
      <c r="F105" s="9"/>
      <c r="H105" s="9"/>
      <c r="M105" s="9"/>
      <c r="N105" s="9"/>
      <c r="O105" s="9"/>
      <c r="P105" s="9"/>
      <c r="Q105" s="9"/>
      <c r="R105" s="9"/>
      <c r="T105" s="1"/>
    </row>
    <row r="106" spans="4:20" ht="15.75" customHeight="1" x14ac:dyDescent="0.3">
      <c r="E106" s="9"/>
      <c r="F106" s="9"/>
      <c r="H106" s="9"/>
      <c r="M106" s="9"/>
      <c r="N106" s="9"/>
      <c r="O106" s="9"/>
      <c r="P106" s="9"/>
      <c r="Q106" s="9"/>
      <c r="R106" s="9"/>
      <c r="T106" s="1"/>
    </row>
    <row r="107" spans="4:20" ht="15.75" customHeight="1" x14ac:dyDescent="0.3">
      <c r="E107" s="9"/>
      <c r="F107" s="9"/>
      <c r="H107" s="9"/>
      <c r="M107" s="9"/>
      <c r="N107" s="9"/>
      <c r="O107" s="9"/>
      <c r="P107" s="9"/>
      <c r="Q107" s="9"/>
      <c r="R107" s="9"/>
      <c r="T107" s="1"/>
    </row>
    <row r="108" spans="4:20" ht="15.75" customHeight="1" x14ac:dyDescent="0.3">
      <c r="E108" s="9"/>
      <c r="F108" s="9"/>
      <c r="H108" s="9"/>
      <c r="M108" s="9"/>
      <c r="N108" s="9"/>
      <c r="O108" s="9"/>
      <c r="P108" s="9"/>
      <c r="Q108" s="9"/>
      <c r="R108" s="9"/>
      <c r="T108" s="1"/>
    </row>
    <row r="109" spans="4:20" ht="15.75" customHeight="1" x14ac:dyDescent="0.3">
      <c r="E109" s="9"/>
      <c r="F109" s="9"/>
      <c r="H109" s="9"/>
      <c r="M109" s="9"/>
      <c r="N109" s="9"/>
      <c r="O109" s="9"/>
      <c r="P109" s="9"/>
      <c r="Q109" s="9"/>
      <c r="R109" s="9"/>
      <c r="T109" s="1"/>
    </row>
    <row r="110" spans="4:20" ht="15.75" customHeight="1" x14ac:dyDescent="0.3">
      <c r="E110" s="9"/>
      <c r="F110" s="9"/>
      <c r="H110" s="9"/>
      <c r="M110" s="9"/>
      <c r="N110" s="9"/>
      <c r="O110" s="9"/>
      <c r="P110" s="9"/>
      <c r="Q110" s="9"/>
      <c r="R110" s="9"/>
      <c r="T110" s="1"/>
    </row>
    <row r="111" spans="4:20" ht="15.75" customHeight="1" x14ac:dyDescent="0.3">
      <c r="E111" s="9"/>
      <c r="F111" s="9"/>
      <c r="H111" s="9"/>
      <c r="M111" s="9"/>
      <c r="N111" s="9"/>
      <c r="O111" s="9"/>
      <c r="P111" s="9"/>
      <c r="Q111" s="9"/>
      <c r="R111" s="9"/>
      <c r="T111" s="1"/>
    </row>
    <row r="112" spans="4:20" ht="15.75" customHeight="1" x14ac:dyDescent="0.3">
      <c r="E112" s="9"/>
      <c r="F112" s="9"/>
      <c r="H112" s="9"/>
      <c r="M112" s="9"/>
      <c r="N112" s="9"/>
      <c r="O112" s="9"/>
      <c r="P112" s="9"/>
      <c r="Q112" s="9"/>
      <c r="R112" s="9"/>
      <c r="T112" s="1"/>
    </row>
    <row r="113" spans="5:20" ht="15.75" customHeight="1" x14ac:dyDescent="0.3">
      <c r="E113" s="9"/>
      <c r="F113" s="9"/>
      <c r="H113" s="9"/>
      <c r="M113" s="9"/>
      <c r="N113" s="9"/>
      <c r="O113" s="9"/>
      <c r="P113" s="9"/>
      <c r="Q113" s="9"/>
      <c r="R113" s="9"/>
      <c r="T113" s="1"/>
    </row>
    <row r="114" spans="5:20" ht="15.75" customHeight="1" x14ac:dyDescent="0.3">
      <c r="E114" s="9"/>
      <c r="F114" s="9"/>
      <c r="H114" s="9"/>
      <c r="M114" s="9"/>
      <c r="N114" s="9"/>
      <c r="O114" s="9"/>
      <c r="P114" s="9"/>
      <c r="Q114" s="9"/>
      <c r="R114" s="9"/>
      <c r="T114" s="1"/>
    </row>
    <row r="115" spans="5:20" ht="15.75" customHeight="1" x14ac:dyDescent="0.3">
      <c r="E115" s="9"/>
      <c r="F115" s="9"/>
      <c r="H115" s="9"/>
      <c r="M115" s="9"/>
      <c r="N115" s="9"/>
      <c r="O115" s="9"/>
      <c r="P115" s="9"/>
      <c r="Q115" s="9"/>
      <c r="R115" s="9"/>
      <c r="T115" s="1"/>
    </row>
    <row r="116" spans="5:20" ht="15.75" customHeight="1" x14ac:dyDescent="0.3">
      <c r="E116" s="9"/>
      <c r="F116" s="9"/>
      <c r="H116" s="9"/>
      <c r="M116" s="9"/>
      <c r="N116" s="9"/>
      <c r="O116" s="9"/>
      <c r="P116" s="9"/>
      <c r="Q116" s="9"/>
      <c r="R116" s="9"/>
      <c r="T116" s="1"/>
    </row>
    <row r="117" spans="5:20" ht="15.75" customHeight="1" x14ac:dyDescent="0.3">
      <c r="E117" s="9"/>
      <c r="F117" s="9"/>
      <c r="H117" s="9"/>
      <c r="M117" s="9"/>
      <c r="N117" s="9"/>
      <c r="O117" s="9"/>
      <c r="P117" s="9"/>
      <c r="Q117" s="9"/>
      <c r="R117" s="9"/>
      <c r="T117" s="1"/>
    </row>
    <row r="118" spans="5:20" ht="15.75" customHeight="1" x14ac:dyDescent="0.3">
      <c r="E118" s="9"/>
      <c r="F118" s="9"/>
      <c r="H118" s="9"/>
      <c r="M118" s="9"/>
      <c r="N118" s="9"/>
      <c r="O118" s="9"/>
      <c r="P118" s="9"/>
      <c r="Q118" s="9"/>
      <c r="R118" s="9"/>
      <c r="T118" s="1"/>
    </row>
    <row r="119" spans="5:20" ht="15.75" customHeight="1" x14ac:dyDescent="0.3">
      <c r="E119" s="9"/>
      <c r="F119" s="9"/>
      <c r="H119" s="9"/>
      <c r="M119" s="9"/>
      <c r="N119" s="9"/>
      <c r="O119" s="9"/>
      <c r="P119" s="9"/>
      <c r="Q119" s="9"/>
      <c r="R119" s="9"/>
      <c r="T119" s="1"/>
    </row>
    <row r="120" spans="5:20" ht="15.75" customHeight="1" x14ac:dyDescent="0.3">
      <c r="E120" s="9"/>
      <c r="F120" s="9"/>
      <c r="H120" s="9"/>
      <c r="M120" s="9"/>
      <c r="N120" s="9"/>
      <c r="O120" s="9"/>
      <c r="P120" s="9"/>
      <c r="Q120" s="9"/>
      <c r="R120" s="9"/>
      <c r="T120" s="1"/>
    </row>
    <row r="121" spans="5:20" ht="15.75" customHeight="1" x14ac:dyDescent="0.3">
      <c r="E121" s="9"/>
      <c r="F121" s="9"/>
      <c r="H121" s="9"/>
      <c r="M121" s="9"/>
      <c r="N121" s="9"/>
      <c r="O121" s="9"/>
      <c r="P121" s="9"/>
      <c r="Q121" s="9"/>
      <c r="R121" s="9"/>
      <c r="T121" s="1"/>
    </row>
    <row r="122" spans="5:20" ht="15.75" customHeight="1" x14ac:dyDescent="0.3">
      <c r="E122" s="9"/>
      <c r="F122" s="9"/>
      <c r="H122" s="9"/>
      <c r="M122" s="9"/>
      <c r="N122" s="9"/>
      <c r="O122" s="9"/>
      <c r="P122" s="9"/>
      <c r="Q122" s="9"/>
      <c r="R122" s="9"/>
      <c r="T122" s="1"/>
    </row>
    <row r="123" spans="5:20" ht="15.75" customHeight="1" x14ac:dyDescent="0.3">
      <c r="E123" s="9"/>
      <c r="F123" s="9"/>
      <c r="H123" s="9"/>
      <c r="M123" s="9"/>
      <c r="N123" s="9"/>
      <c r="O123" s="9"/>
      <c r="P123" s="9"/>
      <c r="Q123" s="9"/>
      <c r="R123" s="9"/>
      <c r="T123" s="1"/>
    </row>
    <row r="124" spans="5:20" ht="15.75" customHeight="1" x14ac:dyDescent="0.3">
      <c r="E124" s="9"/>
      <c r="F124" s="9"/>
      <c r="H124" s="9"/>
      <c r="M124" s="9"/>
      <c r="N124" s="9"/>
      <c r="O124" s="9"/>
      <c r="P124" s="9"/>
      <c r="Q124" s="9"/>
      <c r="R124" s="9"/>
      <c r="T124" s="1"/>
    </row>
    <row r="125" spans="5:20" ht="15.75" customHeight="1" x14ac:dyDescent="0.3">
      <c r="E125" s="9"/>
      <c r="F125" s="9"/>
      <c r="H125" s="9"/>
      <c r="M125" s="9"/>
      <c r="N125" s="9"/>
      <c r="O125" s="9"/>
      <c r="P125" s="9"/>
      <c r="Q125" s="9"/>
      <c r="R125" s="9"/>
      <c r="T125" s="1"/>
    </row>
    <row r="126" spans="5:20" ht="15.75" customHeight="1" x14ac:dyDescent="0.3">
      <c r="E126" s="9"/>
      <c r="F126" s="9"/>
      <c r="H126" s="9"/>
      <c r="M126" s="9"/>
      <c r="N126" s="9"/>
      <c r="O126" s="9"/>
      <c r="P126" s="9"/>
      <c r="Q126" s="9"/>
      <c r="R126" s="9"/>
      <c r="T126" s="1"/>
    </row>
    <row r="127" spans="5:20" ht="15.75" customHeight="1" x14ac:dyDescent="0.3">
      <c r="E127" s="9"/>
      <c r="F127" s="9"/>
      <c r="H127" s="9"/>
      <c r="M127" s="9"/>
      <c r="N127" s="9"/>
      <c r="O127" s="9"/>
      <c r="P127" s="9"/>
      <c r="Q127" s="9"/>
      <c r="R127" s="9"/>
      <c r="T127" s="1"/>
    </row>
    <row r="128" spans="5:20" ht="15.75" customHeight="1" x14ac:dyDescent="0.3">
      <c r="E128" s="9"/>
      <c r="F128" s="9"/>
      <c r="H128" s="9"/>
      <c r="M128" s="9"/>
      <c r="N128" s="9"/>
      <c r="O128" s="9"/>
      <c r="P128" s="9"/>
      <c r="Q128" s="9"/>
      <c r="R128" s="9"/>
      <c r="T128" s="1"/>
    </row>
    <row r="129" spans="5:20" ht="15.75" customHeight="1" x14ac:dyDescent="0.3">
      <c r="E129" s="9"/>
      <c r="F129" s="9"/>
      <c r="H129" s="9"/>
      <c r="M129" s="9"/>
      <c r="N129" s="9"/>
      <c r="O129" s="9"/>
      <c r="P129" s="9"/>
      <c r="Q129" s="9"/>
      <c r="R129" s="9"/>
      <c r="T129" s="1"/>
    </row>
    <row r="130" spans="5:20" ht="15.75" customHeight="1" x14ac:dyDescent="0.3">
      <c r="E130" s="9"/>
      <c r="F130" s="9"/>
      <c r="H130" s="9"/>
      <c r="M130" s="9"/>
      <c r="N130" s="9"/>
      <c r="O130" s="9"/>
      <c r="P130" s="9"/>
      <c r="Q130" s="9"/>
      <c r="R130" s="9"/>
      <c r="T130" s="1"/>
    </row>
    <row r="131" spans="5:20" ht="15.75" customHeight="1" x14ac:dyDescent="0.3">
      <c r="E131" s="9"/>
      <c r="F131" s="9"/>
      <c r="H131" s="9"/>
      <c r="M131" s="9"/>
      <c r="N131" s="9"/>
      <c r="O131" s="9"/>
      <c r="P131" s="9"/>
      <c r="Q131" s="9"/>
      <c r="R131" s="9"/>
      <c r="T131" s="1"/>
    </row>
    <row r="132" spans="5:20" ht="15.75" customHeight="1" x14ac:dyDescent="0.3">
      <c r="E132" s="9"/>
      <c r="F132" s="9"/>
      <c r="H132" s="9"/>
      <c r="M132" s="9"/>
      <c r="N132" s="9"/>
      <c r="O132" s="9"/>
      <c r="P132" s="9"/>
      <c r="Q132" s="9"/>
      <c r="R132" s="9"/>
      <c r="T132" s="1"/>
    </row>
    <row r="133" spans="5:20" ht="15.75" customHeight="1" x14ac:dyDescent="0.3">
      <c r="E133" s="9"/>
      <c r="F133" s="9"/>
      <c r="H133" s="9"/>
      <c r="M133" s="9"/>
      <c r="N133" s="9"/>
      <c r="O133" s="9"/>
      <c r="P133" s="9"/>
      <c r="Q133" s="9"/>
      <c r="R133" s="9"/>
      <c r="T133" s="1"/>
    </row>
    <row r="134" spans="5:20" ht="15.75" customHeight="1" x14ac:dyDescent="0.3">
      <c r="E134" s="9"/>
      <c r="F134" s="9"/>
      <c r="H134" s="9"/>
      <c r="M134" s="9"/>
      <c r="N134" s="9"/>
      <c r="O134" s="9"/>
      <c r="P134" s="9"/>
      <c r="Q134" s="9"/>
      <c r="R134" s="9"/>
      <c r="T134" s="1"/>
    </row>
    <row r="135" spans="5:20" ht="15.75" customHeight="1" x14ac:dyDescent="0.3">
      <c r="E135" s="9"/>
      <c r="F135" s="9"/>
      <c r="H135" s="9"/>
      <c r="M135" s="9"/>
      <c r="N135" s="9"/>
      <c r="O135" s="9"/>
      <c r="P135" s="9"/>
      <c r="Q135" s="9"/>
      <c r="R135" s="9"/>
      <c r="T135" s="1"/>
    </row>
    <row r="136" spans="5:20" ht="15.75" customHeight="1" x14ac:dyDescent="0.3">
      <c r="E136" s="9"/>
      <c r="F136" s="9"/>
      <c r="H136" s="9"/>
      <c r="M136" s="9"/>
      <c r="N136" s="9"/>
      <c r="O136" s="9"/>
      <c r="P136" s="9"/>
      <c r="Q136" s="9"/>
      <c r="R136" s="9"/>
      <c r="T136" s="1"/>
    </row>
    <row r="137" spans="5:20" ht="15.75" customHeight="1" x14ac:dyDescent="0.3">
      <c r="E137" s="9"/>
      <c r="F137" s="9"/>
      <c r="H137" s="9"/>
      <c r="M137" s="9"/>
      <c r="N137" s="9"/>
      <c r="O137" s="9"/>
      <c r="P137" s="9"/>
      <c r="Q137" s="9"/>
      <c r="R137" s="9"/>
      <c r="T137" s="1"/>
    </row>
    <row r="138" spans="5:20" ht="15.75" customHeight="1" x14ac:dyDescent="0.3">
      <c r="E138" s="9"/>
      <c r="F138" s="9"/>
      <c r="H138" s="9"/>
      <c r="M138" s="9"/>
      <c r="N138" s="9"/>
      <c r="O138" s="9"/>
      <c r="P138" s="9"/>
      <c r="Q138" s="9"/>
      <c r="R138" s="9"/>
      <c r="T138" s="1"/>
    </row>
    <row r="139" spans="5:20" ht="15.75" customHeight="1" x14ac:dyDescent="0.3">
      <c r="E139" s="9"/>
      <c r="F139" s="9"/>
      <c r="H139" s="9"/>
      <c r="M139" s="9"/>
      <c r="N139" s="9"/>
      <c r="O139" s="9"/>
      <c r="P139" s="9"/>
      <c r="Q139" s="9"/>
      <c r="R139" s="9"/>
      <c r="T139" s="1"/>
    </row>
    <row r="140" spans="5:20" ht="15.75" customHeight="1" x14ac:dyDescent="0.3">
      <c r="E140" s="9"/>
      <c r="F140" s="9"/>
      <c r="H140" s="9"/>
      <c r="M140" s="9"/>
      <c r="N140" s="9"/>
      <c r="O140" s="9"/>
      <c r="P140" s="9"/>
      <c r="Q140" s="9"/>
      <c r="R140" s="9"/>
      <c r="T140" s="1"/>
    </row>
    <row r="141" spans="5:20" ht="15.75" customHeight="1" x14ac:dyDescent="0.3">
      <c r="E141" s="9"/>
      <c r="F141" s="9"/>
      <c r="H141" s="9"/>
      <c r="M141" s="9"/>
      <c r="N141" s="9"/>
      <c r="O141" s="9"/>
      <c r="P141" s="9"/>
      <c r="Q141" s="9"/>
      <c r="R141" s="9"/>
      <c r="T141" s="1"/>
    </row>
    <row r="142" spans="5:20" ht="15.75" customHeight="1" x14ac:dyDescent="0.3">
      <c r="E142" s="9"/>
      <c r="F142" s="9"/>
      <c r="H142" s="9"/>
      <c r="M142" s="9"/>
      <c r="N142" s="9"/>
      <c r="O142" s="9"/>
      <c r="P142" s="9"/>
      <c r="Q142" s="9"/>
      <c r="R142" s="9"/>
      <c r="T142" s="1"/>
    </row>
    <row r="143" spans="5:20" ht="15.75" customHeight="1" x14ac:dyDescent="0.3">
      <c r="E143" s="9"/>
      <c r="F143" s="9"/>
      <c r="H143" s="9"/>
      <c r="M143" s="9"/>
      <c r="N143" s="9"/>
      <c r="O143" s="9"/>
      <c r="P143" s="9"/>
      <c r="Q143" s="9"/>
      <c r="R143" s="9"/>
      <c r="T143" s="1"/>
    </row>
    <row r="144" spans="5:20" ht="15.75" customHeight="1" x14ac:dyDescent="0.3">
      <c r="E144" s="9"/>
      <c r="F144" s="9"/>
      <c r="H144" s="9"/>
      <c r="M144" s="9"/>
      <c r="N144" s="9"/>
      <c r="O144" s="9"/>
      <c r="P144" s="9"/>
      <c r="Q144" s="9"/>
      <c r="R144" s="9"/>
      <c r="T144" s="1"/>
    </row>
    <row r="145" spans="5:20" ht="15.75" customHeight="1" x14ac:dyDescent="0.3">
      <c r="E145" s="9"/>
      <c r="F145" s="9"/>
      <c r="H145" s="9"/>
      <c r="M145" s="9"/>
      <c r="N145" s="9"/>
      <c r="O145" s="9"/>
      <c r="P145" s="9"/>
      <c r="Q145" s="9"/>
      <c r="R145" s="9"/>
      <c r="T145" s="1"/>
    </row>
    <row r="146" spans="5:20" ht="15.75" customHeight="1" x14ac:dyDescent="0.3">
      <c r="E146" s="9"/>
      <c r="F146" s="9"/>
      <c r="H146" s="9"/>
      <c r="M146" s="9"/>
      <c r="N146" s="9"/>
      <c r="O146" s="9"/>
      <c r="P146" s="9"/>
      <c r="Q146" s="9"/>
      <c r="R146" s="9"/>
      <c r="T146" s="1"/>
    </row>
    <row r="147" spans="5:20" ht="15.75" customHeight="1" x14ac:dyDescent="0.3">
      <c r="E147" s="9"/>
      <c r="F147" s="9"/>
      <c r="H147" s="9"/>
      <c r="M147" s="9"/>
      <c r="N147" s="9"/>
      <c r="O147" s="9"/>
      <c r="P147" s="9"/>
      <c r="Q147" s="9"/>
      <c r="R147" s="9"/>
      <c r="T147" s="1"/>
    </row>
    <row r="148" spans="5:20" ht="15.75" customHeight="1" x14ac:dyDescent="0.3">
      <c r="E148" s="9"/>
      <c r="F148" s="9"/>
      <c r="H148" s="9"/>
      <c r="M148" s="9"/>
      <c r="N148" s="9"/>
      <c r="O148" s="9"/>
      <c r="P148" s="9"/>
      <c r="Q148" s="9"/>
      <c r="R148" s="9"/>
      <c r="T148" s="1"/>
    </row>
    <row r="149" spans="5:20" ht="15.75" customHeight="1" x14ac:dyDescent="0.3">
      <c r="E149" s="9"/>
      <c r="F149" s="9"/>
      <c r="H149" s="9"/>
      <c r="M149" s="9"/>
      <c r="N149" s="9"/>
      <c r="O149" s="9"/>
      <c r="P149" s="9"/>
      <c r="Q149" s="9"/>
      <c r="R149" s="9"/>
      <c r="T149" s="1"/>
    </row>
    <row r="150" spans="5:20" ht="15.75" customHeight="1" x14ac:dyDescent="0.3">
      <c r="E150" s="9"/>
      <c r="F150" s="9"/>
      <c r="H150" s="9"/>
      <c r="M150" s="9"/>
      <c r="N150" s="9"/>
      <c r="O150" s="9"/>
      <c r="P150" s="9"/>
      <c r="Q150" s="9"/>
      <c r="R150" s="9"/>
      <c r="T150" s="1"/>
    </row>
    <row r="151" spans="5:20" ht="15.75" customHeight="1" x14ac:dyDescent="0.3">
      <c r="E151" s="9"/>
      <c r="F151" s="9"/>
      <c r="H151" s="9"/>
      <c r="M151" s="9"/>
      <c r="N151" s="9"/>
      <c r="O151" s="9"/>
      <c r="P151" s="9"/>
      <c r="Q151" s="9"/>
      <c r="R151" s="9"/>
      <c r="T151" s="1"/>
    </row>
    <row r="152" spans="5:20" ht="15.75" customHeight="1" x14ac:dyDescent="0.3">
      <c r="E152" s="9"/>
      <c r="F152" s="9"/>
      <c r="H152" s="9"/>
      <c r="M152" s="9"/>
      <c r="N152" s="9"/>
      <c r="O152" s="9"/>
      <c r="P152" s="9"/>
      <c r="Q152" s="9"/>
      <c r="R152" s="9"/>
      <c r="T152" s="1"/>
    </row>
    <row r="153" spans="5:20" ht="15.75" customHeight="1" x14ac:dyDescent="0.3">
      <c r="E153" s="9"/>
      <c r="F153" s="9"/>
      <c r="H153" s="9"/>
      <c r="M153" s="9"/>
      <c r="N153" s="9"/>
      <c r="O153" s="9"/>
      <c r="P153" s="9"/>
      <c r="Q153" s="9"/>
      <c r="R153" s="9"/>
      <c r="T153" s="1"/>
    </row>
    <row r="154" spans="5:20" ht="15.75" customHeight="1" x14ac:dyDescent="0.3">
      <c r="E154" s="9"/>
      <c r="F154" s="9"/>
      <c r="H154" s="9"/>
      <c r="M154" s="9"/>
      <c r="N154" s="9"/>
      <c r="O154" s="9"/>
      <c r="P154" s="9"/>
      <c r="Q154" s="9"/>
      <c r="R154" s="9"/>
      <c r="T154" s="1"/>
    </row>
    <row r="155" spans="5:20" ht="15.75" customHeight="1" x14ac:dyDescent="0.3">
      <c r="E155" s="9"/>
      <c r="F155" s="9"/>
      <c r="H155" s="9"/>
      <c r="M155" s="9"/>
      <c r="N155" s="9"/>
      <c r="O155" s="9"/>
      <c r="P155" s="9"/>
      <c r="Q155" s="9"/>
      <c r="R155" s="9"/>
      <c r="T155" s="1"/>
    </row>
    <row r="156" spans="5:20" ht="15.75" customHeight="1" x14ac:dyDescent="0.3">
      <c r="E156" s="9"/>
      <c r="F156" s="9"/>
      <c r="H156" s="9"/>
      <c r="M156" s="9"/>
      <c r="N156" s="9"/>
      <c r="O156" s="9"/>
      <c r="P156" s="9"/>
      <c r="Q156" s="9"/>
      <c r="R156" s="9"/>
      <c r="T156" s="1"/>
    </row>
    <row r="157" spans="5:20" ht="15.75" customHeight="1" x14ac:dyDescent="0.3">
      <c r="E157" s="9"/>
      <c r="F157" s="9"/>
      <c r="H157" s="9"/>
      <c r="M157" s="9"/>
      <c r="N157" s="9"/>
      <c r="O157" s="9"/>
      <c r="P157" s="9"/>
      <c r="Q157" s="9"/>
      <c r="R157" s="9"/>
      <c r="T157" s="1"/>
    </row>
    <row r="158" spans="5:20" ht="15.75" customHeight="1" x14ac:dyDescent="0.3">
      <c r="E158" s="9"/>
      <c r="F158" s="9"/>
      <c r="H158" s="9"/>
      <c r="M158" s="9"/>
      <c r="N158" s="9"/>
      <c r="O158" s="9"/>
      <c r="P158" s="9"/>
      <c r="Q158" s="9"/>
      <c r="R158" s="9"/>
      <c r="T158" s="1"/>
    </row>
    <row r="159" spans="5:20" ht="15.75" customHeight="1" x14ac:dyDescent="0.3">
      <c r="E159" s="9"/>
      <c r="F159" s="9"/>
      <c r="H159" s="9"/>
      <c r="M159" s="9"/>
      <c r="N159" s="9"/>
      <c r="O159" s="9"/>
      <c r="P159" s="9"/>
      <c r="Q159" s="9"/>
      <c r="R159" s="9"/>
      <c r="T159" s="1"/>
    </row>
    <row r="160" spans="5:20" ht="15.75" customHeight="1" x14ac:dyDescent="0.3">
      <c r="E160" s="9"/>
      <c r="F160" s="9"/>
      <c r="H160" s="9"/>
      <c r="M160" s="9"/>
      <c r="N160" s="9"/>
      <c r="O160" s="9"/>
      <c r="P160" s="9"/>
      <c r="Q160" s="9"/>
      <c r="R160" s="9"/>
      <c r="T160" s="1"/>
    </row>
    <row r="161" spans="5:20" ht="15.75" customHeight="1" x14ac:dyDescent="0.3">
      <c r="E161" s="9"/>
      <c r="F161" s="9"/>
      <c r="H161" s="9"/>
      <c r="M161" s="9"/>
      <c r="N161" s="9"/>
      <c r="O161" s="9"/>
      <c r="P161" s="9"/>
      <c r="Q161" s="9"/>
      <c r="R161" s="9"/>
      <c r="T161" s="1"/>
    </row>
    <row r="162" spans="5:20" ht="15.75" customHeight="1" x14ac:dyDescent="0.3">
      <c r="E162" s="9"/>
      <c r="F162" s="9"/>
      <c r="H162" s="9"/>
      <c r="M162" s="9"/>
      <c r="N162" s="9"/>
      <c r="O162" s="9"/>
      <c r="P162" s="9"/>
      <c r="Q162" s="9"/>
      <c r="R162" s="9"/>
      <c r="T162" s="1"/>
    </row>
    <row r="163" spans="5:20" ht="15.75" customHeight="1" x14ac:dyDescent="0.3">
      <c r="E163" s="9"/>
      <c r="F163" s="9"/>
      <c r="H163" s="9"/>
      <c r="M163" s="9"/>
      <c r="N163" s="9"/>
      <c r="O163" s="9"/>
      <c r="P163" s="9"/>
      <c r="Q163" s="9"/>
      <c r="R163" s="9"/>
      <c r="T163" s="1"/>
    </row>
    <row r="164" spans="5:20" ht="15.75" customHeight="1" x14ac:dyDescent="0.3">
      <c r="E164" s="9"/>
      <c r="F164" s="9"/>
      <c r="H164" s="9"/>
      <c r="M164" s="9"/>
      <c r="N164" s="9"/>
      <c r="O164" s="9"/>
      <c r="P164" s="9"/>
      <c r="Q164" s="9"/>
      <c r="R164" s="9"/>
      <c r="T164" s="1"/>
    </row>
    <row r="165" spans="5:20" ht="15.75" customHeight="1" x14ac:dyDescent="0.3">
      <c r="E165" s="9"/>
      <c r="F165" s="9"/>
      <c r="H165" s="9"/>
      <c r="M165" s="9"/>
      <c r="N165" s="9"/>
      <c r="O165" s="9"/>
      <c r="P165" s="9"/>
      <c r="Q165" s="9"/>
      <c r="R165" s="9"/>
      <c r="T165" s="1"/>
    </row>
    <row r="166" spans="5:20" ht="15.75" customHeight="1" x14ac:dyDescent="0.3">
      <c r="E166" s="9"/>
      <c r="F166" s="9"/>
      <c r="H166" s="9"/>
      <c r="M166" s="9"/>
      <c r="N166" s="9"/>
      <c r="O166" s="9"/>
      <c r="P166" s="9"/>
      <c r="Q166" s="9"/>
      <c r="R166" s="9"/>
      <c r="T166" s="1"/>
    </row>
    <row r="167" spans="5:20" ht="15.75" customHeight="1" x14ac:dyDescent="0.3">
      <c r="E167" s="9"/>
      <c r="F167" s="9"/>
      <c r="H167" s="9"/>
      <c r="M167" s="9"/>
      <c r="N167" s="9"/>
      <c r="O167" s="9"/>
      <c r="P167" s="9"/>
      <c r="Q167" s="9"/>
      <c r="R167" s="9"/>
      <c r="T167" s="1"/>
    </row>
    <row r="168" spans="5:20" ht="15.75" customHeight="1" x14ac:dyDescent="0.3">
      <c r="E168" s="9"/>
      <c r="F168" s="9"/>
      <c r="H168" s="9"/>
      <c r="M168" s="9"/>
      <c r="N168" s="9"/>
      <c r="O168" s="9"/>
      <c r="P168" s="9"/>
      <c r="Q168" s="9"/>
      <c r="R168" s="9"/>
      <c r="T168" s="1"/>
    </row>
    <row r="169" spans="5:20" ht="15.75" customHeight="1" x14ac:dyDescent="0.3">
      <c r="E169" s="9"/>
      <c r="F169" s="9"/>
      <c r="H169" s="9"/>
      <c r="M169" s="9"/>
      <c r="N169" s="9"/>
      <c r="O169" s="9"/>
      <c r="P169" s="9"/>
      <c r="Q169" s="9"/>
      <c r="R169" s="9"/>
      <c r="T169" s="1"/>
    </row>
    <row r="170" spans="5:20" ht="15.75" customHeight="1" x14ac:dyDescent="0.3">
      <c r="E170" s="9"/>
      <c r="F170" s="9"/>
      <c r="H170" s="9"/>
      <c r="M170" s="9"/>
      <c r="N170" s="9"/>
      <c r="O170" s="9"/>
      <c r="P170" s="9"/>
      <c r="Q170" s="9"/>
      <c r="R170" s="9"/>
      <c r="T170" s="1"/>
    </row>
    <row r="171" spans="5:20" ht="15.75" customHeight="1" x14ac:dyDescent="0.3">
      <c r="E171" s="9"/>
      <c r="F171" s="9"/>
      <c r="H171" s="9"/>
      <c r="M171" s="9"/>
      <c r="N171" s="9"/>
      <c r="O171" s="9"/>
      <c r="P171" s="9"/>
      <c r="Q171" s="9"/>
      <c r="R171" s="9"/>
      <c r="T171" s="1"/>
    </row>
    <row r="172" spans="5:20" ht="15.75" customHeight="1" x14ac:dyDescent="0.3">
      <c r="E172" s="9"/>
      <c r="F172" s="9"/>
      <c r="H172" s="9"/>
      <c r="M172" s="9"/>
      <c r="N172" s="9"/>
      <c r="O172" s="9"/>
      <c r="P172" s="9"/>
      <c r="Q172" s="9"/>
      <c r="R172" s="9"/>
      <c r="T172" s="1"/>
    </row>
    <row r="173" spans="5:20" ht="15.75" customHeight="1" x14ac:dyDescent="0.3">
      <c r="E173" s="9"/>
      <c r="F173" s="9"/>
      <c r="H173" s="9"/>
      <c r="M173" s="9"/>
      <c r="N173" s="9"/>
      <c r="O173" s="9"/>
      <c r="P173" s="9"/>
      <c r="Q173" s="9"/>
      <c r="R173" s="9"/>
      <c r="T173" s="1"/>
    </row>
    <row r="174" spans="5:20" ht="15.75" customHeight="1" x14ac:dyDescent="0.3">
      <c r="E174" s="9"/>
      <c r="F174" s="9"/>
      <c r="H174" s="9"/>
      <c r="M174" s="9"/>
      <c r="N174" s="9"/>
      <c r="O174" s="9"/>
      <c r="P174" s="9"/>
      <c r="Q174" s="9"/>
      <c r="R174" s="9"/>
      <c r="T174" s="1"/>
    </row>
    <row r="175" spans="5:20" ht="15.75" customHeight="1" x14ac:dyDescent="0.3">
      <c r="E175" s="9"/>
      <c r="F175" s="9"/>
      <c r="H175" s="9"/>
      <c r="M175" s="9"/>
      <c r="N175" s="9"/>
      <c r="O175" s="9"/>
      <c r="P175" s="9"/>
      <c r="Q175" s="9"/>
      <c r="R175" s="9"/>
      <c r="T175" s="1"/>
    </row>
    <row r="176" spans="5:20" ht="15.75" customHeight="1" x14ac:dyDescent="0.3">
      <c r="E176" s="9"/>
      <c r="F176" s="9"/>
      <c r="H176" s="9"/>
      <c r="M176" s="9"/>
      <c r="N176" s="9"/>
      <c r="O176" s="9"/>
      <c r="P176" s="9"/>
      <c r="Q176" s="9"/>
      <c r="R176" s="9"/>
      <c r="T176" s="1"/>
    </row>
    <row r="177" spans="5:20" ht="15.75" customHeight="1" x14ac:dyDescent="0.3">
      <c r="E177" s="9"/>
      <c r="F177" s="9"/>
      <c r="H177" s="9"/>
      <c r="M177" s="9"/>
      <c r="N177" s="9"/>
      <c r="O177" s="9"/>
      <c r="P177" s="9"/>
      <c r="Q177" s="9"/>
      <c r="R177" s="9"/>
      <c r="T177" s="1"/>
    </row>
    <row r="178" spans="5:20" ht="15.75" customHeight="1" x14ac:dyDescent="0.3">
      <c r="E178" s="9"/>
      <c r="F178" s="9"/>
      <c r="H178" s="9"/>
      <c r="M178" s="9"/>
      <c r="N178" s="9"/>
      <c r="O178" s="9"/>
      <c r="P178" s="9"/>
      <c r="Q178" s="9"/>
      <c r="R178" s="9"/>
      <c r="T178" s="1"/>
    </row>
    <row r="179" spans="5:20" ht="15.75" customHeight="1" x14ac:dyDescent="0.3">
      <c r="E179" s="9"/>
      <c r="F179" s="9"/>
      <c r="H179" s="9"/>
      <c r="M179" s="9"/>
      <c r="N179" s="9"/>
      <c r="O179" s="9"/>
      <c r="P179" s="9"/>
      <c r="Q179" s="9"/>
      <c r="R179" s="9"/>
      <c r="T179" s="1"/>
    </row>
    <row r="180" spans="5:20" ht="15.75" customHeight="1" x14ac:dyDescent="0.3">
      <c r="E180" s="9"/>
      <c r="F180" s="9"/>
      <c r="H180" s="9"/>
      <c r="M180" s="9"/>
      <c r="N180" s="9"/>
      <c r="O180" s="9"/>
      <c r="P180" s="9"/>
      <c r="Q180" s="9"/>
      <c r="R180" s="9"/>
      <c r="T180" s="1"/>
    </row>
    <row r="181" spans="5:20" ht="15.75" customHeight="1" x14ac:dyDescent="0.3">
      <c r="E181" s="9"/>
      <c r="F181" s="9"/>
      <c r="H181" s="9"/>
      <c r="M181" s="9"/>
      <c r="N181" s="9"/>
      <c r="O181" s="9"/>
      <c r="P181" s="9"/>
      <c r="Q181" s="9"/>
      <c r="R181" s="9"/>
      <c r="T181" s="1"/>
    </row>
    <row r="182" spans="5:20" ht="15.75" customHeight="1" x14ac:dyDescent="0.3">
      <c r="E182" s="9"/>
      <c r="F182" s="9"/>
      <c r="H182" s="9"/>
      <c r="M182" s="9"/>
      <c r="N182" s="9"/>
      <c r="O182" s="9"/>
      <c r="P182" s="9"/>
      <c r="Q182" s="9"/>
      <c r="R182" s="9"/>
      <c r="T182" s="1"/>
    </row>
    <row r="183" spans="5:20" ht="15.75" customHeight="1" x14ac:dyDescent="0.3">
      <c r="E183" s="9"/>
      <c r="F183" s="9"/>
      <c r="H183" s="9"/>
      <c r="M183" s="9"/>
      <c r="N183" s="9"/>
      <c r="O183" s="9"/>
      <c r="P183" s="9"/>
      <c r="Q183" s="9"/>
      <c r="R183" s="9"/>
      <c r="T183" s="1"/>
    </row>
    <row r="184" spans="5:20" ht="15.75" customHeight="1" x14ac:dyDescent="0.3">
      <c r="E184" s="9"/>
      <c r="F184" s="9"/>
      <c r="H184" s="9"/>
      <c r="M184" s="9"/>
      <c r="N184" s="9"/>
      <c r="O184" s="9"/>
      <c r="P184" s="9"/>
      <c r="Q184" s="9"/>
      <c r="R184" s="9"/>
      <c r="T184" s="1"/>
    </row>
    <row r="185" spans="5:20" ht="15.75" customHeight="1" x14ac:dyDescent="0.3">
      <c r="E185" s="9"/>
      <c r="F185" s="9"/>
      <c r="H185" s="9"/>
      <c r="M185" s="9"/>
      <c r="N185" s="9"/>
      <c r="O185" s="9"/>
      <c r="P185" s="9"/>
      <c r="Q185" s="9"/>
      <c r="R185" s="9"/>
      <c r="T185" s="1"/>
    </row>
    <row r="186" spans="5:20" ht="15.75" customHeight="1" x14ac:dyDescent="0.3">
      <c r="E186" s="9"/>
      <c r="F186" s="9"/>
      <c r="H186" s="9"/>
      <c r="M186" s="9"/>
      <c r="N186" s="9"/>
      <c r="O186" s="9"/>
      <c r="P186" s="9"/>
      <c r="Q186" s="9"/>
      <c r="R186" s="9"/>
      <c r="T186" s="1"/>
    </row>
    <row r="187" spans="5:20" ht="15.75" customHeight="1" x14ac:dyDescent="0.3">
      <c r="E187" s="9"/>
      <c r="F187" s="9"/>
      <c r="H187" s="9"/>
      <c r="M187" s="9"/>
      <c r="N187" s="9"/>
      <c r="O187" s="9"/>
      <c r="P187" s="9"/>
      <c r="Q187" s="9"/>
      <c r="R187" s="9"/>
      <c r="T187" s="1"/>
    </row>
    <row r="188" spans="5:20" ht="15.75" customHeight="1" x14ac:dyDescent="0.3">
      <c r="E188" s="9"/>
      <c r="F188" s="9"/>
      <c r="H188" s="9"/>
      <c r="M188" s="9"/>
      <c r="N188" s="9"/>
      <c r="O188" s="9"/>
      <c r="P188" s="9"/>
      <c r="Q188" s="9"/>
      <c r="R188" s="9"/>
      <c r="T188" s="1"/>
    </row>
    <row r="189" spans="5:20" ht="15.75" customHeight="1" x14ac:dyDescent="0.3">
      <c r="E189" s="9"/>
      <c r="F189" s="9"/>
      <c r="H189" s="9"/>
      <c r="M189" s="9"/>
      <c r="N189" s="9"/>
      <c r="O189" s="9"/>
      <c r="P189" s="9"/>
      <c r="Q189" s="9"/>
      <c r="R189" s="9"/>
      <c r="T189" s="1"/>
    </row>
    <row r="190" spans="5:20" ht="15.75" customHeight="1" x14ac:dyDescent="0.3">
      <c r="E190" s="9"/>
      <c r="F190" s="9"/>
      <c r="H190" s="9"/>
      <c r="M190" s="9"/>
      <c r="N190" s="9"/>
      <c r="O190" s="9"/>
      <c r="P190" s="9"/>
      <c r="Q190" s="9"/>
      <c r="R190" s="9"/>
      <c r="T190" s="1"/>
    </row>
    <row r="191" spans="5:20" ht="15.75" customHeight="1" x14ac:dyDescent="0.3">
      <c r="E191" s="9"/>
      <c r="F191" s="9"/>
      <c r="H191" s="9"/>
      <c r="M191" s="9"/>
      <c r="N191" s="9"/>
      <c r="O191" s="9"/>
      <c r="P191" s="9"/>
      <c r="Q191" s="9"/>
      <c r="R191" s="9"/>
      <c r="T191" s="1"/>
    </row>
    <row r="192" spans="5:20" ht="15.75" customHeight="1" x14ac:dyDescent="0.3">
      <c r="E192" s="9"/>
      <c r="F192" s="9"/>
      <c r="H192" s="9"/>
      <c r="M192" s="9"/>
      <c r="N192" s="9"/>
      <c r="O192" s="9"/>
      <c r="P192" s="9"/>
      <c r="Q192" s="9"/>
      <c r="R192" s="9"/>
      <c r="T192" s="1"/>
    </row>
    <row r="193" spans="5:20" ht="15.75" customHeight="1" x14ac:dyDescent="0.3">
      <c r="E193" s="9"/>
      <c r="F193" s="9"/>
      <c r="H193" s="9"/>
      <c r="M193" s="9"/>
      <c r="N193" s="9"/>
      <c r="O193" s="9"/>
      <c r="P193" s="9"/>
      <c r="Q193" s="9"/>
      <c r="R193" s="9"/>
      <c r="T193" s="1"/>
    </row>
    <row r="194" spans="5:20" ht="15.75" customHeight="1" x14ac:dyDescent="0.3">
      <c r="E194" s="9"/>
      <c r="F194" s="9"/>
      <c r="H194" s="9"/>
      <c r="M194" s="9"/>
      <c r="N194" s="9"/>
      <c r="O194" s="9"/>
      <c r="P194" s="9"/>
      <c r="Q194" s="9"/>
      <c r="R194" s="9"/>
      <c r="T194" s="1"/>
    </row>
    <row r="195" spans="5:20" ht="15.75" customHeight="1" x14ac:dyDescent="0.3">
      <c r="E195" s="9"/>
      <c r="F195" s="9"/>
      <c r="H195" s="9"/>
      <c r="M195" s="9"/>
      <c r="N195" s="9"/>
      <c r="O195" s="9"/>
      <c r="P195" s="9"/>
      <c r="Q195" s="9"/>
      <c r="R195" s="9"/>
      <c r="T195" s="1"/>
    </row>
    <row r="196" spans="5:20" ht="15.75" customHeight="1" x14ac:dyDescent="0.3">
      <c r="E196" s="9"/>
      <c r="F196" s="9"/>
      <c r="H196" s="9"/>
      <c r="M196" s="9"/>
      <c r="N196" s="9"/>
      <c r="O196" s="9"/>
      <c r="P196" s="9"/>
      <c r="Q196" s="9"/>
      <c r="R196" s="9"/>
      <c r="T196" s="1"/>
    </row>
    <row r="197" spans="5:20" ht="15.75" customHeight="1" x14ac:dyDescent="0.3">
      <c r="E197" s="9"/>
      <c r="F197" s="9"/>
      <c r="H197" s="9"/>
      <c r="M197" s="9"/>
      <c r="N197" s="9"/>
      <c r="O197" s="9"/>
      <c r="P197" s="9"/>
      <c r="Q197" s="9"/>
      <c r="R197" s="9"/>
      <c r="T197" s="1"/>
    </row>
    <row r="198" spans="5:20" ht="15.75" customHeight="1" x14ac:dyDescent="0.3">
      <c r="E198" s="9"/>
      <c r="F198" s="9"/>
      <c r="H198" s="9"/>
      <c r="M198" s="9"/>
      <c r="N198" s="9"/>
      <c r="O198" s="9"/>
      <c r="P198" s="9"/>
      <c r="Q198" s="9"/>
      <c r="R198" s="9"/>
      <c r="T198" s="1"/>
    </row>
    <row r="199" spans="5:20" ht="15.75" customHeight="1" x14ac:dyDescent="0.3">
      <c r="E199" s="9"/>
      <c r="F199" s="9"/>
      <c r="H199" s="9"/>
      <c r="M199" s="9"/>
      <c r="N199" s="9"/>
      <c r="O199" s="9"/>
      <c r="P199" s="9"/>
      <c r="Q199" s="9"/>
      <c r="R199" s="9"/>
      <c r="T199" s="1"/>
    </row>
    <row r="200" spans="5:20" ht="15.75" customHeight="1" x14ac:dyDescent="0.3">
      <c r="E200" s="9"/>
      <c r="F200" s="9"/>
      <c r="H200" s="9"/>
      <c r="M200" s="9"/>
      <c r="N200" s="9"/>
      <c r="O200" s="9"/>
      <c r="P200" s="9"/>
      <c r="Q200" s="9"/>
      <c r="R200" s="9"/>
      <c r="T200" s="1"/>
    </row>
    <row r="201" spans="5:20" ht="15.75" customHeight="1" x14ac:dyDescent="0.3">
      <c r="E201" s="9"/>
      <c r="F201" s="9"/>
      <c r="H201" s="9"/>
      <c r="M201" s="9"/>
      <c r="N201" s="9"/>
      <c r="O201" s="9"/>
      <c r="P201" s="9"/>
      <c r="Q201" s="9"/>
      <c r="R201" s="9"/>
      <c r="T201" s="1"/>
    </row>
    <row r="202" spans="5:20" ht="15.75" customHeight="1" x14ac:dyDescent="0.3">
      <c r="E202" s="9"/>
      <c r="F202" s="9"/>
      <c r="H202" s="9"/>
      <c r="M202" s="9"/>
      <c r="N202" s="9"/>
      <c r="O202" s="9"/>
      <c r="P202" s="9"/>
      <c r="Q202" s="9"/>
      <c r="R202" s="9"/>
      <c r="T202" s="1"/>
    </row>
    <row r="203" spans="5:20" ht="15.75" customHeight="1" x14ac:dyDescent="0.3">
      <c r="E203" s="9"/>
      <c r="F203" s="9"/>
      <c r="H203" s="9"/>
      <c r="M203" s="9"/>
      <c r="N203" s="9"/>
      <c r="O203" s="9"/>
      <c r="P203" s="9"/>
      <c r="Q203" s="9"/>
      <c r="R203" s="9"/>
      <c r="T203" s="1"/>
    </row>
    <row r="204" spans="5:20" ht="15.75" customHeight="1" x14ac:dyDescent="0.3">
      <c r="E204" s="9"/>
      <c r="F204" s="9"/>
      <c r="H204" s="9"/>
      <c r="M204" s="9"/>
      <c r="N204" s="9"/>
      <c r="O204" s="9"/>
      <c r="P204" s="9"/>
      <c r="Q204" s="9"/>
      <c r="R204" s="9"/>
      <c r="T204" s="1"/>
    </row>
    <row r="205" spans="5:20" ht="15.75" customHeight="1" x14ac:dyDescent="0.3">
      <c r="E205" s="9"/>
      <c r="F205" s="9"/>
      <c r="H205" s="9"/>
      <c r="M205" s="9"/>
      <c r="N205" s="9"/>
      <c r="O205" s="9"/>
      <c r="P205" s="9"/>
      <c r="Q205" s="9"/>
      <c r="R205" s="9"/>
      <c r="T205" s="1"/>
    </row>
    <row r="206" spans="5:20" ht="15.75" customHeight="1" x14ac:dyDescent="0.3">
      <c r="E206" s="9"/>
      <c r="F206" s="9"/>
      <c r="H206" s="9"/>
      <c r="M206" s="9"/>
      <c r="N206" s="9"/>
      <c r="O206" s="9"/>
      <c r="P206" s="9"/>
      <c r="Q206" s="9"/>
      <c r="R206" s="9"/>
      <c r="T206" s="1"/>
    </row>
    <row r="207" spans="5:20" ht="15.75" customHeight="1" x14ac:dyDescent="0.3">
      <c r="E207" s="9"/>
      <c r="F207" s="9"/>
      <c r="H207" s="9"/>
      <c r="M207" s="9"/>
      <c r="N207" s="9"/>
      <c r="O207" s="9"/>
      <c r="P207" s="9"/>
      <c r="Q207" s="9"/>
      <c r="R207" s="9"/>
      <c r="T207" s="1"/>
    </row>
    <row r="208" spans="5:20" ht="15.75" customHeight="1" x14ac:dyDescent="0.3">
      <c r="E208" s="9"/>
      <c r="F208" s="9"/>
      <c r="H208" s="9"/>
      <c r="M208" s="9"/>
      <c r="N208" s="9"/>
      <c r="O208" s="9"/>
      <c r="P208" s="9"/>
      <c r="Q208" s="9"/>
      <c r="R208" s="9"/>
      <c r="T208" s="1"/>
    </row>
    <row r="209" spans="5:20" ht="15.75" customHeight="1" x14ac:dyDescent="0.3">
      <c r="E209" s="9"/>
      <c r="F209" s="9"/>
      <c r="H209" s="9"/>
      <c r="M209" s="9"/>
      <c r="N209" s="9"/>
      <c r="O209" s="9"/>
      <c r="P209" s="9"/>
      <c r="Q209" s="9"/>
      <c r="R209" s="9"/>
      <c r="T209" s="1"/>
    </row>
    <row r="210" spans="5:20" ht="15.75" customHeight="1" x14ac:dyDescent="0.3">
      <c r="E210" s="9"/>
      <c r="F210" s="9"/>
      <c r="H210" s="9"/>
      <c r="M210" s="9"/>
      <c r="N210" s="9"/>
      <c r="O210" s="9"/>
      <c r="P210" s="9"/>
      <c r="Q210" s="9"/>
      <c r="R210" s="9"/>
      <c r="T210" s="1"/>
    </row>
    <row r="211" spans="5:20" ht="15.75" customHeight="1" x14ac:dyDescent="0.3">
      <c r="E211" s="9"/>
      <c r="F211" s="9"/>
      <c r="H211" s="9"/>
      <c r="M211" s="9"/>
      <c r="N211" s="9"/>
      <c r="O211" s="9"/>
      <c r="P211" s="9"/>
      <c r="Q211" s="9"/>
      <c r="R211" s="9"/>
      <c r="T211" s="1"/>
    </row>
    <row r="212" spans="5:20" ht="15.75" customHeight="1" x14ac:dyDescent="0.3">
      <c r="E212" s="9"/>
      <c r="F212" s="9"/>
      <c r="H212" s="9"/>
      <c r="M212" s="9"/>
      <c r="N212" s="9"/>
      <c r="O212" s="9"/>
      <c r="P212" s="9"/>
      <c r="Q212" s="9"/>
      <c r="R212" s="9"/>
      <c r="T212" s="1"/>
    </row>
    <row r="213" spans="5:20" ht="15.75" customHeight="1" x14ac:dyDescent="0.3">
      <c r="E213" s="9"/>
      <c r="F213" s="9"/>
      <c r="H213" s="9"/>
      <c r="M213" s="9"/>
      <c r="N213" s="9"/>
      <c r="O213" s="9"/>
      <c r="P213" s="9"/>
      <c r="Q213" s="9"/>
      <c r="R213" s="9"/>
      <c r="T213" s="1"/>
    </row>
    <row r="214" spans="5:20" ht="15.75" customHeight="1" x14ac:dyDescent="0.3">
      <c r="E214" s="9"/>
      <c r="F214" s="9"/>
      <c r="H214" s="9"/>
      <c r="M214" s="9"/>
      <c r="N214" s="9"/>
      <c r="O214" s="9"/>
      <c r="P214" s="9"/>
      <c r="Q214" s="9"/>
      <c r="R214" s="9"/>
      <c r="T214" s="1"/>
    </row>
    <row r="215" spans="5:20" ht="15.75" customHeight="1" x14ac:dyDescent="0.3">
      <c r="E215" s="9"/>
      <c r="F215" s="9"/>
      <c r="H215" s="9"/>
      <c r="M215" s="9"/>
      <c r="N215" s="9"/>
      <c r="O215" s="9"/>
      <c r="P215" s="9"/>
      <c r="Q215" s="9"/>
      <c r="R215" s="9"/>
      <c r="T215" s="1"/>
    </row>
    <row r="216" spans="5:20" ht="15.75" customHeight="1" x14ac:dyDescent="0.3">
      <c r="E216" s="9"/>
      <c r="F216" s="9"/>
      <c r="H216" s="9"/>
      <c r="M216" s="9"/>
      <c r="N216" s="9"/>
      <c r="O216" s="9"/>
      <c r="P216" s="9"/>
      <c r="Q216" s="9"/>
      <c r="R216" s="9"/>
      <c r="T216" s="1"/>
    </row>
    <row r="217" spans="5:20" ht="15.75" customHeight="1" x14ac:dyDescent="0.3">
      <c r="E217" s="9"/>
      <c r="F217" s="9"/>
      <c r="H217" s="9"/>
      <c r="M217" s="9"/>
      <c r="N217" s="9"/>
      <c r="O217" s="9"/>
      <c r="P217" s="9"/>
      <c r="Q217" s="9"/>
      <c r="R217" s="9"/>
      <c r="T217" s="1"/>
    </row>
    <row r="218" spans="5:20" ht="15.75" customHeight="1" x14ac:dyDescent="0.3">
      <c r="E218" s="9"/>
      <c r="F218" s="9"/>
      <c r="H218" s="9"/>
      <c r="M218" s="9"/>
      <c r="N218" s="9"/>
      <c r="O218" s="9"/>
      <c r="P218" s="9"/>
      <c r="Q218" s="9"/>
      <c r="R218" s="9"/>
      <c r="T218" s="1"/>
    </row>
    <row r="219" spans="5:20" ht="15.75" customHeight="1" x14ac:dyDescent="0.3">
      <c r="E219" s="9"/>
      <c r="F219" s="9"/>
      <c r="H219" s="9"/>
      <c r="M219" s="9"/>
      <c r="N219" s="9"/>
      <c r="O219" s="9"/>
      <c r="P219" s="9"/>
      <c r="Q219" s="9"/>
      <c r="R219" s="9"/>
      <c r="T219" s="1"/>
    </row>
    <row r="220" spans="5:20" ht="15.75" customHeight="1" x14ac:dyDescent="0.3">
      <c r="E220" s="9"/>
      <c r="F220" s="9"/>
      <c r="H220" s="9"/>
      <c r="M220" s="9"/>
      <c r="N220" s="9"/>
      <c r="O220" s="9"/>
      <c r="P220" s="9"/>
      <c r="Q220" s="9"/>
      <c r="R220" s="9"/>
      <c r="T220" s="1"/>
    </row>
    <row r="221" spans="5:20" ht="15.75" customHeight="1" x14ac:dyDescent="0.3">
      <c r="E221" s="9"/>
      <c r="F221" s="9"/>
      <c r="H221" s="9"/>
      <c r="M221" s="9"/>
      <c r="N221" s="9"/>
      <c r="O221" s="9"/>
      <c r="P221" s="9"/>
      <c r="Q221" s="9"/>
      <c r="R221" s="9"/>
      <c r="T221" s="1"/>
    </row>
    <row r="222" spans="5:20" ht="15.75" customHeight="1" x14ac:dyDescent="0.3">
      <c r="E222" s="9"/>
      <c r="F222" s="9"/>
      <c r="H222" s="9"/>
      <c r="M222" s="9"/>
      <c r="N222" s="9"/>
      <c r="O222" s="9"/>
      <c r="P222" s="9"/>
      <c r="Q222" s="9"/>
      <c r="R222" s="9"/>
      <c r="T222" s="1"/>
    </row>
    <row r="223" spans="5:20" ht="15.75" customHeight="1" x14ac:dyDescent="0.3">
      <c r="E223" s="9"/>
      <c r="F223" s="9"/>
      <c r="H223" s="9"/>
      <c r="M223" s="9"/>
      <c r="N223" s="9"/>
      <c r="O223" s="9"/>
      <c r="P223" s="9"/>
      <c r="Q223" s="9"/>
      <c r="R223" s="9"/>
      <c r="T223" s="1"/>
    </row>
    <row r="224" spans="5:20" ht="15.75" customHeight="1" x14ac:dyDescent="0.3">
      <c r="E224" s="9"/>
      <c r="F224" s="9"/>
      <c r="H224" s="9"/>
      <c r="M224" s="9"/>
      <c r="N224" s="9"/>
      <c r="O224" s="9"/>
      <c r="P224" s="9"/>
      <c r="Q224" s="9"/>
      <c r="R224" s="9"/>
      <c r="T224" s="1"/>
    </row>
    <row r="225" spans="5:20" ht="15.75" customHeight="1" x14ac:dyDescent="0.3">
      <c r="E225" s="9"/>
      <c r="F225" s="9"/>
      <c r="H225" s="9"/>
      <c r="M225" s="9"/>
      <c r="N225" s="9"/>
      <c r="O225" s="9"/>
      <c r="P225" s="9"/>
      <c r="Q225" s="9"/>
      <c r="R225" s="9"/>
      <c r="T225" s="1"/>
    </row>
    <row r="226" spans="5:20" ht="15.75" customHeight="1" x14ac:dyDescent="0.3">
      <c r="E226" s="9"/>
      <c r="F226" s="9"/>
      <c r="H226" s="9"/>
      <c r="M226" s="9"/>
      <c r="N226" s="9"/>
      <c r="O226" s="9"/>
      <c r="P226" s="9"/>
      <c r="Q226" s="9"/>
      <c r="R226" s="9"/>
      <c r="T226" s="1"/>
    </row>
    <row r="227" spans="5:20" ht="15.75" customHeight="1" x14ac:dyDescent="0.3">
      <c r="E227" s="9"/>
      <c r="F227" s="9"/>
      <c r="H227" s="9"/>
      <c r="M227" s="9"/>
      <c r="N227" s="9"/>
      <c r="O227" s="9"/>
      <c r="P227" s="9"/>
      <c r="Q227" s="9"/>
      <c r="R227" s="9"/>
      <c r="T227" s="1"/>
    </row>
    <row r="228" spans="5:20" ht="15.75" customHeight="1" x14ac:dyDescent="0.3">
      <c r="E228" s="9"/>
      <c r="F228" s="9"/>
      <c r="H228" s="9"/>
      <c r="M228" s="9"/>
      <c r="N228" s="9"/>
      <c r="O228" s="9"/>
      <c r="P228" s="9"/>
      <c r="Q228" s="9"/>
      <c r="R228" s="9"/>
      <c r="T228" s="1"/>
    </row>
    <row r="229" spans="5:20" ht="15.75" customHeight="1" x14ac:dyDescent="0.3">
      <c r="E229" s="9"/>
      <c r="F229" s="9"/>
      <c r="H229" s="9"/>
      <c r="M229" s="9"/>
      <c r="N229" s="9"/>
      <c r="O229" s="9"/>
      <c r="P229" s="9"/>
      <c r="Q229" s="9"/>
      <c r="R229" s="9"/>
      <c r="T229" s="1"/>
    </row>
    <row r="230" spans="5:20" ht="15.75" customHeight="1" x14ac:dyDescent="0.3">
      <c r="E230" s="9"/>
      <c r="F230" s="9"/>
      <c r="H230" s="9"/>
      <c r="M230" s="9"/>
      <c r="N230" s="9"/>
      <c r="O230" s="9"/>
      <c r="P230" s="9"/>
      <c r="Q230" s="9"/>
      <c r="R230" s="9"/>
      <c r="T230" s="1"/>
    </row>
    <row r="231" spans="5:20" ht="15.75" customHeight="1" x14ac:dyDescent="0.3">
      <c r="E231" s="9"/>
      <c r="F231" s="9"/>
      <c r="H231" s="9"/>
      <c r="M231" s="9"/>
      <c r="N231" s="9"/>
      <c r="O231" s="9"/>
      <c r="P231" s="9"/>
      <c r="Q231" s="9"/>
      <c r="R231" s="9"/>
      <c r="T231" s="1"/>
    </row>
    <row r="232" spans="5:20" ht="15.75" customHeight="1" x14ac:dyDescent="0.3">
      <c r="E232" s="9"/>
      <c r="F232" s="9"/>
      <c r="H232" s="9"/>
      <c r="M232" s="9"/>
      <c r="N232" s="9"/>
      <c r="O232" s="9"/>
      <c r="P232" s="9"/>
      <c r="Q232" s="9"/>
      <c r="R232" s="9"/>
      <c r="T232" s="1"/>
    </row>
    <row r="233" spans="5:20" ht="15.75" customHeight="1" x14ac:dyDescent="0.3">
      <c r="E233" s="9"/>
      <c r="F233" s="9"/>
      <c r="H233" s="9"/>
      <c r="M233" s="9"/>
      <c r="N233" s="9"/>
      <c r="O233" s="9"/>
      <c r="P233" s="9"/>
      <c r="Q233" s="9"/>
      <c r="R233" s="9"/>
      <c r="T233" s="1"/>
    </row>
    <row r="234" spans="5:20" ht="15.75" customHeight="1" x14ac:dyDescent="0.3">
      <c r="E234" s="9"/>
      <c r="F234" s="9"/>
      <c r="H234" s="9"/>
      <c r="M234" s="9"/>
      <c r="N234" s="9"/>
      <c r="O234" s="9"/>
      <c r="P234" s="9"/>
      <c r="Q234" s="9"/>
      <c r="R234" s="9"/>
      <c r="T234" s="1"/>
    </row>
    <row r="235" spans="5:20" ht="15.75" customHeight="1" x14ac:dyDescent="0.3">
      <c r="E235" s="9"/>
      <c r="F235" s="9"/>
      <c r="H235" s="9"/>
      <c r="M235" s="9"/>
      <c r="N235" s="9"/>
      <c r="O235" s="9"/>
      <c r="P235" s="9"/>
      <c r="Q235" s="9"/>
      <c r="R235" s="9"/>
      <c r="T235" s="1"/>
    </row>
    <row r="236" spans="5:20" ht="15.75" customHeight="1" x14ac:dyDescent="0.3">
      <c r="E236" s="9"/>
      <c r="F236" s="9"/>
      <c r="H236" s="9"/>
      <c r="M236" s="9"/>
      <c r="N236" s="9"/>
      <c r="O236" s="9"/>
      <c r="P236" s="9"/>
      <c r="Q236" s="9"/>
      <c r="R236" s="9"/>
      <c r="T236" s="1"/>
    </row>
    <row r="237" spans="5:20" ht="15.75" customHeight="1" x14ac:dyDescent="0.3">
      <c r="E237" s="9"/>
      <c r="F237" s="9"/>
      <c r="H237" s="9"/>
      <c r="M237" s="9"/>
      <c r="N237" s="9"/>
      <c r="O237" s="9"/>
      <c r="P237" s="9"/>
      <c r="Q237" s="9"/>
      <c r="R237" s="9"/>
      <c r="T237" s="1"/>
    </row>
    <row r="238" spans="5:20" ht="15.75" customHeight="1" x14ac:dyDescent="0.3">
      <c r="E238" s="9"/>
      <c r="F238" s="9"/>
      <c r="H238" s="9"/>
      <c r="M238" s="9"/>
      <c r="N238" s="9"/>
      <c r="O238" s="9"/>
      <c r="P238" s="9"/>
      <c r="Q238" s="9"/>
      <c r="R238" s="9"/>
      <c r="T238" s="1"/>
    </row>
    <row r="239" spans="5:20" ht="15.75" customHeight="1" x14ac:dyDescent="0.3">
      <c r="E239" s="9"/>
      <c r="F239" s="9"/>
      <c r="H239" s="9"/>
      <c r="M239" s="9"/>
      <c r="N239" s="9"/>
      <c r="O239" s="9"/>
      <c r="P239" s="9"/>
      <c r="Q239" s="9"/>
      <c r="R239" s="9"/>
      <c r="T239" s="1"/>
    </row>
    <row r="240" spans="5:20" ht="15.75" customHeight="1" x14ac:dyDescent="0.3">
      <c r="E240" s="9"/>
      <c r="F240" s="9"/>
      <c r="H240" s="9"/>
      <c r="M240" s="9"/>
      <c r="N240" s="9"/>
      <c r="O240" s="9"/>
      <c r="P240" s="9"/>
      <c r="Q240" s="9"/>
      <c r="R240" s="9"/>
      <c r="T240" s="1"/>
    </row>
    <row r="241" spans="5:20" ht="15.75" customHeight="1" x14ac:dyDescent="0.3">
      <c r="E241" s="9"/>
      <c r="F241" s="9"/>
      <c r="H241" s="9"/>
      <c r="M241" s="9"/>
      <c r="N241" s="9"/>
      <c r="O241" s="9"/>
      <c r="P241" s="9"/>
      <c r="Q241" s="9"/>
      <c r="R241" s="9"/>
      <c r="T241" s="1"/>
    </row>
    <row r="242" spans="5:20" ht="15.75" customHeight="1" x14ac:dyDescent="0.3">
      <c r="E242" s="9"/>
      <c r="F242" s="9"/>
      <c r="H242" s="9"/>
      <c r="M242" s="9"/>
      <c r="N242" s="9"/>
      <c r="O242" s="9"/>
      <c r="P242" s="9"/>
      <c r="Q242" s="9"/>
      <c r="R242" s="9"/>
      <c r="T242" s="1"/>
    </row>
    <row r="243" spans="5:20" ht="15.75" customHeight="1" x14ac:dyDescent="0.3">
      <c r="E243" s="9"/>
      <c r="F243" s="9"/>
      <c r="H243" s="9"/>
      <c r="M243" s="9"/>
      <c r="N243" s="9"/>
      <c r="O243" s="9"/>
      <c r="P243" s="9"/>
      <c r="Q243" s="9"/>
      <c r="R243" s="9"/>
      <c r="T243" s="1"/>
    </row>
    <row r="244" spans="5:20" ht="15.75" customHeight="1" x14ac:dyDescent="0.3">
      <c r="E244" s="9"/>
      <c r="F244" s="9"/>
      <c r="H244" s="9"/>
      <c r="M244" s="9"/>
      <c r="N244" s="9"/>
      <c r="O244" s="9"/>
      <c r="P244" s="9"/>
      <c r="Q244" s="9"/>
      <c r="R244" s="9"/>
      <c r="T244" s="1"/>
    </row>
    <row r="245" spans="5:20" ht="15.75" customHeight="1" x14ac:dyDescent="0.3">
      <c r="E245" s="9"/>
      <c r="F245" s="9"/>
      <c r="H245" s="9"/>
      <c r="M245" s="9"/>
      <c r="N245" s="9"/>
      <c r="O245" s="9"/>
      <c r="P245" s="9"/>
      <c r="Q245" s="9"/>
      <c r="R245" s="9"/>
      <c r="T245" s="1"/>
    </row>
    <row r="246" spans="5:20" ht="15.75" customHeight="1" x14ac:dyDescent="0.3">
      <c r="E246" s="9"/>
      <c r="F246" s="9"/>
      <c r="H246" s="9"/>
      <c r="M246" s="9"/>
      <c r="N246" s="9"/>
      <c r="O246" s="9"/>
      <c r="P246" s="9"/>
      <c r="Q246" s="9"/>
      <c r="R246" s="9"/>
      <c r="T246" s="1"/>
    </row>
    <row r="247" spans="5:20" ht="15.75" customHeight="1" x14ac:dyDescent="0.3">
      <c r="E247" s="9"/>
      <c r="F247" s="9"/>
      <c r="H247" s="9"/>
      <c r="M247" s="9"/>
      <c r="N247" s="9"/>
      <c r="O247" s="9"/>
      <c r="P247" s="9"/>
      <c r="Q247" s="9"/>
      <c r="R247" s="9"/>
      <c r="T247" s="1"/>
    </row>
    <row r="248" spans="5:20" ht="15.75" customHeight="1" x14ac:dyDescent="0.3">
      <c r="E248" s="9"/>
      <c r="F248" s="9"/>
      <c r="H248" s="9"/>
      <c r="M248" s="9"/>
      <c r="N248" s="9"/>
      <c r="O248" s="9"/>
      <c r="P248" s="9"/>
      <c r="Q248" s="9"/>
      <c r="R248" s="9"/>
      <c r="T248" s="1"/>
    </row>
    <row r="249" spans="5:20" ht="15.75" customHeight="1" x14ac:dyDescent="0.3">
      <c r="E249" s="9"/>
      <c r="F249" s="9"/>
      <c r="H249" s="9"/>
      <c r="M249" s="9"/>
      <c r="N249" s="9"/>
      <c r="O249" s="9"/>
      <c r="P249" s="9"/>
      <c r="Q249" s="9"/>
      <c r="R249" s="9"/>
      <c r="T249" s="1"/>
    </row>
    <row r="250" spans="5:20" ht="15.75" customHeight="1" x14ac:dyDescent="0.3">
      <c r="E250" s="9"/>
      <c r="F250" s="9"/>
      <c r="H250" s="9"/>
      <c r="M250" s="9"/>
      <c r="N250" s="9"/>
      <c r="O250" s="9"/>
      <c r="P250" s="9"/>
      <c r="Q250" s="9"/>
      <c r="R250" s="9"/>
      <c r="T250" s="1"/>
    </row>
    <row r="251" spans="5:20" ht="15.75" customHeight="1" x14ac:dyDescent="0.3">
      <c r="E251" s="9"/>
      <c r="F251" s="9"/>
      <c r="H251" s="9"/>
      <c r="M251" s="9"/>
      <c r="N251" s="9"/>
      <c r="O251" s="9"/>
      <c r="P251" s="9"/>
      <c r="Q251" s="9"/>
      <c r="R251" s="9"/>
      <c r="T251" s="1"/>
    </row>
    <row r="252" spans="5:20" ht="15.75" customHeight="1" x14ac:dyDescent="0.3">
      <c r="E252" s="9"/>
      <c r="F252" s="9"/>
      <c r="H252" s="9"/>
      <c r="M252" s="9"/>
      <c r="N252" s="9"/>
      <c r="O252" s="9"/>
      <c r="P252" s="9"/>
      <c r="Q252" s="9"/>
      <c r="R252" s="9"/>
      <c r="T252" s="1"/>
    </row>
    <row r="253" spans="5:20" ht="15.75" customHeight="1" x14ac:dyDescent="0.3">
      <c r="E253" s="9"/>
      <c r="F253" s="9"/>
      <c r="H253" s="9"/>
      <c r="M253" s="9"/>
      <c r="N253" s="9"/>
      <c r="O253" s="9"/>
      <c r="P253" s="9"/>
      <c r="Q253" s="9"/>
      <c r="R253" s="9"/>
      <c r="T253" s="1"/>
    </row>
    <row r="254" spans="5:20" ht="15.75" customHeight="1" x14ac:dyDescent="0.3">
      <c r="E254" s="9"/>
      <c r="F254" s="9"/>
      <c r="H254" s="9"/>
      <c r="M254" s="9"/>
      <c r="N254" s="9"/>
      <c r="O254" s="9"/>
      <c r="P254" s="9"/>
      <c r="Q254" s="9"/>
      <c r="R254" s="9"/>
      <c r="T254" s="1"/>
    </row>
    <row r="255" spans="5:20" ht="15.75" customHeight="1" x14ac:dyDescent="0.3">
      <c r="E255" s="9"/>
      <c r="F255" s="9"/>
      <c r="H255" s="9"/>
      <c r="M255" s="9"/>
      <c r="N255" s="9"/>
      <c r="O255" s="9"/>
      <c r="P255" s="9"/>
      <c r="Q255" s="9"/>
      <c r="R255" s="9"/>
      <c r="T255" s="1"/>
    </row>
    <row r="256" spans="5:20" ht="15.75" customHeight="1" x14ac:dyDescent="0.3">
      <c r="E256" s="9"/>
      <c r="F256" s="9"/>
      <c r="H256" s="9"/>
      <c r="M256" s="9"/>
      <c r="N256" s="9"/>
      <c r="O256" s="9"/>
      <c r="P256" s="9"/>
      <c r="Q256" s="9"/>
      <c r="R256" s="9"/>
      <c r="T256" s="1"/>
    </row>
    <row r="257" spans="5:20" ht="15.75" customHeight="1" x14ac:dyDescent="0.3">
      <c r="E257" s="9"/>
      <c r="F257" s="9"/>
      <c r="H257" s="9"/>
      <c r="M257" s="9"/>
      <c r="N257" s="9"/>
      <c r="O257" s="9"/>
      <c r="P257" s="9"/>
      <c r="Q257" s="9"/>
      <c r="R257" s="9"/>
      <c r="T257" s="1"/>
    </row>
    <row r="258" spans="5:20" ht="15.75" customHeight="1" x14ac:dyDescent="0.3">
      <c r="E258" s="9"/>
      <c r="F258" s="9"/>
      <c r="H258" s="9"/>
      <c r="M258" s="9"/>
      <c r="N258" s="9"/>
      <c r="O258" s="9"/>
      <c r="P258" s="9"/>
      <c r="Q258" s="9"/>
      <c r="R258" s="9"/>
      <c r="T258" s="1"/>
    </row>
    <row r="259" spans="5:20" ht="15.75" customHeight="1" x14ac:dyDescent="0.3">
      <c r="E259" s="9"/>
      <c r="F259" s="9"/>
      <c r="H259" s="9"/>
      <c r="M259" s="9"/>
      <c r="N259" s="9"/>
      <c r="O259" s="9"/>
      <c r="P259" s="9"/>
      <c r="Q259" s="9"/>
      <c r="R259" s="9"/>
      <c r="T259" s="1"/>
    </row>
    <row r="260" spans="5:20" ht="15.75" customHeight="1" x14ac:dyDescent="0.3">
      <c r="E260" s="9"/>
      <c r="F260" s="9"/>
      <c r="H260" s="9"/>
      <c r="M260" s="9"/>
      <c r="N260" s="9"/>
      <c r="O260" s="9"/>
      <c r="P260" s="9"/>
      <c r="Q260" s="9"/>
      <c r="R260" s="9"/>
      <c r="T260" s="1"/>
    </row>
    <row r="261" spans="5:20" ht="15.75" customHeight="1" x14ac:dyDescent="0.3">
      <c r="E261" s="9"/>
      <c r="F261" s="9"/>
      <c r="H261" s="9"/>
      <c r="M261" s="9"/>
      <c r="N261" s="9"/>
      <c r="O261" s="9"/>
      <c r="P261" s="9"/>
      <c r="Q261" s="9"/>
      <c r="R261" s="9"/>
      <c r="T261" s="1"/>
    </row>
    <row r="262" spans="5:20" ht="15.75" customHeight="1" x14ac:dyDescent="0.3">
      <c r="E262" s="9"/>
      <c r="F262" s="9"/>
      <c r="H262" s="9"/>
      <c r="M262" s="9"/>
      <c r="N262" s="9"/>
      <c r="O262" s="9"/>
      <c r="P262" s="9"/>
      <c r="Q262" s="9"/>
      <c r="R262" s="9"/>
      <c r="T262" s="1"/>
    </row>
    <row r="263" spans="5:20" ht="15.75" customHeight="1" x14ac:dyDescent="0.3">
      <c r="E263" s="9"/>
      <c r="F263" s="9"/>
      <c r="H263" s="9"/>
      <c r="M263" s="9"/>
      <c r="N263" s="9"/>
      <c r="O263" s="9"/>
      <c r="P263" s="9"/>
      <c r="Q263" s="9"/>
      <c r="R263" s="9"/>
      <c r="T263" s="1"/>
    </row>
    <row r="264" spans="5:20" ht="15.75" customHeight="1" x14ac:dyDescent="0.3">
      <c r="E264" s="9"/>
      <c r="F264" s="9"/>
      <c r="H264" s="9"/>
      <c r="M264" s="9"/>
      <c r="N264" s="9"/>
      <c r="O264" s="9"/>
      <c r="P264" s="9"/>
      <c r="Q264" s="9"/>
      <c r="R264" s="9"/>
      <c r="T264" s="1"/>
    </row>
    <row r="265" spans="5:20" ht="15.75" customHeight="1" x14ac:dyDescent="0.3">
      <c r="E265" s="9"/>
      <c r="F265" s="9"/>
      <c r="H265" s="9"/>
      <c r="M265" s="9"/>
      <c r="N265" s="9"/>
      <c r="O265" s="9"/>
      <c r="P265" s="9"/>
      <c r="Q265" s="9"/>
      <c r="R265" s="9"/>
      <c r="T265" s="1"/>
    </row>
    <row r="266" spans="5:20" ht="15.75" customHeight="1" x14ac:dyDescent="0.3">
      <c r="E266" s="9"/>
      <c r="F266" s="9"/>
      <c r="H266" s="9"/>
      <c r="M266" s="9"/>
      <c r="N266" s="9"/>
      <c r="O266" s="9"/>
      <c r="P266" s="9"/>
      <c r="Q266" s="9"/>
      <c r="R266" s="9"/>
      <c r="T266" s="1"/>
    </row>
    <row r="267" spans="5:20" ht="15.75" customHeight="1" x14ac:dyDescent="0.3">
      <c r="E267" s="9"/>
      <c r="F267" s="9"/>
      <c r="H267" s="9"/>
      <c r="M267" s="9"/>
      <c r="N267" s="9"/>
      <c r="O267" s="9"/>
      <c r="P267" s="9"/>
      <c r="Q267" s="9"/>
      <c r="R267" s="9"/>
      <c r="T267" s="1"/>
    </row>
    <row r="268" spans="5:20" ht="15.75" customHeight="1" x14ac:dyDescent="0.3">
      <c r="E268" s="9"/>
      <c r="F268" s="9"/>
      <c r="H268" s="9"/>
      <c r="M268" s="9"/>
      <c r="N268" s="9"/>
      <c r="O268" s="9"/>
      <c r="P268" s="9"/>
      <c r="Q268" s="9"/>
      <c r="R268" s="9"/>
      <c r="T268" s="1"/>
    </row>
    <row r="269" spans="5:20" ht="15.75" customHeight="1" x14ac:dyDescent="0.3">
      <c r="E269" s="9"/>
      <c r="F269" s="9"/>
      <c r="H269" s="9"/>
      <c r="M269" s="9"/>
      <c r="N269" s="9"/>
      <c r="O269" s="9"/>
      <c r="P269" s="9"/>
      <c r="Q269" s="9"/>
      <c r="R269" s="9"/>
      <c r="T269" s="1"/>
    </row>
    <row r="270" spans="5:20" ht="15.75" customHeight="1" x14ac:dyDescent="0.3">
      <c r="E270" s="9"/>
      <c r="F270" s="9"/>
      <c r="H270" s="9"/>
      <c r="M270" s="9"/>
      <c r="N270" s="9"/>
      <c r="O270" s="9"/>
      <c r="P270" s="9"/>
      <c r="Q270" s="9"/>
      <c r="R270" s="9"/>
      <c r="T270" s="1"/>
    </row>
    <row r="271" spans="5:20" ht="15.75" customHeight="1" x14ac:dyDescent="0.3">
      <c r="E271" s="9"/>
      <c r="F271" s="9"/>
      <c r="H271" s="9"/>
      <c r="M271" s="9"/>
      <c r="N271" s="9"/>
      <c r="O271" s="9"/>
      <c r="P271" s="9"/>
      <c r="Q271" s="9"/>
      <c r="R271" s="9"/>
      <c r="T271" s="1"/>
    </row>
    <row r="272" spans="5:20" ht="15.75" customHeight="1" x14ac:dyDescent="0.3">
      <c r="E272" s="9"/>
      <c r="F272" s="9"/>
      <c r="H272" s="9"/>
      <c r="M272" s="9"/>
      <c r="N272" s="9"/>
      <c r="O272" s="9"/>
      <c r="P272" s="9"/>
      <c r="Q272" s="9"/>
      <c r="R272" s="9"/>
      <c r="T272" s="1"/>
    </row>
    <row r="273" spans="5:20" ht="15.75" customHeight="1" x14ac:dyDescent="0.3">
      <c r="E273" s="9"/>
      <c r="F273" s="9"/>
      <c r="H273" s="9"/>
      <c r="M273" s="9"/>
      <c r="N273" s="9"/>
      <c r="O273" s="9"/>
      <c r="P273" s="9"/>
      <c r="Q273" s="9"/>
      <c r="R273" s="9"/>
      <c r="T273" s="1"/>
    </row>
    <row r="274" spans="5:20" ht="15.75" customHeight="1" x14ac:dyDescent="0.3">
      <c r="E274" s="9"/>
      <c r="F274" s="9"/>
      <c r="H274" s="9"/>
      <c r="M274" s="9"/>
      <c r="N274" s="9"/>
      <c r="O274" s="9"/>
      <c r="P274" s="9"/>
      <c r="Q274" s="9"/>
      <c r="R274" s="9"/>
      <c r="T274" s="1"/>
    </row>
    <row r="275" spans="5:20" ht="15.75" customHeight="1" x14ac:dyDescent="0.3">
      <c r="E275" s="9"/>
      <c r="F275" s="9"/>
      <c r="H275" s="9"/>
      <c r="M275" s="9"/>
      <c r="N275" s="9"/>
      <c r="O275" s="9"/>
      <c r="P275" s="9"/>
      <c r="Q275" s="9"/>
      <c r="R275" s="9"/>
      <c r="T275" s="1"/>
    </row>
    <row r="276" spans="5:20" ht="15.75" customHeight="1" x14ac:dyDescent="0.3">
      <c r="E276" s="9"/>
      <c r="F276" s="9"/>
      <c r="H276" s="9"/>
      <c r="M276" s="9"/>
      <c r="N276" s="9"/>
      <c r="O276" s="9"/>
      <c r="P276" s="9"/>
      <c r="Q276" s="9"/>
      <c r="R276" s="9"/>
      <c r="T276" s="1"/>
    </row>
    <row r="277" spans="5:20" ht="15.75" customHeight="1" x14ac:dyDescent="0.3">
      <c r="E277" s="9"/>
      <c r="F277" s="9"/>
      <c r="H277" s="9"/>
      <c r="M277" s="9"/>
      <c r="N277" s="9"/>
      <c r="O277" s="9"/>
      <c r="P277" s="9"/>
      <c r="Q277" s="9"/>
      <c r="R277" s="9"/>
      <c r="T277" s="1"/>
    </row>
    <row r="278" spans="5:20" ht="15.75" customHeight="1" x14ac:dyDescent="0.3">
      <c r="E278" s="9"/>
      <c r="F278" s="9"/>
      <c r="H278" s="9"/>
      <c r="M278" s="9"/>
      <c r="N278" s="9"/>
      <c r="O278" s="9"/>
      <c r="P278" s="9"/>
      <c r="Q278" s="9"/>
      <c r="R278" s="9"/>
      <c r="T278" s="1"/>
    </row>
    <row r="279" spans="5:20" ht="15.75" customHeight="1" x14ac:dyDescent="0.3">
      <c r="E279" s="9"/>
      <c r="F279" s="9"/>
      <c r="H279" s="9"/>
      <c r="M279" s="9"/>
      <c r="N279" s="9"/>
      <c r="O279" s="9"/>
      <c r="P279" s="9"/>
      <c r="Q279" s="9"/>
      <c r="R279" s="9"/>
      <c r="T279" s="1"/>
    </row>
    <row r="280" spans="5:20" ht="15.75" customHeight="1" x14ac:dyDescent="0.3">
      <c r="E280" s="9"/>
      <c r="F280" s="9"/>
      <c r="H280" s="9"/>
      <c r="M280" s="9"/>
      <c r="N280" s="9"/>
      <c r="O280" s="9"/>
      <c r="P280" s="9"/>
      <c r="Q280" s="9"/>
      <c r="R280" s="9"/>
      <c r="T280" s="1"/>
    </row>
    <row r="281" spans="5:20" ht="15.75" customHeight="1" x14ac:dyDescent="0.3">
      <c r="E281" s="9"/>
      <c r="F281" s="9"/>
      <c r="H281" s="9"/>
      <c r="M281" s="9"/>
      <c r="N281" s="9"/>
      <c r="O281" s="9"/>
      <c r="P281" s="9"/>
      <c r="Q281" s="9"/>
      <c r="R281" s="9"/>
      <c r="T281" s="1"/>
    </row>
    <row r="282" spans="5:20" ht="15.75" customHeight="1" x14ac:dyDescent="0.3">
      <c r="E282" s="9"/>
      <c r="F282" s="9"/>
      <c r="H282" s="9"/>
      <c r="M282" s="9"/>
      <c r="N282" s="9"/>
      <c r="O282" s="9"/>
      <c r="P282" s="9"/>
      <c r="Q282" s="9"/>
      <c r="R282" s="9"/>
      <c r="T282" s="1"/>
    </row>
    <row r="283" spans="5:20" ht="15.75" customHeight="1" x14ac:dyDescent="0.3">
      <c r="E283" s="9"/>
      <c r="F283" s="9"/>
      <c r="H283" s="9"/>
      <c r="M283" s="9"/>
      <c r="N283" s="9"/>
      <c r="O283" s="9"/>
      <c r="P283" s="9"/>
      <c r="Q283" s="9"/>
      <c r="R283" s="9"/>
      <c r="T283" s="1"/>
    </row>
    <row r="284" spans="5:20" ht="15.75" customHeight="1" x14ac:dyDescent="0.3">
      <c r="E284" s="9"/>
      <c r="F284" s="9"/>
      <c r="H284" s="9"/>
      <c r="M284" s="9"/>
      <c r="N284" s="9"/>
      <c r="O284" s="9"/>
      <c r="P284" s="9"/>
      <c r="Q284" s="9"/>
      <c r="R284" s="9"/>
      <c r="T284" s="1"/>
    </row>
    <row r="285" spans="5:20" ht="15.75" customHeight="1" x14ac:dyDescent="0.3">
      <c r="E285" s="9"/>
      <c r="F285" s="9"/>
      <c r="H285" s="9"/>
      <c r="M285" s="9"/>
      <c r="N285" s="9"/>
      <c r="O285" s="9"/>
      <c r="P285" s="9"/>
      <c r="Q285" s="9"/>
      <c r="R285" s="9"/>
      <c r="T285" s="1"/>
    </row>
    <row r="286" spans="5:20" ht="15.75" customHeight="1" x14ac:dyDescent="0.3">
      <c r="E286" s="9"/>
      <c r="F286" s="9"/>
      <c r="H286" s="9"/>
      <c r="M286" s="9"/>
      <c r="N286" s="9"/>
      <c r="O286" s="9"/>
      <c r="P286" s="9"/>
      <c r="Q286" s="9"/>
      <c r="R286" s="9"/>
      <c r="T286" s="1"/>
    </row>
    <row r="287" spans="5:20" ht="15.75" customHeight="1" x14ac:dyDescent="0.3">
      <c r="E287" s="9"/>
      <c r="F287" s="9"/>
      <c r="H287" s="9"/>
      <c r="M287" s="9"/>
      <c r="N287" s="9"/>
      <c r="O287" s="9"/>
      <c r="P287" s="9"/>
      <c r="Q287" s="9"/>
      <c r="R287" s="9"/>
      <c r="T287" s="1"/>
    </row>
    <row r="288" spans="5:20" ht="15.75" customHeight="1" x14ac:dyDescent="0.3">
      <c r="E288" s="9"/>
      <c r="F288" s="9"/>
      <c r="H288" s="9"/>
      <c r="M288" s="9"/>
      <c r="N288" s="9"/>
      <c r="O288" s="9"/>
      <c r="P288" s="9"/>
      <c r="Q288" s="9"/>
      <c r="R288" s="9"/>
      <c r="T288" s="1"/>
    </row>
    <row r="289" spans="5:20" ht="15.75" customHeight="1" x14ac:dyDescent="0.3">
      <c r="E289" s="9"/>
      <c r="F289" s="9"/>
      <c r="H289" s="9"/>
      <c r="M289" s="9"/>
      <c r="N289" s="9"/>
      <c r="O289" s="9"/>
      <c r="P289" s="9"/>
      <c r="Q289" s="9"/>
      <c r="R289" s="9"/>
      <c r="T289" s="1"/>
    </row>
    <row r="290" spans="5:20" ht="15.75" customHeight="1" x14ac:dyDescent="0.3">
      <c r="E290" s="9"/>
      <c r="F290" s="9"/>
      <c r="H290" s="9"/>
      <c r="M290" s="9"/>
      <c r="N290" s="9"/>
      <c r="O290" s="9"/>
      <c r="P290" s="9"/>
      <c r="Q290" s="9"/>
      <c r="R290" s="9"/>
      <c r="T290" s="1"/>
    </row>
    <row r="291" spans="5:20" ht="15.75" customHeight="1" x14ac:dyDescent="0.3">
      <c r="E291" s="9"/>
      <c r="F291" s="9"/>
      <c r="H291" s="9"/>
      <c r="M291" s="9"/>
      <c r="N291" s="9"/>
      <c r="O291" s="9"/>
      <c r="P291" s="9"/>
      <c r="Q291" s="9"/>
      <c r="R291" s="9"/>
      <c r="T291" s="1"/>
    </row>
    <row r="292" spans="5:20" ht="15.75" customHeight="1" x14ac:dyDescent="0.3">
      <c r="E292" s="9"/>
      <c r="F292" s="9"/>
      <c r="H292" s="9"/>
      <c r="M292" s="9"/>
      <c r="N292" s="9"/>
      <c r="O292" s="9"/>
      <c r="P292" s="9"/>
      <c r="Q292" s="9"/>
      <c r="R292" s="9"/>
      <c r="T292" s="1"/>
    </row>
    <row r="293" spans="5:20" ht="15.75" customHeight="1" x14ac:dyDescent="0.3">
      <c r="E293" s="9"/>
      <c r="F293" s="9"/>
      <c r="H293" s="9"/>
      <c r="M293" s="9"/>
      <c r="N293" s="9"/>
      <c r="O293" s="9"/>
      <c r="P293" s="9"/>
      <c r="Q293" s="9"/>
      <c r="R293" s="9"/>
      <c r="T293" s="1"/>
    </row>
    <row r="294" spans="5:20" ht="15.75" customHeight="1" x14ac:dyDescent="0.3">
      <c r="E294" s="9"/>
      <c r="F294" s="9"/>
      <c r="H294" s="9"/>
      <c r="M294" s="9"/>
      <c r="N294" s="9"/>
      <c r="O294" s="9"/>
      <c r="P294" s="9"/>
      <c r="Q294" s="9"/>
      <c r="R294" s="9"/>
      <c r="T294" s="1"/>
    </row>
    <row r="295" spans="5:20" ht="15.75" customHeight="1" x14ac:dyDescent="0.3">
      <c r="E295" s="9"/>
      <c r="F295" s="9"/>
      <c r="H295" s="9"/>
      <c r="M295" s="9"/>
      <c r="N295" s="9"/>
      <c r="O295" s="9"/>
      <c r="P295" s="9"/>
      <c r="Q295" s="9"/>
      <c r="R295" s="9"/>
      <c r="T295" s="1"/>
    </row>
    <row r="296" spans="5:20" ht="15.75" customHeight="1" x14ac:dyDescent="0.3">
      <c r="E296" s="9"/>
      <c r="F296" s="9"/>
      <c r="H296" s="9"/>
      <c r="M296" s="9"/>
      <c r="N296" s="9"/>
      <c r="O296" s="9"/>
      <c r="P296" s="9"/>
      <c r="Q296" s="9"/>
      <c r="R296" s="9"/>
      <c r="T296" s="1"/>
    </row>
    <row r="297" spans="5:20" ht="15.75" customHeight="1" x14ac:dyDescent="0.3">
      <c r="E297" s="9"/>
      <c r="F297" s="9"/>
      <c r="H297" s="9"/>
      <c r="M297" s="9"/>
      <c r="N297" s="9"/>
      <c r="O297" s="9"/>
      <c r="P297" s="9"/>
      <c r="Q297" s="9"/>
      <c r="R297" s="9"/>
      <c r="T297" s="1"/>
    </row>
    <row r="298" spans="5:20" ht="15.75" customHeight="1" x14ac:dyDescent="0.3">
      <c r="E298" s="9"/>
      <c r="F298" s="9"/>
      <c r="H298" s="9"/>
      <c r="M298" s="9"/>
      <c r="N298" s="9"/>
      <c r="O298" s="9"/>
      <c r="P298" s="9"/>
      <c r="Q298" s="9"/>
      <c r="R298" s="9"/>
      <c r="T298" s="1"/>
    </row>
    <row r="299" spans="5:20" ht="15.75" customHeight="1" x14ac:dyDescent="0.3">
      <c r="E299" s="9"/>
      <c r="F299" s="9"/>
      <c r="H299" s="9"/>
      <c r="M299" s="9"/>
      <c r="N299" s="9"/>
      <c r="O299" s="9"/>
      <c r="P299" s="9"/>
      <c r="Q299" s="9"/>
      <c r="R299" s="9"/>
      <c r="T299" s="1"/>
    </row>
    <row r="300" spans="5:20" ht="15.75" customHeight="1" x14ac:dyDescent="0.3">
      <c r="E300" s="9"/>
      <c r="F300" s="9"/>
      <c r="H300" s="9"/>
      <c r="M300" s="9"/>
      <c r="N300" s="9"/>
      <c r="O300" s="9"/>
      <c r="P300" s="9"/>
      <c r="Q300" s="9"/>
      <c r="R300" s="9"/>
      <c r="T300" s="1"/>
    </row>
    <row r="301" spans="5:20" ht="15.75" customHeight="1" x14ac:dyDescent="0.3">
      <c r="E301" s="9"/>
      <c r="F301" s="9"/>
      <c r="H301" s="9"/>
      <c r="M301" s="9"/>
      <c r="N301" s="9"/>
      <c r="O301" s="9"/>
      <c r="P301" s="9"/>
      <c r="Q301" s="9"/>
      <c r="R301" s="9"/>
      <c r="T301" s="1"/>
    </row>
    <row r="302" spans="5:20" ht="15.75" customHeight="1" x14ac:dyDescent="0.3">
      <c r="E302" s="9"/>
      <c r="F302" s="9"/>
      <c r="H302" s="9"/>
      <c r="M302" s="9"/>
      <c r="N302" s="9"/>
      <c r="O302" s="9"/>
      <c r="P302" s="9"/>
      <c r="Q302" s="9"/>
      <c r="R302" s="9"/>
      <c r="T302" s="1"/>
    </row>
    <row r="303" spans="5:20" ht="15.75" customHeight="1" x14ac:dyDescent="0.3">
      <c r="E303" s="9"/>
      <c r="F303" s="9"/>
      <c r="H303" s="9"/>
      <c r="M303" s="9"/>
      <c r="N303" s="9"/>
      <c r="O303" s="9"/>
      <c r="P303" s="9"/>
      <c r="Q303" s="9"/>
      <c r="R303" s="9"/>
      <c r="T303" s="1"/>
    </row>
    <row r="304" spans="5:20" ht="15.75" customHeight="1" x14ac:dyDescent="0.3">
      <c r="E304" s="9"/>
      <c r="F304" s="9"/>
      <c r="H304" s="9"/>
      <c r="M304" s="9"/>
      <c r="N304" s="9"/>
      <c r="O304" s="9"/>
      <c r="P304" s="9"/>
      <c r="Q304" s="9"/>
      <c r="R304" s="9"/>
      <c r="T304" s="1"/>
    </row>
    <row r="305" spans="5:20" ht="15.75" customHeight="1" x14ac:dyDescent="0.3">
      <c r="E305" s="9"/>
      <c r="F305" s="9"/>
      <c r="H305" s="9"/>
      <c r="M305" s="9"/>
      <c r="N305" s="9"/>
      <c r="O305" s="9"/>
      <c r="P305" s="9"/>
      <c r="Q305" s="9"/>
      <c r="R305" s="9"/>
      <c r="T305" s="1"/>
    </row>
    <row r="306" spans="5:20" ht="15.75" customHeight="1" x14ac:dyDescent="0.3">
      <c r="E306" s="9"/>
      <c r="F306" s="9"/>
      <c r="H306" s="9"/>
      <c r="M306" s="9"/>
      <c r="N306" s="9"/>
      <c r="O306" s="9"/>
      <c r="P306" s="9"/>
      <c r="Q306" s="9"/>
      <c r="R306" s="9"/>
      <c r="T306" s="1"/>
    </row>
    <row r="307" spans="5:20" ht="15.75" customHeight="1" x14ac:dyDescent="0.3">
      <c r="E307" s="9"/>
      <c r="F307" s="9"/>
      <c r="H307" s="9"/>
      <c r="M307" s="9"/>
      <c r="N307" s="9"/>
      <c r="O307" s="9"/>
      <c r="P307" s="9"/>
      <c r="Q307" s="9"/>
      <c r="R307" s="9"/>
      <c r="T307" s="1"/>
    </row>
    <row r="308" spans="5:20" ht="15.75" customHeight="1" x14ac:dyDescent="0.3">
      <c r="E308" s="9"/>
      <c r="F308" s="9"/>
      <c r="H308" s="9"/>
      <c r="M308" s="9"/>
      <c r="N308" s="9"/>
      <c r="O308" s="9"/>
      <c r="P308" s="9"/>
      <c r="Q308" s="9"/>
      <c r="R308" s="9"/>
      <c r="T308" s="1"/>
    </row>
    <row r="309" spans="5:20" ht="15.75" customHeight="1" x14ac:dyDescent="0.3">
      <c r="E309" s="9"/>
      <c r="F309" s="9"/>
      <c r="H309" s="9"/>
      <c r="M309" s="9"/>
      <c r="N309" s="9"/>
      <c r="O309" s="9"/>
      <c r="P309" s="9"/>
      <c r="Q309" s="9"/>
      <c r="R309" s="9"/>
      <c r="T309" s="1"/>
    </row>
    <row r="310" spans="5:20" ht="15.75" customHeight="1" x14ac:dyDescent="0.3">
      <c r="E310" s="9"/>
      <c r="F310" s="9"/>
      <c r="H310" s="9"/>
      <c r="M310" s="9"/>
      <c r="N310" s="9"/>
      <c r="O310" s="9"/>
      <c r="P310" s="9"/>
      <c r="Q310" s="9"/>
      <c r="R310" s="9"/>
      <c r="T310" s="1"/>
    </row>
    <row r="311" spans="5:20" ht="15.75" customHeight="1" x14ac:dyDescent="0.3">
      <c r="E311" s="9"/>
      <c r="F311" s="9"/>
      <c r="H311" s="9"/>
      <c r="M311" s="9"/>
      <c r="N311" s="9"/>
      <c r="O311" s="9"/>
      <c r="P311" s="9"/>
      <c r="Q311" s="9"/>
      <c r="R311" s="9"/>
      <c r="T311" s="1"/>
    </row>
    <row r="312" spans="5:20" ht="15.75" customHeight="1" x14ac:dyDescent="0.3">
      <c r="E312" s="9"/>
      <c r="F312" s="9"/>
      <c r="H312" s="9"/>
      <c r="M312" s="9"/>
      <c r="N312" s="9"/>
      <c r="O312" s="9"/>
      <c r="P312" s="9"/>
      <c r="Q312" s="9"/>
      <c r="R312" s="9"/>
      <c r="T312" s="1"/>
    </row>
    <row r="313" spans="5:20" ht="15.75" customHeight="1" x14ac:dyDescent="0.3">
      <c r="E313" s="9"/>
      <c r="F313" s="9"/>
      <c r="H313" s="9"/>
      <c r="M313" s="9"/>
      <c r="N313" s="9"/>
      <c r="O313" s="9"/>
      <c r="P313" s="9"/>
      <c r="Q313" s="9"/>
      <c r="R313" s="9"/>
      <c r="T313" s="1"/>
    </row>
    <row r="314" spans="5:20" ht="15.75" customHeight="1" x14ac:dyDescent="0.3">
      <c r="E314" s="9"/>
      <c r="F314" s="9"/>
      <c r="H314" s="9"/>
      <c r="M314" s="9"/>
      <c r="N314" s="9"/>
      <c r="O314" s="9"/>
      <c r="P314" s="9"/>
      <c r="Q314" s="9"/>
      <c r="R314" s="9"/>
      <c r="T314" s="1"/>
    </row>
    <row r="315" spans="5:20" ht="15.75" customHeight="1" x14ac:dyDescent="0.3">
      <c r="E315" s="9"/>
      <c r="F315" s="9"/>
      <c r="H315" s="9"/>
      <c r="M315" s="9"/>
      <c r="N315" s="9"/>
      <c r="O315" s="9"/>
      <c r="P315" s="9"/>
      <c r="Q315" s="9"/>
      <c r="R315" s="9"/>
      <c r="T315" s="1"/>
    </row>
    <row r="316" spans="5:20" ht="15.75" customHeight="1" x14ac:dyDescent="0.3">
      <c r="E316" s="9"/>
      <c r="F316" s="9"/>
      <c r="H316" s="9"/>
      <c r="M316" s="9"/>
      <c r="N316" s="9"/>
      <c r="O316" s="9"/>
      <c r="P316" s="9"/>
      <c r="Q316" s="9"/>
      <c r="R316" s="9"/>
      <c r="T316" s="1"/>
    </row>
    <row r="317" spans="5:20" ht="15.75" customHeight="1" x14ac:dyDescent="0.3">
      <c r="E317" s="9"/>
      <c r="F317" s="9"/>
      <c r="H317" s="9"/>
      <c r="M317" s="9"/>
      <c r="N317" s="9"/>
      <c r="O317" s="9"/>
      <c r="P317" s="9"/>
      <c r="Q317" s="9"/>
      <c r="R317" s="9"/>
      <c r="T317" s="1"/>
    </row>
    <row r="318" spans="5:20" ht="15.75" customHeight="1" x14ac:dyDescent="0.3">
      <c r="E318" s="9"/>
      <c r="F318" s="9"/>
      <c r="H318" s="9"/>
      <c r="M318" s="9"/>
      <c r="N318" s="9"/>
      <c r="O318" s="9"/>
      <c r="P318" s="9"/>
      <c r="Q318" s="9"/>
      <c r="R318" s="9"/>
      <c r="T318" s="1"/>
    </row>
    <row r="319" spans="5:20" ht="15.75" customHeight="1" x14ac:dyDescent="0.3">
      <c r="E319" s="9"/>
      <c r="F319" s="9"/>
      <c r="H319" s="9"/>
      <c r="M319" s="9"/>
      <c r="N319" s="9"/>
      <c r="O319" s="9"/>
      <c r="P319" s="9"/>
      <c r="Q319" s="9"/>
      <c r="R319" s="9"/>
      <c r="T319" s="1"/>
    </row>
    <row r="320" spans="5:20" ht="15.75" customHeight="1" x14ac:dyDescent="0.3">
      <c r="E320" s="9"/>
      <c r="F320" s="9"/>
      <c r="H320" s="9"/>
      <c r="M320" s="9"/>
      <c r="N320" s="9"/>
      <c r="O320" s="9"/>
      <c r="P320" s="9"/>
      <c r="Q320" s="9"/>
      <c r="R320" s="9"/>
      <c r="T320" s="1"/>
    </row>
    <row r="321" spans="5:20" ht="15.75" customHeight="1" x14ac:dyDescent="0.3">
      <c r="E321" s="9"/>
      <c r="F321" s="9"/>
      <c r="H321" s="9"/>
      <c r="M321" s="9"/>
      <c r="N321" s="9"/>
      <c r="O321" s="9"/>
      <c r="P321" s="9"/>
      <c r="Q321" s="9"/>
      <c r="R321" s="9"/>
      <c r="T321" s="1"/>
    </row>
    <row r="322" spans="5:20" ht="15.75" customHeight="1" x14ac:dyDescent="0.3">
      <c r="E322" s="9"/>
      <c r="F322" s="9"/>
      <c r="H322" s="9"/>
      <c r="M322" s="9"/>
      <c r="N322" s="9"/>
      <c r="O322" s="9"/>
      <c r="P322" s="9"/>
      <c r="Q322" s="9"/>
      <c r="R322" s="9"/>
      <c r="T322" s="1"/>
    </row>
    <row r="323" spans="5:20" ht="15.75" customHeight="1" x14ac:dyDescent="0.3">
      <c r="E323" s="9"/>
      <c r="F323" s="9"/>
      <c r="H323" s="9"/>
      <c r="M323" s="9"/>
      <c r="N323" s="9"/>
      <c r="O323" s="9"/>
      <c r="P323" s="9"/>
      <c r="Q323" s="9"/>
      <c r="R323" s="9"/>
      <c r="T323" s="1"/>
    </row>
    <row r="324" spans="5:20" ht="15.75" customHeight="1" x14ac:dyDescent="0.3">
      <c r="E324" s="9"/>
      <c r="F324" s="9"/>
      <c r="H324" s="9"/>
      <c r="M324" s="9"/>
      <c r="N324" s="9"/>
      <c r="O324" s="9"/>
      <c r="P324" s="9"/>
      <c r="Q324" s="9"/>
      <c r="R324" s="9"/>
      <c r="T324" s="1"/>
    </row>
    <row r="325" spans="5:20" ht="15.75" customHeight="1" x14ac:dyDescent="0.3">
      <c r="E325" s="9"/>
      <c r="F325" s="9"/>
      <c r="H325" s="9"/>
      <c r="M325" s="9"/>
      <c r="N325" s="9"/>
      <c r="O325" s="9"/>
      <c r="P325" s="9"/>
      <c r="Q325" s="9"/>
      <c r="R325" s="9"/>
      <c r="T325" s="1"/>
    </row>
    <row r="326" spans="5:20" ht="15.75" customHeight="1" x14ac:dyDescent="0.3">
      <c r="E326" s="9"/>
      <c r="F326" s="9"/>
      <c r="H326" s="9"/>
      <c r="M326" s="9"/>
      <c r="N326" s="9"/>
      <c r="O326" s="9"/>
      <c r="P326" s="9"/>
      <c r="Q326" s="9"/>
      <c r="R326" s="9"/>
      <c r="T326" s="1"/>
    </row>
    <row r="327" spans="5:20" ht="15.75" customHeight="1" x14ac:dyDescent="0.3">
      <c r="E327" s="9"/>
      <c r="F327" s="9"/>
      <c r="H327" s="9"/>
      <c r="M327" s="9"/>
      <c r="N327" s="9"/>
      <c r="O327" s="9"/>
      <c r="P327" s="9"/>
      <c r="Q327" s="9"/>
      <c r="R327" s="9"/>
      <c r="T327" s="1"/>
    </row>
    <row r="328" spans="5:20" ht="15.75" customHeight="1" x14ac:dyDescent="0.3">
      <c r="E328" s="9"/>
      <c r="F328" s="9"/>
      <c r="H328" s="9"/>
      <c r="M328" s="9"/>
      <c r="N328" s="9"/>
      <c r="O328" s="9"/>
      <c r="P328" s="9"/>
      <c r="Q328" s="9"/>
      <c r="R328" s="9"/>
      <c r="T328" s="1"/>
    </row>
    <row r="329" spans="5:20" ht="15.75" customHeight="1" x14ac:dyDescent="0.3">
      <c r="E329" s="9"/>
      <c r="F329" s="9"/>
      <c r="H329" s="9"/>
      <c r="M329" s="9"/>
      <c r="N329" s="9"/>
      <c r="O329" s="9"/>
      <c r="P329" s="9"/>
      <c r="Q329" s="9"/>
      <c r="R329" s="9"/>
      <c r="T329" s="1"/>
    </row>
    <row r="330" spans="5:20" ht="15.75" customHeight="1" x14ac:dyDescent="0.3">
      <c r="E330" s="9"/>
      <c r="F330" s="9"/>
      <c r="H330" s="9"/>
      <c r="M330" s="9"/>
      <c r="N330" s="9"/>
      <c r="O330" s="9"/>
      <c r="P330" s="9"/>
      <c r="Q330" s="9"/>
      <c r="R330" s="9"/>
      <c r="T330" s="1"/>
    </row>
    <row r="331" spans="5:20" ht="15.75" customHeight="1" x14ac:dyDescent="0.3">
      <c r="E331" s="9"/>
      <c r="F331" s="9"/>
      <c r="H331" s="9"/>
      <c r="M331" s="9"/>
      <c r="N331" s="9"/>
      <c r="O331" s="9"/>
      <c r="P331" s="9"/>
      <c r="Q331" s="9"/>
      <c r="R331" s="9"/>
      <c r="T331" s="1"/>
    </row>
    <row r="332" spans="5:20" ht="15.75" customHeight="1" x14ac:dyDescent="0.3">
      <c r="E332" s="9"/>
      <c r="F332" s="9"/>
      <c r="H332" s="9"/>
      <c r="M332" s="9"/>
      <c r="N332" s="9"/>
      <c r="O332" s="9"/>
      <c r="P332" s="9"/>
      <c r="Q332" s="9"/>
      <c r="R332" s="9"/>
      <c r="T332" s="1"/>
    </row>
    <row r="333" spans="5:20" ht="15.75" customHeight="1" x14ac:dyDescent="0.3">
      <c r="E333" s="9"/>
      <c r="F333" s="9"/>
      <c r="H333" s="9"/>
      <c r="M333" s="9"/>
      <c r="N333" s="9"/>
      <c r="O333" s="9"/>
      <c r="P333" s="9"/>
      <c r="Q333" s="9"/>
      <c r="R333" s="9"/>
      <c r="T333" s="1"/>
    </row>
    <row r="334" spans="5:20" ht="15.75" customHeight="1" x14ac:dyDescent="0.3">
      <c r="E334" s="9"/>
      <c r="F334" s="9"/>
      <c r="H334" s="9"/>
      <c r="M334" s="9"/>
      <c r="N334" s="9"/>
      <c r="O334" s="9"/>
      <c r="P334" s="9"/>
      <c r="Q334" s="9"/>
      <c r="R334" s="9"/>
      <c r="T334" s="1"/>
    </row>
    <row r="335" spans="5:20" ht="15.75" customHeight="1" x14ac:dyDescent="0.3">
      <c r="E335" s="9"/>
      <c r="F335" s="9"/>
      <c r="H335" s="9"/>
      <c r="M335" s="9"/>
      <c r="N335" s="9"/>
      <c r="O335" s="9"/>
      <c r="P335" s="9"/>
      <c r="Q335" s="9"/>
      <c r="R335" s="9"/>
      <c r="T335" s="1"/>
    </row>
    <row r="336" spans="5:20" ht="15.75" customHeight="1" x14ac:dyDescent="0.3">
      <c r="E336" s="9"/>
      <c r="F336" s="9"/>
      <c r="H336" s="9"/>
      <c r="M336" s="9"/>
      <c r="N336" s="9"/>
      <c r="O336" s="9"/>
      <c r="P336" s="9"/>
      <c r="Q336" s="9"/>
      <c r="R336" s="9"/>
      <c r="T336" s="1"/>
    </row>
    <row r="337" spans="5:20" ht="15.75" customHeight="1" x14ac:dyDescent="0.3">
      <c r="E337" s="9"/>
      <c r="F337" s="9"/>
      <c r="H337" s="9"/>
      <c r="M337" s="9"/>
      <c r="N337" s="9"/>
      <c r="O337" s="9"/>
      <c r="P337" s="9"/>
      <c r="Q337" s="9"/>
      <c r="R337" s="9"/>
      <c r="T337" s="1"/>
    </row>
    <row r="338" spans="5:20" ht="15.75" customHeight="1" x14ac:dyDescent="0.3">
      <c r="E338" s="9"/>
      <c r="F338" s="9"/>
      <c r="H338" s="9"/>
      <c r="M338" s="9"/>
      <c r="N338" s="9"/>
      <c r="O338" s="9"/>
      <c r="P338" s="9"/>
      <c r="Q338" s="9"/>
      <c r="R338" s="9"/>
      <c r="T338" s="1"/>
    </row>
    <row r="339" spans="5:20" ht="15.75" customHeight="1" x14ac:dyDescent="0.3">
      <c r="E339" s="9"/>
      <c r="F339" s="9"/>
      <c r="H339" s="9"/>
      <c r="M339" s="9"/>
      <c r="N339" s="9"/>
      <c r="O339" s="9"/>
      <c r="P339" s="9"/>
      <c r="Q339" s="9"/>
      <c r="R339" s="9"/>
      <c r="T339" s="1"/>
    </row>
    <row r="340" spans="5:20" ht="15.75" customHeight="1" x14ac:dyDescent="0.3">
      <c r="E340" s="9"/>
      <c r="F340" s="9"/>
      <c r="H340" s="9"/>
      <c r="M340" s="9"/>
      <c r="N340" s="9"/>
      <c r="O340" s="9"/>
      <c r="P340" s="9"/>
      <c r="Q340" s="9"/>
      <c r="R340" s="9"/>
      <c r="T340" s="1"/>
    </row>
    <row r="341" spans="5:20" ht="15.75" customHeight="1" x14ac:dyDescent="0.3">
      <c r="E341" s="9"/>
      <c r="F341" s="9"/>
      <c r="H341" s="9"/>
      <c r="M341" s="9"/>
      <c r="N341" s="9"/>
      <c r="O341" s="9"/>
      <c r="P341" s="9"/>
      <c r="Q341" s="9"/>
      <c r="R341" s="9"/>
      <c r="T341" s="1"/>
    </row>
    <row r="342" spans="5:20" ht="15.75" customHeight="1" x14ac:dyDescent="0.3">
      <c r="E342" s="9"/>
      <c r="F342" s="9"/>
      <c r="H342" s="9"/>
      <c r="M342" s="9"/>
      <c r="N342" s="9"/>
      <c r="O342" s="9"/>
      <c r="P342" s="9"/>
      <c r="Q342" s="9"/>
      <c r="R342" s="9"/>
      <c r="T342" s="1"/>
    </row>
    <row r="343" spans="5:20" ht="15.75" customHeight="1" x14ac:dyDescent="0.3">
      <c r="E343" s="9"/>
      <c r="F343" s="9"/>
      <c r="H343" s="9"/>
      <c r="M343" s="9"/>
      <c r="N343" s="9"/>
      <c r="O343" s="9"/>
      <c r="P343" s="9"/>
      <c r="Q343" s="9"/>
      <c r="R343" s="9"/>
      <c r="T343" s="1"/>
    </row>
    <row r="344" spans="5:20" ht="15.75" customHeight="1" x14ac:dyDescent="0.3">
      <c r="E344" s="9"/>
      <c r="F344" s="9"/>
      <c r="H344" s="9"/>
      <c r="M344" s="9"/>
      <c r="N344" s="9"/>
      <c r="O344" s="9"/>
      <c r="P344" s="9"/>
      <c r="Q344" s="9"/>
      <c r="R344" s="9"/>
      <c r="T344" s="1"/>
    </row>
    <row r="345" spans="5:20" ht="15.75" customHeight="1" x14ac:dyDescent="0.3">
      <c r="E345" s="9"/>
      <c r="F345" s="9"/>
      <c r="H345" s="9"/>
      <c r="M345" s="9"/>
      <c r="N345" s="9"/>
      <c r="O345" s="9"/>
      <c r="P345" s="9"/>
      <c r="Q345" s="9"/>
      <c r="R345" s="9"/>
      <c r="T345" s="1"/>
    </row>
    <row r="346" spans="5:20" ht="15.75" customHeight="1" x14ac:dyDescent="0.3">
      <c r="E346" s="9"/>
      <c r="F346" s="9"/>
      <c r="H346" s="9"/>
      <c r="M346" s="9"/>
      <c r="N346" s="9"/>
      <c r="O346" s="9"/>
      <c r="P346" s="9"/>
      <c r="Q346" s="9"/>
      <c r="R346" s="9"/>
      <c r="T346" s="1"/>
    </row>
    <row r="347" spans="5:20" ht="15.75" customHeight="1" x14ac:dyDescent="0.3">
      <c r="E347" s="9"/>
      <c r="F347" s="9"/>
      <c r="H347" s="9"/>
      <c r="M347" s="9"/>
      <c r="N347" s="9"/>
      <c r="O347" s="9"/>
      <c r="P347" s="9"/>
      <c r="Q347" s="9"/>
      <c r="R347" s="9"/>
      <c r="T347" s="1"/>
    </row>
    <row r="348" spans="5:20" ht="15.75" customHeight="1" x14ac:dyDescent="0.3">
      <c r="E348" s="9"/>
      <c r="F348" s="9"/>
      <c r="H348" s="9"/>
      <c r="M348" s="9"/>
      <c r="N348" s="9"/>
      <c r="O348" s="9"/>
      <c r="P348" s="9"/>
      <c r="Q348" s="9"/>
      <c r="R348" s="9"/>
      <c r="T348" s="1"/>
    </row>
    <row r="349" spans="5:20" ht="15.75" customHeight="1" x14ac:dyDescent="0.3">
      <c r="E349" s="9"/>
      <c r="F349" s="9"/>
      <c r="H349" s="9"/>
      <c r="M349" s="9"/>
      <c r="N349" s="9"/>
      <c r="O349" s="9"/>
      <c r="P349" s="9"/>
      <c r="Q349" s="9"/>
      <c r="R349" s="9"/>
      <c r="T349" s="1"/>
    </row>
    <row r="350" spans="5:20" ht="15.75" customHeight="1" x14ac:dyDescent="0.3">
      <c r="E350" s="9"/>
      <c r="F350" s="9"/>
      <c r="H350" s="9"/>
      <c r="M350" s="9"/>
      <c r="N350" s="9"/>
      <c r="O350" s="9"/>
      <c r="P350" s="9"/>
      <c r="Q350" s="9"/>
      <c r="R350" s="9"/>
      <c r="T350" s="1"/>
    </row>
    <row r="351" spans="5:20" ht="15.75" customHeight="1" x14ac:dyDescent="0.3">
      <c r="E351" s="9"/>
      <c r="F351" s="9"/>
      <c r="H351" s="9"/>
      <c r="M351" s="9"/>
      <c r="N351" s="9"/>
      <c r="O351" s="9"/>
      <c r="P351" s="9"/>
      <c r="Q351" s="9"/>
      <c r="R351" s="9"/>
      <c r="T351" s="1"/>
    </row>
    <row r="352" spans="5:20" ht="15.75" customHeight="1" x14ac:dyDescent="0.3">
      <c r="E352" s="9"/>
      <c r="F352" s="9"/>
      <c r="H352" s="9"/>
      <c r="M352" s="9"/>
      <c r="N352" s="9"/>
      <c r="O352" s="9"/>
      <c r="P352" s="9"/>
      <c r="Q352" s="9"/>
      <c r="R352" s="9"/>
      <c r="T352" s="1"/>
    </row>
    <row r="353" spans="5:20" ht="15.75" customHeight="1" x14ac:dyDescent="0.3">
      <c r="E353" s="9"/>
      <c r="F353" s="9"/>
      <c r="H353" s="9"/>
      <c r="M353" s="9"/>
      <c r="N353" s="9"/>
      <c r="O353" s="9"/>
      <c r="P353" s="9"/>
      <c r="Q353" s="9"/>
      <c r="R353" s="9"/>
      <c r="T353" s="1"/>
    </row>
    <row r="354" spans="5:20" ht="15.75" customHeight="1" x14ac:dyDescent="0.3">
      <c r="E354" s="9"/>
      <c r="F354" s="9"/>
      <c r="H354" s="9"/>
      <c r="M354" s="9"/>
      <c r="N354" s="9"/>
      <c r="O354" s="9"/>
      <c r="P354" s="9"/>
      <c r="Q354" s="9"/>
      <c r="R354" s="9"/>
      <c r="T354" s="1"/>
    </row>
    <row r="355" spans="5:20" ht="15.75" customHeight="1" x14ac:dyDescent="0.3">
      <c r="E355" s="9"/>
      <c r="F355" s="9"/>
      <c r="H355" s="9"/>
      <c r="M355" s="9"/>
      <c r="N355" s="9"/>
      <c r="O355" s="9"/>
      <c r="P355" s="9"/>
      <c r="Q355" s="9"/>
      <c r="R355" s="9"/>
      <c r="T355" s="1"/>
    </row>
    <row r="356" spans="5:20" ht="15.75" customHeight="1" x14ac:dyDescent="0.3">
      <c r="E356" s="9"/>
      <c r="F356" s="9"/>
      <c r="H356" s="9"/>
      <c r="M356" s="9"/>
      <c r="N356" s="9"/>
      <c r="O356" s="9"/>
      <c r="P356" s="9"/>
      <c r="Q356" s="9"/>
      <c r="R356" s="9"/>
      <c r="T356" s="1"/>
    </row>
    <row r="357" spans="5:20" ht="15.75" customHeight="1" x14ac:dyDescent="0.3">
      <c r="E357" s="9"/>
      <c r="F357" s="9"/>
      <c r="H357" s="9"/>
      <c r="M357" s="9"/>
      <c r="N357" s="9"/>
      <c r="O357" s="9"/>
      <c r="P357" s="9"/>
      <c r="Q357" s="9"/>
      <c r="R357" s="9"/>
      <c r="T357" s="1"/>
    </row>
    <row r="358" spans="5:20" ht="15.75" customHeight="1" x14ac:dyDescent="0.3">
      <c r="E358" s="9"/>
      <c r="F358" s="9"/>
      <c r="H358" s="9"/>
      <c r="M358" s="9"/>
      <c r="N358" s="9"/>
      <c r="O358" s="9"/>
      <c r="P358" s="9"/>
      <c r="Q358" s="9"/>
      <c r="R358" s="9"/>
      <c r="T358" s="1"/>
    </row>
    <row r="359" spans="5:20" ht="15.75" customHeight="1" x14ac:dyDescent="0.3">
      <c r="E359" s="9"/>
      <c r="F359" s="9"/>
      <c r="H359" s="9"/>
      <c r="M359" s="9"/>
      <c r="N359" s="9"/>
      <c r="O359" s="9"/>
      <c r="P359" s="9"/>
      <c r="Q359" s="9"/>
      <c r="R359" s="9"/>
      <c r="T359" s="1"/>
    </row>
    <row r="360" spans="5:20" ht="15.75" customHeight="1" x14ac:dyDescent="0.3">
      <c r="E360" s="9"/>
      <c r="F360" s="9"/>
      <c r="H360" s="9"/>
      <c r="M360" s="9"/>
      <c r="N360" s="9"/>
      <c r="O360" s="9"/>
      <c r="P360" s="9"/>
      <c r="Q360" s="9"/>
      <c r="R360" s="9"/>
      <c r="T360" s="1"/>
    </row>
    <row r="361" spans="5:20" ht="15.75" customHeight="1" x14ac:dyDescent="0.3">
      <c r="E361" s="9"/>
      <c r="F361" s="9"/>
      <c r="H361" s="9"/>
      <c r="M361" s="9"/>
      <c r="N361" s="9"/>
      <c r="O361" s="9"/>
      <c r="P361" s="9"/>
      <c r="Q361" s="9"/>
      <c r="R361" s="9"/>
      <c r="T361" s="1"/>
    </row>
    <row r="362" spans="5:20" ht="15.75" customHeight="1" x14ac:dyDescent="0.3">
      <c r="E362" s="9"/>
      <c r="F362" s="9"/>
      <c r="H362" s="9"/>
      <c r="M362" s="9"/>
      <c r="N362" s="9"/>
      <c r="O362" s="9"/>
      <c r="P362" s="9"/>
      <c r="Q362" s="9"/>
      <c r="R362" s="9"/>
      <c r="T362" s="1"/>
    </row>
    <row r="363" spans="5:20" ht="15.75" customHeight="1" x14ac:dyDescent="0.3">
      <c r="E363" s="9"/>
      <c r="F363" s="9"/>
      <c r="H363" s="9"/>
      <c r="M363" s="9"/>
      <c r="N363" s="9"/>
      <c r="O363" s="9"/>
      <c r="P363" s="9"/>
      <c r="Q363" s="9"/>
      <c r="R363" s="9"/>
      <c r="T363" s="1"/>
    </row>
    <row r="364" spans="5:20" ht="15.75" customHeight="1" x14ac:dyDescent="0.3">
      <c r="E364" s="9"/>
      <c r="F364" s="9"/>
      <c r="H364" s="9"/>
      <c r="M364" s="9"/>
      <c r="N364" s="9"/>
      <c r="O364" s="9"/>
      <c r="P364" s="9"/>
      <c r="Q364" s="9"/>
      <c r="R364" s="9"/>
      <c r="T364" s="1"/>
    </row>
    <row r="365" spans="5:20" ht="15.75" customHeight="1" x14ac:dyDescent="0.3">
      <c r="E365" s="9"/>
      <c r="F365" s="9"/>
      <c r="H365" s="9"/>
      <c r="M365" s="9"/>
      <c r="N365" s="9"/>
      <c r="O365" s="9"/>
      <c r="P365" s="9"/>
      <c r="Q365" s="9"/>
      <c r="R365" s="9"/>
      <c r="T365" s="1"/>
    </row>
    <row r="366" spans="5:20" ht="15.75" customHeight="1" x14ac:dyDescent="0.3">
      <c r="E366" s="9"/>
      <c r="F366" s="9"/>
      <c r="H366" s="9"/>
      <c r="M366" s="9"/>
      <c r="N366" s="9"/>
      <c r="O366" s="9"/>
      <c r="P366" s="9"/>
      <c r="Q366" s="9"/>
      <c r="R366" s="9"/>
      <c r="T366" s="1"/>
    </row>
    <row r="367" spans="5:20" ht="15.75" customHeight="1" x14ac:dyDescent="0.3">
      <c r="E367" s="9"/>
      <c r="F367" s="9"/>
      <c r="H367" s="9"/>
      <c r="M367" s="9"/>
      <c r="N367" s="9"/>
      <c r="O367" s="9"/>
      <c r="P367" s="9"/>
      <c r="Q367" s="9"/>
      <c r="R367" s="9"/>
      <c r="T367" s="1"/>
    </row>
    <row r="368" spans="5:20" ht="15.75" customHeight="1" x14ac:dyDescent="0.3">
      <c r="E368" s="9"/>
      <c r="F368" s="9"/>
      <c r="H368" s="9"/>
      <c r="M368" s="9"/>
      <c r="N368" s="9"/>
      <c r="O368" s="9"/>
      <c r="P368" s="9"/>
      <c r="Q368" s="9"/>
      <c r="R368" s="9"/>
      <c r="T368" s="1"/>
    </row>
    <row r="369" spans="5:20" ht="15.75" customHeight="1" x14ac:dyDescent="0.3">
      <c r="E369" s="9"/>
      <c r="F369" s="9"/>
      <c r="H369" s="9"/>
      <c r="M369" s="9"/>
      <c r="N369" s="9"/>
      <c r="O369" s="9"/>
      <c r="P369" s="9"/>
      <c r="Q369" s="9"/>
      <c r="R369" s="9"/>
      <c r="T369" s="1"/>
    </row>
    <row r="370" spans="5:20" ht="15.75" customHeight="1" x14ac:dyDescent="0.3">
      <c r="E370" s="9"/>
      <c r="F370" s="9"/>
      <c r="H370" s="9"/>
      <c r="M370" s="9"/>
      <c r="N370" s="9"/>
      <c r="O370" s="9"/>
      <c r="P370" s="9"/>
      <c r="Q370" s="9"/>
      <c r="R370" s="9"/>
      <c r="T370" s="1"/>
    </row>
    <row r="371" spans="5:20" ht="15.75" customHeight="1" x14ac:dyDescent="0.3">
      <c r="E371" s="9"/>
      <c r="F371" s="9"/>
      <c r="H371" s="9"/>
      <c r="M371" s="9"/>
      <c r="N371" s="9"/>
      <c r="O371" s="9"/>
      <c r="P371" s="9"/>
      <c r="Q371" s="9"/>
      <c r="R371" s="9"/>
      <c r="T371" s="1"/>
    </row>
    <row r="372" spans="5:20" ht="15.75" customHeight="1" x14ac:dyDescent="0.3">
      <c r="E372" s="9"/>
      <c r="F372" s="9"/>
      <c r="H372" s="9"/>
      <c r="M372" s="9"/>
      <c r="N372" s="9"/>
      <c r="O372" s="9"/>
      <c r="P372" s="9"/>
      <c r="Q372" s="9"/>
      <c r="R372" s="9"/>
      <c r="T372" s="1"/>
    </row>
    <row r="373" spans="5:20" ht="15.75" customHeight="1" x14ac:dyDescent="0.3">
      <c r="E373" s="9"/>
      <c r="F373" s="9"/>
      <c r="H373" s="9"/>
      <c r="M373" s="9"/>
      <c r="N373" s="9"/>
      <c r="O373" s="9"/>
      <c r="P373" s="9"/>
      <c r="Q373" s="9"/>
      <c r="R373" s="9"/>
      <c r="T373" s="1"/>
    </row>
    <row r="374" spans="5:20" ht="15.75" customHeight="1" x14ac:dyDescent="0.3">
      <c r="E374" s="9"/>
      <c r="F374" s="9"/>
      <c r="H374" s="9"/>
      <c r="M374" s="9"/>
      <c r="N374" s="9"/>
      <c r="O374" s="9"/>
      <c r="P374" s="9"/>
      <c r="Q374" s="9"/>
      <c r="R374" s="9"/>
      <c r="T374" s="1"/>
    </row>
    <row r="375" spans="5:20" ht="15.75" customHeight="1" x14ac:dyDescent="0.3">
      <c r="E375" s="9"/>
      <c r="F375" s="9"/>
      <c r="H375" s="9"/>
      <c r="M375" s="9"/>
      <c r="N375" s="9"/>
      <c r="O375" s="9"/>
      <c r="P375" s="9"/>
      <c r="Q375" s="9"/>
      <c r="R375" s="9"/>
      <c r="T375" s="1"/>
    </row>
    <row r="376" spans="5:20" ht="15.75" customHeight="1" x14ac:dyDescent="0.3">
      <c r="E376" s="9"/>
      <c r="F376" s="9"/>
      <c r="H376" s="9"/>
      <c r="M376" s="9"/>
      <c r="N376" s="9"/>
      <c r="O376" s="9"/>
      <c r="P376" s="9"/>
      <c r="Q376" s="9"/>
      <c r="R376" s="9"/>
      <c r="T376" s="1"/>
    </row>
    <row r="377" spans="5:20" ht="15.75" customHeight="1" x14ac:dyDescent="0.3">
      <c r="E377" s="9"/>
      <c r="F377" s="9"/>
      <c r="H377" s="9"/>
      <c r="M377" s="9"/>
      <c r="N377" s="9"/>
      <c r="O377" s="9"/>
      <c r="P377" s="9"/>
      <c r="Q377" s="9"/>
      <c r="R377" s="9"/>
      <c r="T377" s="1"/>
    </row>
    <row r="378" spans="5:20" ht="15.75" customHeight="1" x14ac:dyDescent="0.3">
      <c r="E378" s="9"/>
      <c r="F378" s="9"/>
      <c r="H378" s="9"/>
      <c r="M378" s="9"/>
      <c r="N378" s="9"/>
      <c r="O378" s="9"/>
      <c r="P378" s="9"/>
      <c r="Q378" s="9"/>
      <c r="R378" s="9"/>
      <c r="T378" s="1"/>
    </row>
    <row r="379" spans="5:20" ht="15.75" customHeight="1" x14ac:dyDescent="0.3">
      <c r="E379" s="9"/>
      <c r="F379" s="9"/>
      <c r="H379" s="9"/>
      <c r="M379" s="9"/>
      <c r="N379" s="9"/>
      <c r="O379" s="9"/>
      <c r="P379" s="9"/>
      <c r="Q379" s="9"/>
      <c r="R379" s="9"/>
      <c r="T379" s="1"/>
    </row>
    <row r="380" spans="5:20" ht="15.75" customHeight="1" x14ac:dyDescent="0.3">
      <c r="E380" s="9"/>
      <c r="F380" s="9"/>
      <c r="H380" s="9"/>
      <c r="M380" s="9"/>
      <c r="N380" s="9"/>
      <c r="O380" s="9"/>
      <c r="P380" s="9"/>
      <c r="Q380" s="9"/>
      <c r="R380" s="9"/>
      <c r="T380" s="1"/>
    </row>
    <row r="381" spans="5:20" ht="15.75" customHeight="1" x14ac:dyDescent="0.3">
      <c r="E381" s="9"/>
      <c r="F381" s="9"/>
      <c r="H381" s="9"/>
      <c r="M381" s="9"/>
      <c r="N381" s="9"/>
      <c r="O381" s="9"/>
      <c r="P381" s="9"/>
      <c r="Q381" s="9"/>
      <c r="R381" s="9"/>
      <c r="T381" s="1"/>
    </row>
    <row r="382" spans="5:20" ht="15.75" customHeight="1" x14ac:dyDescent="0.3">
      <c r="E382" s="9"/>
      <c r="F382" s="9"/>
      <c r="H382" s="9"/>
      <c r="M382" s="9"/>
      <c r="N382" s="9"/>
      <c r="O382" s="9"/>
      <c r="P382" s="9"/>
      <c r="Q382" s="9"/>
      <c r="R382" s="9"/>
      <c r="T382" s="1"/>
    </row>
    <row r="383" spans="5:20" ht="15.75" customHeight="1" x14ac:dyDescent="0.3">
      <c r="E383" s="9"/>
      <c r="F383" s="9"/>
      <c r="H383" s="9"/>
      <c r="M383" s="9"/>
      <c r="N383" s="9"/>
      <c r="O383" s="9"/>
      <c r="P383" s="9"/>
      <c r="Q383" s="9"/>
      <c r="R383" s="9"/>
      <c r="T383" s="1"/>
    </row>
    <row r="384" spans="5:20" ht="15.75" customHeight="1" x14ac:dyDescent="0.3">
      <c r="E384" s="9"/>
      <c r="F384" s="9"/>
      <c r="H384" s="9"/>
      <c r="M384" s="9"/>
      <c r="N384" s="9"/>
      <c r="O384" s="9"/>
      <c r="P384" s="9"/>
      <c r="Q384" s="9"/>
      <c r="R384" s="9"/>
      <c r="T384" s="1"/>
    </row>
    <row r="385" spans="5:20" ht="15.75" customHeight="1" x14ac:dyDescent="0.3">
      <c r="E385" s="9"/>
      <c r="F385" s="9"/>
      <c r="H385" s="9"/>
      <c r="M385" s="9"/>
      <c r="N385" s="9"/>
      <c r="O385" s="9"/>
      <c r="P385" s="9"/>
      <c r="Q385" s="9"/>
      <c r="R385" s="9"/>
      <c r="T385" s="1"/>
    </row>
    <row r="386" spans="5:20" ht="15.75" customHeight="1" x14ac:dyDescent="0.3">
      <c r="E386" s="9"/>
      <c r="F386" s="9"/>
      <c r="H386" s="9"/>
      <c r="M386" s="9"/>
      <c r="N386" s="9"/>
      <c r="O386" s="9"/>
      <c r="P386" s="9"/>
      <c r="Q386" s="9"/>
      <c r="R386" s="9"/>
      <c r="T386" s="1"/>
    </row>
    <row r="387" spans="5:20" ht="15.75" customHeight="1" x14ac:dyDescent="0.3">
      <c r="E387" s="9"/>
      <c r="F387" s="9"/>
      <c r="H387" s="9"/>
      <c r="M387" s="9"/>
      <c r="N387" s="9"/>
      <c r="O387" s="9"/>
      <c r="P387" s="9"/>
      <c r="Q387" s="9"/>
      <c r="R387" s="9"/>
      <c r="T387" s="1"/>
    </row>
    <row r="388" spans="5:20" ht="15.75" customHeight="1" x14ac:dyDescent="0.3">
      <c r="E388" s="9"/>
      <c r="F388" s="9"/>
      <c r="H388" s="9"/>
      <c r="M388" s="9"/>
      <c r="N388" s="9"/>
      <c r="O388" s="9"/>
      <c r="P388" s="9"/>
      <c r="Q388" s="9"/>
      <c r="R388" s="9"/>
      <c r="T388" s="1"/>
    </row>
    <row r="389" spans="5:20" ht="15.75" customHeight="1" x14ac:dyDescent="0.3">
      <c r="E389" s="9"/>
      <c r="F389" s="9"/>
      <c r="H389" s="9"/>
      <c r="M389" s="9"/>
      <c r="N389" s="9"/>
      <c r="O389" s="9"/>
      <c r="P389" s="9"/>
      <c r="Q389" s="9"/>
      <c r="R389" s="9"/>
      <c r="T389" s="1"/>
    </row>
    <row r="390" spans="5:20" ht="15.75" customHeight="1" x14ac:dyDescent="0.3">
      <c r="E390" s="9"/>
      <c r="F390" s="9"/>
      <c r="H390" s="9"/>
      <c r="M390" s="9"/>
      <c r="N390" s="9"/>
      <c r="O390" s="9"/>
      <c r="P390" s="9"/>
      <c r="Q390" s="9"/>
      <c r="R390" s="9"/>
      <c r="T390" s="1"/>
    </row>
    <row r="391" spans="5:20" ht="15.75" customHeight="1" x14ac:dyDescent="0.3">
      <c r="E391" s="9"/>
      <c r="F391" s="9"/>
      <c r="H391" s="9"/>
      <c r="M391" s="9"/>
      <c r="N391" s="9"/>
      <c r="O391" s="9"/>
      <c r="P391" s="9"/>
      <c r="Q391" s="9"/>
      <c r="R391" s="9"/>
      <c r="T391" s="1"/>
    </row>
    <row r="392" spans="5:20" ht="15.75" customHeight="1" x14ac:dyDescent="0.3">
      <c r="E392" s="9"/>
      <c r="F392" s="9"/>
      <c r="H392" s="9"/>
      <c r="M392" s="9"/>
      <c r="N392" s="9"/>
      <c r="O392" s="9"/>
      <c r="P392" s="9"/>
      <c r="Q392" s="9"/>
      <c r="R392" s="9"/>
      <c r="T392" s="1"/>
    </row>
    <row r="393" spans="5:20" ht="15.75" customHeight="1" x14ac:dyDescent="0.3">
      <c r="E393" s="9"/>
      <c r="F393" s="9"/>
      <c r="H393" s="9"/>
      <c r="M393" s="9"/>
      <c r="N393" s="9"/>
      <c r="O393" s="9"/>
      <c r="P393" s="9"/>
      <c r="Q393" s="9"/>
      <c r="R393" s="9"/>
      <c r="T393" s="1"/>
    </row>
    <row r="394" spans="5:20" ht="15.75" customHeight="1" x14ac:dyDescent="0.3">
      <c r="E394" s="9"/>
      <c r="F394" s="9"/>
      <c r="H394" s="9"/>
      <c r="M394" s="9"/>
      <c r="N394" s="9"/>
      <c r="O394" s="9"/>
      <c r="P394" s="9"/>
      <c r="Q394" s="9"/>
      <c r="R394" s="9"/>
      <c r="T394" s="1"/>
    </row>
    <row r="395" spans="5:20" ht="15.75" customHeight="1" x14ac:dyDescent="0.3">
      <c r="E395" s="9"/>
      <c r="F395" s="9"/>
      <c r="H395" s="9"/>
      <c r="M395" s="9"/>
      <c r="N395" s="9"/>
      <c r="O395" s="9"/>
      <c r="P395" s="9"/>
      <c r="Q395" s="9"/>
      <c r="R395" s="9"/>
      <c r="T395" s="1"/>
    </row>
    <row r="396" spans="5:20" ht="15.75" customHeight="1" x14ac:dyDescent="0.3">
      <c r="E396" s="9"/>
      <c r="F396" s="9"/>
      <c r="H396" s="9"/>
      <c r="M396" s="9"/>
      <c r="N396" s="9"/>
      <c r="O396" s="9"/>
      <c r="P396" s="9"/>
      <c r="Q396" s="9"/>
      <c r="R396" s="9"/>
      <c r="T396" s="1"/>
    </row>
    <row r="397" spans="5:20" ht="15.75" customHeight="1" x14ac:dyDescent="0.3">
      <c r="E397" s="9"/>
      <c r="F397" s="9"/>
      <c r="H397" s="9"/>
      <c r="M397" s="9"/>
      <c r="N397" s="9"/>
      <c r="O397" s="9"/>
      <c r="P397" s="9"/>
      <c r="Q397" s="9"/>
      <c r="R397" s="9"/>
      <c r="T397" s="1"/>
    </row>
    <row r="398" spans="5:20" ht="15.75" customHeight="1" x14ac:dyDescent="0.3">
      <c r="E398" s="9"/>
      <c r="F398" s="9"/>
      <c r="H398" s="9"/>
      <c r="M398" s="9"/>
      <c r="N398" s="9"/>
      <c r="O398" s="9"/>
      <c r="P398" s="9"/>
      <c r="Q398" s="9"/>
      <c r="R398" s="9"/>
      <c r="T398" s="1"/>
    </row>
    <row r="399" spans="5:20" ht="15.75" customHeight="1" x14ac:dyDescent="0.3">
      <c r="E399" s="9"/>
      <c r="F399" s="9"/>
      <c r="H399" s="9"/>
      <c r="M399" s="9"/>
      <c r="N399" s="9"/>
      <c r="O399" s="9"/>
      <c r="P399" s="9"/>
      <c r="Q399" s="9"/>
      <c r="R399" s="9"/>
      <c r="T399" s="1"/>
    </row>
    <row r="400" spans="5:20" ht="15.75" customHeight="1" x14ac:dyDescent="0.3">
      <c r="E400" s="9"/>
      <c r="F400" s="9"/>
      <c r="H400" s="9"/>
      <c r="M400" s="9"/>
      <c r="N400" s="9"/>
      <c r="O400" s="9"/>
      <c r="P400" s="9"/>
      <c r="Q400" s="9"/>
      <c r="R400" s="9"/>
      <c r="T400" s="1"/>
    </row>
    <row r="401" spans="5:20" ht="15.75" customHeight="1" x14ac:dyDescent="0.3">
      <c r="E401" s="9"/>
      <c r="F401" s="9"/>
      <c r="H401" s="9"/>
      <c r="M401" s="9"/>
      <c r="N401" s="9"/>
      <c r="O401" s="9"/>
      <c r="P401" s="9"/>
      <c r="Q401" s="9"/>
      <c r="R401" s="9"/>
      <c r="T401" s="1"/>
    </row>
    <row r="402" spans="5:20" ht="15.75" customHeight="1" x14ac:dyDescent="0.3">
      <c r="E402" s="9"/>
      <c r="F402" s="9"/>
      <c r="H402" s="9"/>
      <c r="M402" s="9"/>
      <c r="N402" s="9"/>
      <c r="O402" s="9"/>
      <c r="P402" s="9"/>
      <c r="Q402" s="9"/>
      <c r="R402" s="9"/>
      <c r="T402" s="1"/>
    </row>
    <row r="403" spans="5:20" ht="15.75" customHeight="1" x14ac:dyDescent="0.3">
      <c r="E403" s="9"/>
      <c r="F403" s="9"/>
      <c r="H403" s="9"/>
      <c r="M403" s="9"/>
      <c r="N403" s="9"/>
      <c r="O403" s="9"/>
      <c r="P403" s="9"/>
      <c r="Q403" s="9"/>
      <c r="R403" s="9"/>
      <c r="T403" s="1"/>
    </row>
    <row r="404" spans="5:20" ht="15.75" customHeight="1" x14ac:dyDescent="0.3">
      <c r="E404" s="9"/>
      <c r="F404" s="9"/>
      <c r="H404" s="9"/>
      <c r="M404" s="9"/>
      <c r="N404" s="9"/>
      <c r="O404" s="9"/>
      <c r="P404" s="9"/>
      <c r="Q404" s="9"/>
      <c r="R404" s="9"/>
      <c r="T404" s="1"/>
    </row>
    <row r="405" spans="5:20" ht="15.75" customHeight="1" x14ac:dyDescent="0.3">
      <c r="E405" s="9"/>
      <c r="F405" s="9"/>
      <c r="H405" s="9"/>
      <c r="M405" s="9"/>
      <c r="N405" s="9"/>
      <c r="O405" s="9"/>
      <c r="P405" s="9"/>
      <c r="Q405" s="9"/>
      <c r="R405" s="9"/>
      <c r="T405" s="1"/>
    </row>
    <row r="406" spans="5:20" ht="15.75" customHeight="1" x14ac:dyDescent="0.3">
      <c r="E406" s="9"/>
      <c r="F406" s="9"/>
      <c r="H406" s="9"/>
      <c r="M406" s="9"/>
      <c r="N406" s="9"/>
      <c r="O406" s="9"/>
      <c r="P406" s="9"/>
      <c r="Q406" s="9"/>
      <c r="R406" s="9"/>
      <c r="T406" s="1"/>
    </row>
    <row r="407" spans="5:20" ht="15.75" customHeight="1" x14ac:dyDescent="0.3">
      <c r="E407" s="9"/>
      <c r="F407" s="9"/>
      <c r="H407" s="9"/>
      <c r="M407" s="9"/>
      <c r="N407" s="9"/>
      <c r="O407" s="9"/>
      <c r="P407" s="9"/>
      <c r="Q407" s="9"/>
      <c r="R407" s="9"/>
      <c r="T407" s="1"/>
    </row>
    <row r="408" spans="5:20" ht="15.75" customHeight="1" x14ac:dyDescent="0.3">
      <c r="E408" s="9"/>
      <c r="F408" s="9"/>
      <c r="H408" s="9"/>
      <c r="M408" s="9"/>
      <c r="N408" s="9"/>
      <c r="O408" s="9"/>
      <c r="P408" s="9"/>
      <c r="Q408" s="9"/>
      <c r="R408" s="9"/>
      <c r="T408" s="1"/>
    </row>
    <row r="409" spans="5:20" ht="15.75" customHeight="1" x14ac:dyDescent="0.3">
      <c r="E409" s="9"/>
      <c r="F409" s="9"/>
      <c r="H409" s="9"/>
      <c r="M409" s="9"/>
      <c r="N409" s="9"/>
      <c r="O409" s="9"/>
      <c r="P409" s="9"/>
      <c r="Q409" s="9"/>
      <c r="R409" s="9"/>
      <c r="T409" s="1"/>
    </row>
    <row r="410" spans="5:20" ht="15.75" customHeight="1" x14ac:dyDescent="0.3">
      <c r="E410" s="9"/>
      <c r="F410" s="9"/>
      <c r="H410" s="9"/>
      <c r="M410" s="9"/>
      <c r="N410" s="9"/>
      <c r="O410" s="9"/>
      <c r="P410" s="9"/>
      <c r="Q410" s="9"/>
      <c r="R410" s="9"/>
      <c r="T410" s="1"/>
    </row>
    <row r="411" spans="5:20" ht="15.75" customHeight="1" x14ac:dyDescent="0.3">
      <c r="E411" s="9"/>
      <c r="F411" s="9"/>
      <c r="H411" s="9"/>
      <c r="M411" s="9"/>
      <c r="N411" s="9"/>
      <c r="O411" s="9"/>
      <c r="P411" s="9"/>
      <c r="Q411" s="9"/>
      <c r="R411" s="9"/>
      <c r="T411" s="1"/>
    </row>
    <row r="412" spans="5:20" ht="15.75" customHeight="1" x14ac:dyDescent="0.3">
      <c r="E412" s="9"/>
      <c r="F412" s="9"/>
      <c r="H412" s="9"/>
      <c r="M412" s="9"/>
      <c r="N412" s="9"/>
      <c r="O412" s="9"/>
      <c r="P412" s="9"/>
      <c r="Q412" s="9"/>
      <c r="R412" s="9"/>
      <c r="T412" s="1"/>
    </row>
    <row r="413" spans="5:20" ht="15.75" customHeight="1" x14ac:dyDescent="0.3">
      <c r="E413" s="9"/>
      <c r="F413" s="9"/>
      <c r="H413" s="9"/>
      <c r="M413" s="9"/>
      <c r="N413" s="9"/>
      <c r="O413" s="9"/>
      <c r="P413" s="9"/>
      <c r="Q413" s="9"/>
      <c r="R413" s="9"/>
      <c r="T413" s="1"/>
    </row>
    <row r="414" spans="5:20" ht="15.75" customHeight="1" x14ac:dyDescent="0.3">
      <c r="E414" s="9"/>
      <c r="F414" s="9"/>
      <c r="H414" s="9"/>
      <c r="M414" s="9"/>
      <c r="N414" s="9"/>
      <c r="O414" s="9"/>
      <c r="P414" s="9"/>
      <c r="Q414" s="9"/>
      <c r="R414" s="9"/>
      <c r="T414" s="1"/>
    </row>
    <row r="415" spans="5:20" ht="15.75" customHeight="1" x14ac:dyDescent="0.3">
      <c r="E415" s="9"/>
      <c r="F415" s="9"/>
      <c r="H415" s="9"/>
      <c r="M415" s="9"/>
      <c r="N415" s="9"/>
      <c r="O415" s="9"/>
      <c r="P415" s="9"/>
      <c r="Q415" s="9"/>
      <c r="R415" s="9"/>
      <c r="T415" s="1"/>
    </row>
    <row r="416" spans="5:20" ht="15.75" customHeight="1" x14ac:dyDescent="0.3">
      <c r="E416" s="9"/>
      <c r="F416" s="9"/>
      <c r="H416" s="9"/>
      <c r="M416" s="9"/>
      <c r="N416" s="9"/>
      <c r="O416" s="9"/>
      <c r="P416" s="9"/>
      <c r="Q416" s="9"/>
      <c r="R416" s="9"/>
      <c r="T416" s="1"/>
    </row>
    <row r="417" spans="5:20" ht="15.75" customHeight="1" x14ac:dyDescent="0.3">
      <c r="E417" s="9"/>
      <c r="F417" s="9"/>
      <c r="H417" s="9"/>
      <c r="M417" s="9"/>
      <c r="N417" s="9"/>
      <c r="O417" s="9"/>
      <c r="P417" s="9"/>
      <c r="Q417" s="9"/>
      <c r="R417" s="9"/>
      <c r="T417" s="1"/>
    </row>
    <row r="418" spans="5:20" ht="15.75" customHeight="1" x14ac:dyDescent="0.3">
      <c r="E418" s="9"/>
      <c r="F418" s="9"/>
      <c r="H418" s="9"/>
      <c r="M418" s="9"/>
      <c r="N418" s="9"/>
      <c r="O418" s="9"/>
      <c r="P418" s="9"/>
      <c r="Q418" s="9"/>
      <c r="R418" s="9"/>
      <c r="T418" s="1"/>
    </row>
    <row r="419" spans="5:20" ht="15.75" customHeight="1" x14ac:dyDescent="0.3">
      <c r="E419" s="9"/>
      <c r="F419" s="9"/>
      <c r="H419" s="9"/>
      <c r="M419" s="9"/>
      <c r="N419" s="9"/>
      <c r="O419" s="9"/>
      <c r="P419" s="9"/>
      <c r="Q419" s="9"/>
      <c r="R419" s="9"/>
      <c r="T419" s="1"/>
    </row>
    <row r="420" spans="5:20" ht="15.75" customHeight="1" x14ac:dyDescent="0.3">
      <c r="E420" s="9"/>
      <c r="F420" s="9"/>
      <c r="H420" s="9"/>
      <c r="M420" s="9"/>
      <c r="N420" s="9"/>
      <c r="O420" s="9"/>
      <c r="P420" s="9"/>
      <c r="Q420" s="9"/>
      <c r="R420" s="9"/>
      <c r="T420" s="1"/>
    </row>
    <row r="421" spans="5:20" ht="15.75" customHeight="1" x14ac:dyDescent="0.3">
      <c r="E421" s="9"/>
      <c r="F421" s="9"/>
      <c r="H421" s="9"/>
      <c r="M421" s="9"/>
      <c r="N421" s="9"/>
      <c r="O421" s="9"/>
      <c r="P421" s="9"/>
      <c r="Q421" s="9"/>
      <c r="R421" s="9"/>
      <c r="T421" s="1"/>
    </row>
    <row r="422" spans="5:20" ht="15.75" customHeight="1" x14ac:dyDescent="0.3">
      <c r="E422" s="9"/>
      <c r="F422" s="9"/>
      <c r="H422" s="9"/>
      <c r="M422" s="9"/>
      <c r="N422" s="9"/>
      <c r="O422" s="9"/>
      <c r="P422" s="9"/>
      <c r="Q422" s="9"/>
      <c r="R422" s="9"/>
      <c r="T422" s="1"/>
    </row>
    <row r="423" spans="5:20" ht="15.75" customHeight="1" x14ac:dyDescent="0.3">
      <c r="E423" s="9"/>
      <c r="F423" s="9"/>
      <c r="H423" s="9"/>
      <c r="M423" s="9"/>
      <c r="N423" s="9"/>
      <c r="O423" s="9"/>
      <c r="P423" s="9"/>
      <c r="Q423" s="9"/>
      <c r="R423" s="9"/>
      <c r="T423" s="1"/>
    </row>
    <row r="424" spans="5:20" ht="15.75" customHeight="1" x14ac:dyDescent="0.3">
      <c r="E424" s="9"/>
      <c r="F424" s="9"/>
      <c r="H424" s="9"/>
      <c r="M424" s="9"/>
      <c r="N424" s="9"/>
      <c r="O424" s="9"/>
      <c r="P424" s="9"/>
      <c r="Q424" s="9"/>
      <c r="R424" s="9"/>
      <c r="T424" s="1"/>
    </row>
    <row r="425" spans="5:20" ht="15.75" customHeight="1" x14ac:dyDescent="0.3">
      <c r="E425" s="9"/>
      <c r="F425" s="9"/>
      <c r="H425" s="9"/>
      <c r="M425" s="9"/>
      <c r="N425" s="9"/>
      <c r="O425" s="9"/>
      <c r="P425" s="9"/>
      <c r="Q425" s="9"/>
      <c r="R425" s="9"/>
      <c r="T425" s="1"/>
    </row>
    <row r="426" spans="5:20" ht="15.75" customHeight="1" x14ac:dyDescent="0.3">
      <c r="E426" s="9"/>
      <c r="F426" s="9"/>
      <c r="H426" s="9"/>
      <c r="M426" s="9"/>
      <c r="N426" s="9"/>
      <c r="O426" s="9"/>
      <c r="P426" s="9"/>
      <c r="Q426" s="9"/>
      <c r="R426" s="9"/>
      <c r="T426" s="1"/>
    </row>
    <row r="427" spans="5:20" ht="15.75" customHeight="1" x14ac:dyDescent="0.3">
      <c r="E427" s="9"/>
      <c r="F427" s="9"/>
      <c r="H427" s="9"/>
      <c r="M427" s="9"/>
      <c r="N427" s="9"/>
      <c r="O427" s="9"/>
      <c r="P427" s="9"/>
      <c r="Q427" s="9"/>
      <c r="R427" s="9"/>
      <c r="T427" s="1"/>
    </row>
    <row r="428" spans="5:20" ht="15.75" customHeight="1" x14ac:dyDescent="0.3">
      <c r="E428" s="9"/>
      <c r="F428" s="9"/>
      <c r="H428" s="9"/>
      <c r="M428" s="9"/>
      <c r="N428" s="9"/>
      <c r="O428" s="9"/>
      <c r="P428" s="9"/>
      <c r="Q428" s="9"/>
      <c r="R428" s="9"/>
      <c r="T428" s="1"/>
    </row>
    <row r="429" spans="5:20" ht="15.75" customHeight="1" x14ac:dyDescent="0.3">
      <c r="E429" s="9"/>
      <c r="F429" s="9"/>
      <c r="H429" s="9"/>
      <c r="M429" s="9"/>
      <c r="N429" s="9"/>
      <c r="O429" s="9"/>
      <c r="P429" s="9"/>
      <c r="Q429" s="9"/>
      <c r="R429" s="9"/>
      <c r="T429" s="1"/>
    </row>
    <row r="430" spans="5:20" ht="15.75" customHeight="1" x14ac:dyDescent="0.3">
      <c r="E430" s="9"/>
      <c r="F430" s="9"/>
      <c r="H430" s="9"/>
      <c r="M430" s="9"/>
      <c r="N430" s="9"/>
      <c r="O430" s="9"/>
      <c r="P430" s="9"/>
      <c r="Q430" s="9"/>
      <c r="R430" s="9"/>
      <c r="T430" s="1"/>
    </row>
    <row r="431" spans="5:20" ht="15.75" customHeight="1" x14ac:dyDescent="0.3">
      <c r="E431" s="9"/>
      <c r="F431" s="9"/>
      <c r="H431" s="9"/>
      <c r="M431" s="9"/>
      <c r="N431" s="9"/>
      <c r="O431" s="9"/>
      <c r="P431" s="9"/>
      <c r="Q431" s="9"/>
      <c r="R431" s="9"/>
      <c r="T431" s="1"/>
    </row>
    <row r="432" spans="5:20" ht="15.75" customHeight="1" x14ac:dyDescent="0.3">
      <c r="E432" s="9"/>
      <c r="F432" s="9"/>
      <c r="H432" s="9"/>
      <c r="M432" s="9"/>
      <c r="N432" s="9"/>
      <c r="O432" s="9"/>
      <c r="P432" s="9"/>
      <c r="Q432" s="9"/>
      <c r="R432" s="9"/>
      <c r="T432" s="1"/>
    </row>
    <row r="433" spans="5:20" ht="15.75" customHeight="1" x14ac:dyDescent="0.3">
      <c r="E433" s="9"/>
      <c r="F433" s="9"/>
      <c r="H433" s="9"/>
      <c r="M433" s="9"/>
      <c r="N433" s="9"/>
      <c r="O433" s="9"/>
      <c r="P433" s="9"/>
      <c r="Q433" s="9"/>
      <c r="R433" s="9"/>
      <c r="T433" s="1"/>
    </row>
    <row r="434" spans="5:20" ht="15.75" customHeight="1" x14ac:dyDescent="0.3">
      <c r="E434" s="9"/>
      <c r="F434" s="9"/>
      <c r="H434" s="9"/>
      <c r="M434" s="9"/>
      <c r="N434" s="9"/>
      <c r="O434" s="9"/>
      <c r="P434" s="9"/>
      <c r="Q434" s="9"/>
      <c r="R434" s="9"/>
      <c r="T434" s="1"/>
    </row>
    <row r="435" spans="5:20" ht="15.75" customHeight="1" x14ac:dyDescent="0.3">
      <c r="E435" s="9"/>
      <c r="F435" s="9"/>
      <c r="H435" s="9"/>
      <c r="M435" s="9"/>
      <c r="N435" s="9"/>
      <c r="O435" s="9"/>
      <c r="P435" s="9"/>
      <c r="Q435" s="9"/>
      <c r="R435" s="9"/>
      <c r="T435" s="1"/>
    </row>
    <row r="436" spans="5:20" ht="15.75" customHeight="1" x14ac:dyDescent="0.3">
      <c r="E436" s="9"/>
      <c r="F436" s="9"/>
      <c r="H436" s="9"/>
      <c r="M436" s="9"/>
      <c r="N436" s="9"/>
      <c r="O436" s="9"/>
      <c r="P436" s="9"/>
      <c r="Q436" s="9"/>
      <c r="R436" s="9"/>
      <c r="T436" s="1"/>
    </row>
    <row r="437" spans="5:20" ht="15.75" customHeight="1" x14ac:dyDescent="0.3">
      <c r="E437" s="9"/>
      <c r="F437" s="9"/>
      <c r="H437" s="9"/>
      <c r="M437" s="9"/>
      <c r="N437" s="9"/>
      <c r="O437" s="9"/>
      <c r="P437" s="9"/>
      <c r="Q437" s="9"/>
      <c r="R437" s="9"/>
      <c r="T437" s="1"/>
    </row>
    <row r="438" spans="5:20" ht="15.75" customHeight="1" x14ac:dyDescent="0.3">
      <c r="E438" s="9"/>
      <c r="F438" s="9"/>
      <c r="H438" s="9"/>
      <c r="M438" s="9"/>
      <c r="N438" s="9"/>
      <c r="O438" s="9"/>
      <c r="P438" s="9"/>
      <c r="Q438" s="9"/>
      <c r="R438" s="9"/>
      <c r="T438" s="1"/>
    </row>
    <row r="439" spans="5:20" ht="15.75" customHeight="1" x14ac:dyDescent="0.3">
      <c r="E439" s="9"/>
      <c r="F439" s="9"/>
      <c r="H439" s="9"/>
      <c r="M439" s="9"/>
      <c r="N439" s="9"/>
      <c r="O439" s="9"/>
      <c r="P439" s="9"/>
      <c r="Q439" s="9"/>
      <c r="R439" s="9"/>
      <c r="T439" s="1"/>
    </row>
    <row r="440" spans="5:20" ht="15.75" customHeight="1" x14ac:dyDescent="0.3">
      <c r="E440" s="9"/>
      <c r="F440" s="9"/>
      <c r="H440" s="9"/>
      <c r="M440" s="9"/>
      <c r="N440" s="9"/>
      <c r="O440" s="9"/>
      <c r="P440" s="9"/>
      <c r="Q440" s="9"/>
      <c r="R440" s="9"/>
      <c r="T440" s="1"/>
    </row>
    <row r="441" spans="5:20" ht="15.75" customHeight="1" x14ac:dyDescent="0.3">
      <c r="E441" s="9"/>
      <c r="F441" s="9"/>
      <c r="H441" s="9"/>
      <c r="M441" s="9"/>
      <c r="N441" s="9"/>
      <c r="O441" s="9"/>
      <c r="P441" s="9"/>
      <c r="Q441" s="9"/>
      <c r="R441" s="9"/>
      <c r="T441" s="1"/>
    </row>
    <row r="442" spans="5:20" ht="15.75" customHeight="1" x14ac:dyDescent="0.3">
      <c r="E442" s="9"/>
      <c r="F442" s="9"/>
      <c r="H442" s="9"/>
      <c r="M442" s="9"/>
      <c r="N442" s="9"/>
      <c r="O442" s="9"/>
      <c r="P442" s="9"/>
      <c r="Q442" s="9"/>
      <c r="R442" s="9"/>
      <c r="T442" s="1"/>
    </row>
    <row r="443" spans="5:20" ht="15.75" customHeight="1" x14ac:dyDescent="0.3">
      <c r="E443" s="9"/>
      <c r="F443" s="9"/>
      <c r="H443" s="9"/>
      <c r="M443" s="9"/>
      <c r="N443" s="9"/>
      <c r="O443" s="9"/>
      <c r="P443" s="9"/>
      <c r="Q443" s="9"/>
      <c r="R443" s="9"/>
      <c r="T443" s="1"/>
    </row>
    <row r="444" spans="5:20" ht="15.75" customHeight="1" x14ac:dyDescent="0.3">
      <c r="E444" s="9"/>
      <c r="F444" s="9"/>
      <c r="H444" s="9"/>
      <c r="M444" s="9"/>
      <c r="N444" s="9"/>
      <c r="O444" s="9"/>
      <c r="P444" s="9"/>
      <c r="Q444" s="9"/>
      <c r="R444" s="9"/>
      <c r="T444" s="1"/>
    </row>
    <row r="445" spans="5:20" ht="15.75" customHeight="1" x14ac:dyDescent="0.3">
      <c r="E445" s="9"/>
      <c r="F445" s="9"/>
      <c r="H445" s="9"/>
      <c r="M445" s="9"/>
      <c r="N445" s="9"/>
      <c r="O445" s="9"/>
      <c r="P445" s="9"/>
      <c r="Q445" s="9"/>
      <c r="R445" s="9"/>
      <c r="T445" s="1"/>
    </row>
    <row r="446" spans="5:20" ht="15.75" customHeight="1" x14ac:dyDescent="0.3">
      <c r="E446" s="9"/>
      <c r="F446" s="9"/>
      <c r="H446" s="9"/>
      <c r="M446" s="9"/>
      <c r="N446" s="9"/>
      <c r="O446" s="9"/>
      <c r="P446" s="9"/>
      <c r="Q446" s="9"/>
      <c r="R446" s="9"/>
      <c r="T446" s="1"/>
    </row>
    <row r="447" spans="5:20" ht="15.75" customHeight="1" x14ac:dyDescent="0.3">
      <c r="E447" s="9"/>
      <c r="F447" s="9"/>
      <c r="H447" s="9"/>
      <c r="M447" s="9"/>
      <c r="N447" s="9"/>
      <c r="O447" s="9"/>
      <c r="P447" s="9"/>
      <c r="Q447" s="9"/>
      <c r="R447" s="9"/>
      <c r="T447" s="1"/>
    </row>
    <row r="448" spans="5:20" ht="15.75" customHeight="1" x14ac:dyDescent="0.3">
      <c r="E448" s="9"/>
      <c r="F448" s="9"/>
      <c r="H448" s="9"/>
      <c r="M448" s="9"/>
      <c r="N448" s="9"/>
      <c r="O448" s="9"/>
      <c r="P448" s="9"/>
      <c r="Q448" s="9"/>
      <c r="R448" s="9"/>
      <c r="T448" s="1"/>
    </row>
    <row r="449" spans="5:20" ht="15.75" customHeight="1" x14ac:dyDescent="0.3">
      <c r="E449" s="9"/>
      <c r="F449" s="9"/>
      <c r="H449" s="9"/>
      <c r="M449" s="9"/>
      <c r="N449" s="9"/>
      <c r="O449" s="9"/>
      <c r="P449" s="9"/>
      <c r="Q449" s="9"/>
      <c r="R449" s="9"/>
      <c r="T449" s="1"/>
    </row>
    <row r="450" spans="5:20" ht="15.75" customHeight="1" x14ac:dyDescent="0.3">
      <c r="E450" s="9"/>
      <c r="F450" s="9"/>
      <c r="H450" s="9"/>
      <c r="M450" s="9"/>
      <c r="N450" s="9"/>
      <c r="O450" s="9"/>
      <c r="P450" s="9"/>
      <c r="Q450" s="9"/>
      <c r="R450" s="9"/>
      <c r="T450" s="1"/>
    </row>
    <row r="451" spans="5:20" ht="15.75" customHeight="1" x14ac:dyDescent="0.3">
      <c r="E451" s="9"/>
      <c r="F451" s="9"/>
      <c r="H451" s="9"/>
      <c r="M451" s="9"/>
      <c r="N451" s="9"/>
      <c r="O451" s="9"/>
      <c r="P451" s="9"/>
      <c r="Q451" s="9"/>
      <c r="R451" s="9"/>
      <c r="T451" s="1"/>
    </row>
    <row r="452" spans="5:20" ht="15.75" customHeight="1" x14ac:dyDescent="0.3">
      <c r="E452" s="9"/>
      <c r="F452" s="9"/>
      <c r="H452" s="9"/>
      <c r="M452" s="9"/>
      <c r="N452" s="9"/>
      <c r="O452" s="9"/>
      <c r="P452" s="9"/>
      <c r="Q452" s="9"/>
      <c r="R452" s="9"/>
      <c r="T452" s="1"/>
    </row>
    <row r="453" spans="5:20" ht="15.75" customHeight="1" x14ac:dyDescent="0.3">
      <c r="E453" s="9"/>
      <c r="F453" s="9"/>
      <c r="H453" s="9"/>
      <c r="M453" s="9"/>
      <c r="N453" s="9"/>
      <c r="O453" s="9"/>
      <c r="P453" s="9"/>
      <c r="Q453" s="9"/>
      <c r="R453" s="9"/>
      <c r="T453" s="1"/>
    </row>
    <row r="454" spans="5:20" ht="15.75" customHeight="1" x14ac:dyDescent="0.3">
      <c r="E454" s="9"/>
      <c r="F454" s="9"/>
      <c r="H454" s="9"/>
      <c r="M454" s="9"/>
      <c r="N454" s="9"/>
      <c r="O454" s="9"/>
      <c r="P454" s="9"/>
      <c r="Q454" s="9"/>
      <c r="R454" s="9"/>
      <c r="T454" s="1"/>
    </row>
    <row r="455" spans="5:20" ht="15.75" customHeight="1" x14ac:dyDescent="0.3">
      <c r="E455" s="9"/>
      <c r="F455" s="9"/>
      <c r="H455" s="9"/>
      <c r="M455" s="9"/>
      <c r="N455" s="9"/>
      <c r="O455" s="9"/>
      <c r="P455" s="9"/>
      <c r="Q455" s="9"/>
      <c r="R455" s="9"/>
      <c r="T455" s="1"/>
    </row>
    <row r="456" spans="5:20" ht="15.75" customHeight="1" x14ac:dyDescent="0.3">
      <c r="E456" s="9"/>
      <c r="F456" s="9"/>
      <c r="H456" s="9"/>
      <c r="M456" s="9"/>
      <c r="N456" s="9"/>
      <c r="O456" s="9"/>
      <c r="P456" s="9"/>
      <c r="Q456" s="9"/>
      <c r="R456" s="9"/>
      <c r="T456" s="1"/>
    </row>
    <row r="457" spans="5:20" ht="15.75" customHeight="1" x14ac:dyDescent="0.3">
      <c r="E457" s="9"/>
      <c r="F457" s="9"/>
      <c r="H457" s="9"/>
      <c r="M457" s="9"/>
      <c r="N457" s="9"/>
      <c r="O457" s="9"/>
      <c r="P457" s="9"/>
      <c r="Q457" s="9"/>
      <c r="R457" s="9"/>
      <c r="T457" s="1"/>
    </row>
    <row r="458" spans="5:20" ht="15.75" customHeight="1" x14ac:dyDescent="0.3">
      <c r="E458" s="9"/>
      <c r="F458" s="9"/>
      <c r="H458" s="9"/>
      <c r="M458" s="9"/>
      <c r="N458" s="9"/>
      <c r="O458" s="9"/>
      <c r="P458" s="9"/>
      <c r="Q458" s="9"/>
      <c r="R458" s="9"/>
      <c r="T458" s="1"/>
    </row>
    <row r="459" spans="5:20" ht="15.75" customHeight="1" x14ac:dyDescent="0.3">
      <c r="E459" s="9"/>
      <c r="F459" s="9"/>
      <c r="H459" s="9"/>
      <c r="M459" s="9"/>
      <c r="N459" s="9"/>
      <c r="O459" s="9"/>
      <c r="P459" s="9"/>
      <c r="Q459" s="9"/>
      <c r="R459" s="9"/>
      <c r="T459" s="1"/>
    </row>
    <row r="460" spans="5:20" ht="15.75" customHeight="1" x14ac:dyDescent="0.3">
      <c r="E460" s="9"/>
      <c r="F460" s="9"/>
      <c r="H460" s="9"/>
      <c r="M460" s="9"/>
      <c r="N460" s="9"/>
      <c r="O460" s="9"/>
      <c r="P460" s="9"/>
      <c r="Q460" s="9"/>
      <c r="R460" s="9"/>
      <c r="T460" s="1"/>
    </row>
    <row r="461" spans="5:20" ht="15.75" customHeight="1" x14ac:dyDescent="0.3">
      <c r="E461" s="9"/>
      <c r="F461" s="9"/>
      <c r="H461" s="9"/>
      <c r="M461" s="9"/>
      <c r="N461" s="9"/>
      <c r="O461" s="9"/>
      <c r="P461" s="9"/>
      <c r="Q461" s="9"/>
      <c r="R461" s="9"/>
      <c r="T461" s="1"/>
    </row>
    <row r="462" spans="5:20" ht="15.75" customHeight="1" x14ac:dyDescent="0.3">
      <c r="E462" s="9"/>
      <c r="F462" s="9"/>
      <c r="H462" s="9"/>
      <c r="M462" s="9"/>
      <c r="N462" s="9"/>
      <c r="O462" s="9"/>
      <c r="P462" s="9"/>
      <c r="Q462" s="9"/>
      <c r="R462" s="9"/>
      <c r="T462" s="1"/>
    </row>
    <row r="463" spans="5:20" ht="15.75" customHeight="1" x14ac:dyDescent="0.3">
      <c r="E463" s="9"/>
      <c r="F463" s="9"/>
      <c r="H463" s="9"/>
      <c r="M463" s="9"/>
      <c r="N463" s="9"/>
      <c r="O463" s="9"/>
      <c r="P463" s="9"/>
      <c r="Q463" s="9"/>
      <c r="R463" s="9"/>
      <c r="T463" s="1"/>
    </row>
    <row r="464" spans="5:20" ht="15.75" customHeight="1" x14ac:dyDescent="0.3">
      <c r="E464" s="9"/>
      <c r="F464" s="9"/>
      <c r="H464" s="9"/>
      <c r="M464" s="9"/>
      <c r="N464" s="9"/>
      <c r="O464" s="9"/>
      <c r="P464" s="9"/>
      <c r="Q464" s="9"/>
      <c r="R464" s="9"/>
      <c r="T464" s="1"/>
    </row>
    <row r="465" spans="5:20" ht="15.75" customHeight="1" x14ac:dyDescent="0.3">
      <c r="E465" s="9"/>
      <c r="F465" s="9"/>
      <c r="H465" s="9"/>
      <c r="M465" s="9"/>
      <c r="N465" s="9"/>
      <c r="O465" s="9"/>
      <c r="P465" s="9"/>
      <c r="Q465" s="9"/>
      <c r="R465" s="9"/>
      <c r="T465" s="1"/>
    </row>
    <row r="466" spans="5:20" ht="15.75" customHeight="1" x14ac:dyDescent="0.3">
      <c r="E466" s="9"/>
      <c r="F466" s="9"/>
      <c r="H466" s="9"/>
      <c r="M466" s="9"/>
      <c r="N466" s="9"/>
      <c r="O466" s="9"/>
      <c r="P466" s="9"/>
      <c r="Q466" s="9"/>
      <c r="R466" s="9"/>
      <c r="T466" s="1"/>
    </row>
    <row r="467" spans="5:20" ht="15.75" customHeight="1" x14ac:dyDescent="0.3">
      <c r="E467" s="9"/>
      <c r="F467" s="9"/>
      <c r="H467" s="9"/>
      <c r="M467" s="9"/>
      <c r="N467" s="9"/>
      <c r="O467" s="9"/>
      <c r="P467" s="9"/>
      <c r="Q467" s="9"/>
      <c r="R467" s="9"/>
      <c r="T467" s="1"/>
    </row>
    <row r="468" spans="5:20" ht="15.75" customHeight="1" x14ac:dyDescent="0.3">
      <c r="E468" s="9"/>
      <c r="F468" s="9"/>
      <c r="H468" s="9"/>
      <c r="M468" s="9"/>
      <c r="N468" s="9"/>
      <c r="O468" s="9"/>
      <c r="P468" s="9"/>
      <c r="Q468" s="9"/>
      <c r="R468" s="9"/>
      <c r="T468" s="1"/>
    </row>
    <row r="469" spans="5:20" ht="15.75" customHeight="1" x14ac:dyDescent="0.3">
      <c r="E469" s="9"/>
      <c r="F469" s="9"/>
      <c r="H469" s="9"/>
      <c r="M469" s="9"/>
      <c r="N469" s="9"/>
      <c r="O469" s="9"/>
      <c r="P469" s="9"/>
      <c r="Q469" s="9"/>
      <c r="R469" s="9"/>
      <c r="T469" s="1"/>
    </row>
    <row r="470" spans="5:20" ht="15.75" customHeight="1" x14ac:dyDescent="0.3">
      <c r="E470" s="9"/>
      <c r="F470" s="9"/>
      <c r="H470" s="9"/>
      <c r="M470" s="9"/>
      <c r="N470" s="9"/>
      <c r="O470" s="9"/>
      <c r="P470" s="9"/>
      <c r="Q470" s="9"/>
      <c r="R470" s="9"/>
      <c r="T470" s="1"/>
    </row>
    <row r="471" spans="5:20" ht="15.75" customHeight="1" x14ac:dyDescent="0.3">
      <c r="E471" s="9"/>
      <c r="F471" s="9"/>
      <c r="H471" s="9"/>
      <c r="M471" s="9"/>
      <c r="N471" s="9"/>
      <c r="O471" s="9"/>
      <c r="P471" s="9"/>
      <c r="Q471" s="9"/>
      <c r="R471" s="9"/>
      <c r="T471" s="1"/>
    </row>
    <row r="472" spans="5:20" ht="15.75" customHeight="1" x14ac:dyDescent="0.3">
      <c r="E472" s="9"/>
      <c r="F472" s="9"/>
      <c r="H472" s="9"/>
      <c r="M472" s="9"/>
      <c r="N472" s="9"/>
      <c r="O472" s="9"/>
      <c r="P472" s="9"/>
      <c r="Q472" s="9"/>
      <c r="R472" s="9"/>
      <c r="T472" s="1"/>
    </row>
    <row r="473" spans="5:20" ht="15.75" customHeight="1" x14ac:dyDescent="0.3">
      <c r="E473" s="9"/>
      <c r="F473" s="9"/>
      <c r="H473" s="9"/>
      <c r="M473" s="9"/>
      <c r="N473" s="9"/>
      <c r="O473" s="9"/>
      <c r="P473" s="9"/>
      <c r="Q473" s="9"/>
      <c r="R473" s="9"/>
      <c r="T473" s="1"/>
    </row>
    <row r="474" spans="5:20" ht="15.75" customHeight="1" x14ac:dyDescent="0.3">
      <c r="E474" s="9"/>
      <c r="F474" s="9"/>
      <c r="H474" s="9"/>
      <c r="M474" s="9"/>
      <c r="N474" s="9"/>
      <c r="O474" s="9"/>
      <c r="P474" s="9"/>
      <c r="Q474" s="9"/>
      <c r="R474" s="9"/>
      <c r="T474" s="1"/>
    </row>
    <row r="475" spans="5:20" ht="15.75" customHeight="1" x14ac:dyDescent="0.3">
      <c r="E475" s="9"/>
      <c r="F475" s="9"/>
      <c r="H475" s="9"/>
      <c r="M475" s="9"/>
      <c r="N475" s="9"/>
      <c r="O475" s="9"/>
      <c r="P475" s="9"/>
      <c r="Q475" s="9"/>
      <c r="R475" s="9"/>
      <c r="T475" s="1"/>
    </row>
    <row r="476" spans="5:20" ht="15.75" customHeight="1" x14ac:dyDescent="0.3">
      <c r="E476" s="9"/>
      <c r="F476" s="9"/>
      <c r="H476" s="9"/>
      <c r="M476" s="9"/>
      <c r="N476" s="9"/>
      <c r="O476" s="9"/>
      <c r="P476" s="9"/>
      <c r="Q476" s="9"/>
      <c r="R476" s="9"/>
      <c r="T476" s="1"/>
    </row>
    <row r="477" spans="5:20" ht="15.75" customHeight="1" x14ac:dyDescent="0.3">
      <c r="E477" s="9"/>
      <c r="F477" s="9"/>
      <c r="H477" s="9"/>
      <c r="M477" s="9"/>
      <c r="N477" s="9"/>
      <c r="O477" s="9"/>
      <c r="P477" s="9"/>
      <c r="Q477" s="9"/>
      <c r="R477" s="9"/>
      <c r="T477" s="1"/>
    </row>
    <row r="478" spans="5:20" ht="15.75" customHeight="1" x14ac:dyDescent="0.3">
      <c r="E478" s="9"/>
      <c r="F478" s="9"/>
      <c r="H478" s="9"/>
      <c r="M478" s="9"/>
      <c r="N478" s="9"/>
      <c r="O478" s="9"/>
      <c r="P478" s="9"/>
      <c r="Q478" s="9"/>
      <c r="R478" s="9"/>
      <c r="T478" s="1"/>
    </row>
    <row r="479" spans="5:20" ht="15.75" customHeight="1" x14ac:dyDescent="0.3">
      <c r="E479" s="9"/>
      <c r="F479" s="9"/>
      <c r="H479" s="9"/>
      <c r="M479" s="9"/>
      <c r="N479" s="9"/>
      <c r="O479" s="9"/>
      <c r="P479" s="9"/>
      <c r="Q479" s="9"/>
      <c r="R479" s="9"/>
      <c r="T479" s="1"/>
    </row>
    <row r="480" spans="5:20" ht="15.75" customHeight="1" x14ac:dyDescent="0.3">
      <c r="E480" s="9"/>
      <c r="F480" s="9"/>
      <c r="H480" s="9"/>
      <c r="M480" s="9"/>
      <c r="N480" s="9"/>
      <c r="O480" s="9"/>
      <c r="P480" s="9"/>
      <c r="Q480" s="9"/>
      <c r="R480" s="9"/>
      <c r="T480" s="1"/>
    </row>
    <row r="481" spans="5:20" ht="15.75" customHeight="1" x14ac:dyDescent="0.3">
      <c r="E481" s="9"/>
      <c r="F481" s="9"/>
      <c r="H481" s="9"/>
      <c r="M481" s="9"/>
      <c r="N481" s="9"/>
      <c r="O481" s="9"/>
      <c r="P481" s="9"/>
      <c r="Q481" s="9"/>
      <c r="R481" s="9"/>
      <c r="T481" s="1"/>
    </row>
    <row r="482" spans="5:20" ht="15.75" customHeight="1" x14ac:dyDescent="0.3">
      <c r="E482" s="9"/>
      <c r="F482" s="9"/>
      <c r="H482" s="9"/>
      <c r="M482" s="9"/>
      <c r="N482" s="9"/>
      <c r="O482" s="9"/>
      <c r="P482" s="9"/>
      <c r="Q482" s="9"/>
      <c r="R482" s="9"/>
      <c r="T482" s="1"/>
    </row>
    <row r="483" spans="5:20" ht="15.75" customHeight="1" x14ac:dyDescent="0.3">
      <c r="E483" s="9"/>
      <c r="F483" s="9"/>
      <c r="H483" s="9"/>
      <c r="M483" s="9"/>
      <c r="N483" s="9"/>
      <c r="O483" s="9"/>
      <c r="P483" s="9"/>
      <c r="Q483" s="9"/>
      <c r="R483" s="9"/>
      <c r="T483" s="1"/>
    </row>
    <row r="484" spans="5:20" ht="15.75" customHeight="1" x14ac:dyDescent="0.3">
      <c r="E484" s="9"/>
      <c r="F484" s="9"/>
      <c r="H484" s="9"/>
      <c r="M484" s="9"/>
      <c r="N484" s="9"/>
      <c r="O484" s="9"/>
      <c r="P484" s="9"/>
      <c r="Q484" s="9"/>
      <c r="R484" s="9"/>
      <c r="T484" s="1"/>
    </row>
    <row r="485" spans="5:20" ht="15.75" customHeight="1" x14ac:dyDescent="0.3">
      <c r="E485" s="9"/>
      <c r="F485" s="9"/>
      <c r="H485" s="9"/>
      <c r="M485" s="9"/>
      <c r="N485" s="9"/>
      <c r="O485" s="9"/>
      <c r="P485" s="9"/>
      <c r="Q485" s="9"/>
      <c r="R485" s="9"/>
      <c r="T485" s="1"/>
    </row>
    <row r="486" spans="5:20" ht="15.75" customHeight="1" x14ac:dyDescent="0.3">
      <c r="E486" s="9"/>
      <c r="F486" s="9"/>
      <c r="H486" s="9"/>
      <c r="M486" s="9"/>
      <c r="N486" s="9"/>
      <c r="O486" s="9"/>
      <c r="P486" s="9"/>
      <c r="Q486" s="9"/>
      <c r="R486" s="9"/>
      <c r="T486" s="1"/>
    </row>
    <row r="487" spans="5:20" ht="15.75" customHeight="1" x14ac:dyDescent="0.3">
      <c r="E487" s="9"/>
      <c r="F487" s="9"/>
      <c r="H487" s="9"/>
      <c r="M487" s="9"/>
      <c r="N487" s="9"/>
      <c r="O487" s="9"/>
      <c r="P487" s="9"/>
      <c r="Q487" s="9"/>
      <c r="R487" s="9"/>
      <c r="T487" s="1"/>
    </row>
    <row r="488" spans="5:20" ht="15.75" customHeight="1" x14ac:dyDescent="0.3">
      <c r="E488" s="9"/>
      <c r="F488" s="9"/>
      <c r="H488" s="9"/>
      <c r="M488" s="9"/>
      <c r="N488" s="9"/>
      <c r="O488" s="9"/>
      <c r="P488" s="9"/>
      <c r="Q488" s="9"/>
      <c r="R488" s="9"/>
      <c r="T488" s="1"/>
    </row>
    <row r="489" spans="5:20" ht="15.75" customHeight="1" x14ac:dyDescent="0.3">
      <c r="E489" s="9"/>
      <c r="F489" s="9"/>
      <c r="H489" s="9"/>
      <c r="M489" s="9"/>
      <c r="N489" s="9"/>
      <c r="O489" s="9"/>
      <c r="P489" s="9"/>
      <c r="Q489" s="9"/>
      <c r="R489" s="9"/>
      <c r="T489" s="1"/>
    </row>
    <row r="490" spans="5:20" ht="15.75" customHeight="1" x14ac:dyDescent="0.3">
      <c r="E490" s="9"/>
      <c r="F490" s="9"/>
      <c r="H490" s="9"/>
      <c r="M490" s="9"/>
      <c r="N490" s="9"/>
      <c r="O490" s="9"/>
      <c r="P490" s="9"/>
      <c r="Q490" s="9"/>
      <c r="R490" s="9"/>
      <c r="T490" s="1"/>
    </row>
    <row r="491" spans="5:20" ht="15.75" customHeight="1" x14ac:dyDescent="0.3">
      <c r="E491" s="9"/>
      <c r="F491" s="9"/>
      <c r="H491" s="9"/>
      <c r="M491" s="9"/>
      <c r="N491" s="9"/>
      <c r="O491" s="9"/>
      <c r="P491" s="9"/>
      <c r="Q491" s="9"/>
      <c r="R491" s="9"/>
      <c r="T491" s="1"/>
    </row>
    <row r="492" spans="5:20" ht="15.75" customHeight="1" x14ac:dyDescent="0.3">
      <c r="E492" s="9"/>
      <c r="F492" s="9"/>
      <c r="H492" s="9"/>
      <c r="M492" s="9"/>
      <c r="N492" s="9"/>
      <c r="O492" s="9"/>
      <c r="P492" s="9"/>
      <c r="Q492" s="9"/>
      <c r="R492" s="9"/>
      <c r="T492" s="1"/>
    </row>
    <row r="493" spans="5:20" ht="15.75" customHeight="1" x14ac:dyDescent="0.3">
      <c r="E493" s="9"/>
      <c r="F493" s="9"/>
      <c r="H493" s="9"/>
      <c r="M493" s="9"/>
      <c r="N493" s="9"/>
      <c r="O493" s="9"/>
      <c r="P493" s="9"/>
      <c r="Q493" s="9"/>
      <c r="R493" s="9"/>
      <c r="T493" s="1"/>
    </row>
    <row r="494" spans="5:20" ht="15.75" customHeight="1" x14ac:dyDescent="0.3">
      <c r="E494" s="9"/>
      <c r="F494" s="9"/>
      <c r="H494" s="9"/>
      <c r="M494" s="9"/>
      <c r="N494" s="9"/>
      <c r="O494" s="9"/>
      <c r="P494" s="9"/>
      <c r="Q494" s="9"/>
      <c r="R494" s="9"/>
      <c r="T494" s="1"/>
    </row>
    <row r="495" spans="5:20" ht="15.75" customHeight="1" x14ac:dyDescent="0.3">
      <c r="E495" s="9"/>
      <c r="F495" s="9"/>
      <c r="H495" s="9"/>
      <c r="M495" s="9"/>
      <c r="N495" s="9"/>
      <c r="O495" s="9"/>
      <c r="P495" s="9"/>
      <c r="Q495" s="9"/>
      <c r="R495" s="9"/>
      <c r="T495" s="1"/>
    </row>
    <row r="496" spans="5:20" ht="15.75" customHeight="1" x14ac:dyDescent="0.3">
      <c r="E496" s="9"/>
      <c r="F496" s="9"/>
      <c r="H496" s="9"/>
      <c r="M496" s="9"/>
      <c r="N496" s="9"/>
      <c r="O496" s="9"/>
      <c r="P496" s="9"/>
      <c r="Q496" s="9"/>
      <c r="R496" s="9"/>
      <c r="T496" s="1"/>
    </row>
    <row r="497" spans="5:20" ht="15.75" customHeight="1" x14ac:dyDescent="0.3">
      <c r="E497" s="9"/>
      <c r="F497" s="9"/>
      <c r="H497" s="9"/>
      <c r="M497" s="9"/>
      <c r="N497" s="9"/>
      <c r="O497" s="9"/>
      <c r="P497" s="9"/>
      <c r="Q497" s="9"/>
      <c r="R497" s="9"/>
      <c r="T497" s="1"/>
    </row>
    <row r="498" spans="5:20" ht="15.75" customHeight="1" x14ac:dyDescent="0.3">
      <c r="E498" s="9"/>
      <c r="F498" s="9"/>
      <c r="H498" s="9"/>
      <c r="M498" s="9"/>
      <c r="N498" s="9"/>
      <c r="O498" s="9"/>
      <c r="P498" s="9"/>
      <c r="Q498" s="9"/>
      <c r="R498" s="9"/>
      <c r="T498" s="1"/>
    </row>
    <row r="499" spans="5:20" ht="15.75" customHeight="1" x14ac:dyDescent="0.3">
      <c r="E499" s="9"/>
      <c r="F499" s="9"/>
      <c r="H499" s="9"/>
      <c r="M499" s="9"/>
      <c r="N499" s="9"/>
      <c r="O499" s="9"/>
      <c r="P499" s="9"/>
      <c r="Q499" s="9"/>
      <c r="R499" s="9"/>
      <c r="T499" s="1"/>
    </row>
    <row r="500" spans="5:20" ht="15.75" customHeight="1" x14ac:dyDescent="0.3">
      <c r="E500" s="9"/>
      <c r="F500" s="9"/>
      <c r="H500" s="9"/>
      <c r="M500" s="9"/>
      <c r="N500" s="9"/>
      <c r="O500" s="9"/>
      <c r="P500" s="9"/>
      <c r="Q500" s="9"/>
      <c r="R500" s="9"/>
      <c r="T500" s="1"/>
    </row>
    <row r="501" spans="5:20" ht="15.75" customHeight="1" x14ac:dyDescent="0.3">
      <c r="E501" s="9"/>
      <c r="F501" s="9"/>
      <c r="H501" s="9"/>
      <c r="M501" s="9"/>
      <c r="N501" s="9"/>
      <c r="O501" s="9"/>
      <c r="P501" s="9"/>
      <c r="Q501" s="9"/>
      <c r="R501" s="9"/>
      <c r="T501" s="1"/>
    </row>
    <row r="502" spans="5:20" ht="15.75" customHeight="1" x14ac:dyDescent="0.3">
      <c r="E502" s="9"/>
      <c r="F502" s="9"/>
      <c r="H502" s="9"/>
      <c r="M502" s="9"/>
      <c r="N502" s="9"/>
      <c r="O502" s="9"/>
      <c r="P502" s="9"/>
      <c r="Q502" s="9"/>
      <c r="R502" s="9"/>
      <c r="T502" s="1"/>
    </row>
    <row r="503" spans="5:20" ht="15.75" customHeight="1" x14ac:dyDescent="0.3">
      <c r="E503" s="9"/>
      <c r="F503" s="9"/>
      <c r="H503" s="9"/>
      <c r="M503" s="9"/>
      <c r="N503" s="9"/>
      <c r="O503" s="9"/>
      <c r="P503" s="9"/>
      <c r="Q503" s="9"/>
      <c r="R503" s="9"/>
      <c r="T503" s="1"/>
    </row>
    <row r="504" spans="5:20" ht="15.75" customHeight="1" x14ac:dyDescent="0.3">
      <c r="E504" s="9"/>
      <c r="F504" s="9"/>
      <c r="H504" s="9"/>
      <c r="M504" s="9"/>
      <c r="N504" s="9"/>
      <c r="O504" s="9"/>
      <c r="P504" s="9"/>
      <c r="Q504" s="9"/>
      <c r="R504" s="9"/>
      <c r="T504" s="1"/>
    </row>
    <row r="505" spans="5:20" ht="15.75" customHeight="1" x14ac:dyDescent="0.3">
      <c r="E505" s="9"/>
      <c r="F505" s="9"/>
      <c r="H505" s="9"/>
      <c r="M505" s="9"/>
      <c r="N505" s="9"/>
      <c r="O505" s="9"/>
      <c r="P505" s="9"/>
      <c r="Q505" s="9"/>
      <c r="R505" s="9"/>
      <c r="T505" s="1"/>
    </row>
    <row r="506" spans="5:20" ht="15.75" customHeight="1" x14ac:dyDescent="0.3">
      <c r="E506" s="9"/>
      <c r="F506" s="9"/>
      <c r="H506" s="9"/>
      <c r="M506" s="9"/>
      <c r="N506" s="9"/>
      <c r="O506" s="9"/>
      <c r="P506" s="9"/>
      <c r="Q506" s="9"/>
      <c r="R506" s="9"/>
      <c r="T506" s="1"/>
    </row>
    <row r="507" spans="5:20" ht="15.75" customHeight="1" x14ac:dyDescent="0.3">
      <c r="E507" s="9"/>
      <c r="F507" s="9"/>
      <c r="H507" s="9"/>
      <c r="M507" s="9"/>
      <c r="N507" s="9"/>
      <c r="O507" s="9"/>
      <c r="P507" s="9"/>
      <c r="Q507" s="9"/>
      <c r="R507" s="9"/>
      <c r="T507" s="1"/>
    </row>
    <row r="508" spans="5:20" ht="15.75" customHeight="1" x14ac:dyDescent="0.3">
      <c r="E508" s="9"/>
      <c r="F508" s="9"/>
      <c r="H508" s="9"/>
      <c r="M508" s="9"/>
      <c r="N508" s="9"/>
      <c r="O508" s="9"/>
      <c r="P508" s="9"/>
      <c r="Q508" s="9"/>
      <c r="R508" s="9"/>
      <c r="T508" s="1"/>
    </row>
    <row r="509" spans="5:20" ht="15.75" customHeight="1" x14ac:dyDescent="0.3">
      <c r="E509" s="9"/>
      <c r="F509" s="9"/>
      <c r="H509" s="9"/>
      <c r="M509" s="9"/>
      <c r="N509" s="9"/>
      <c r="O509" s="9"/>
      <c r="P509" s="9"/>
      <c r="Q509" s="9"/>
      <c r="R509" s="9"/>
      <c r="T509" s="1"/>
    </row>
    <row r="510" spans="5:20" ht="15.75" customHeight="1" x14ac:dyDescent="0.3">
      <c r="E510" s="9"/>
      <c r="F510" s="9"/>
      <c r="H510" s="9"/>
      <c r="M510" s="9"/>
      <c r="N510" s="9"/>
      <c r="O510" s="9"/>
      <c r="P510" s="9"/>
      <c r="Q510" s="9"/>
      <c r="R510" s="9"/>
      <c r="T510" s="1"/>
    </row>
    <row r="511" spans="5:20" ht="15.75" customHeight="1" x14ac:dyDescent="0.3">
      <c r="E511" s="9"/>
      <c r="F511" s="9"/>
      <c r="H511" s="9"/>
      <c r="M511" s="9"/>
      <c r="N511" s="9"/>
      <c r="O511" s="9"/>
      <c r="P511" s="9"/>
      <c r="Q511" s="9"/>
      <c r="R511" s="9"/>
      <c r="T511" s="1"/>
    </row>
    <row r="512" spans="5:20" ht="15.75" customHeight="1" x14ac:dyDescent="0.3">
      <c r="E512" s="9"/>
      <c r="F512" s="9"/>
      <c r="H512" s="9"/>
      <c r="M512" s="9"/>
      <c r="N512" s="9"/>
      <c r="O512" s="9"/>
      <c r="P512" s="9"/>
      <c r="Q512" s="9"/>
      <c r="R512" s="9"/>
      <c r="T512" s="1"/>
    </row>
    <row r="513" spans="5:20" ht="15.75" customHeight="1" x14ac:dyDescent="0.3">
      <c r="E513" s="9"/>
      <c r="F513" s="9"/>
      <c r="H513" s="9"/>
      <c r="M513" s="9"/>
      <c r="N513" s="9"/>
      <c r="O513" s="9"/>
      <c r="P513" s="9"/>
      <c r="Q513" s="9"/>
      <c r="R513" s="9"/>
      <c r="T513" s="1"/>
    </row>
    <row r="514" spans="5:20" ht="15.75" customHeight="1" x14ac:dyDescent="0.3">
      <c r="E514" s="9"/>
      <c r="F514" s="9"/>
      <c r="H514" s="9"/>
      <c r="M514" s="9"/>
      <c r="N514" s="9"/>
      <c r="O514" s="9"/>
      <c r="P514" s="9"/>
      <c r="Q514" s="9"/>
      <c r="R514" s="9"/>
      <c r="T514" s="1"/>
    </row>
    <row r="515" spans="5:20" ht="15.75" customHeight="1" x14ac:dyDescent="0.3">
      <c r="E515" s="9"/>
      <c r="F515" s="9"/>
      <c r="H515" s="9"/>
      <c r="M515" s="9"/>
      <c r="N515" s="9"/>
      <c r="O515" s="9"/>
      <c r="P515" s="9"/>
      <c r="Q515" s="9"/>
      <c r="R515" s="9"/>
      <c r="T515" s="1"/>
    </row>
    <row r="516" spans="5:20" ht="15.75" customHeight="1" x14ac:dyDescent="0.3">
      <c r="E516" s="9"/>
      <c r="F516" s="9"/>
      <c r="H516" s="9"/>
      <c r="M516" s="9"/>
      <c r="N516" s="9"/>
      <c r="O516" s="9"/>
      <c r="P516" s="9"/>
      <c r="Q516" s="9"/>
      <c r="R516" s="9"/>
      <c r="T516" s="1"/>
    </row>
    <row r="517" spans="5:20" ht="15.75" customHeight="1" x14ac:dyDescent="0.3">
      <c r="E517" s="9"/>
      <c r="F517" s="9"/>
      <c r="H517" s="9"/>
      <c r="M517" s="9"/>
      <c r="N517" s="9"/>
      <c r="O517" s="9"/>
      <c r="P517" s="9"/>
      <c r="Q517" s="9"/>
      <c r="R517" s="9"/>
      <c r="T517" s="1"/>
    </row>
    <row r="518" spans="5:20" ht="15.75" customHeight="1" x14ac:dyDescent="0.3">
      <c r="E518" s="9"/>
      <c r="F518" s="9"/>
      <c r="H518" s="9"/>
      <c r="M518" s="9"/>
      <c r="N518" s="9"/>
      <c r="O518" s="9"/>
      <c r="P518" s="9"/>
      <c r="Q518" s="9"/>
      <c r="R518" s="9"/>
      <c r="T518" s="1"/>
    </row>
    <row r="519" spans="5:20" ht="15.75" customHeight="1" x14ac:dyDescent="0.3">
      <c r="E519" s="9"/>
      <c r="F519" s="9"/>
      <c r="H519" s="9"/>
      <c r="M519" s="9"/>
      <c r="N519" s="9"/>
      <c r="O519" s="9"/>
      <c r="P519" s="9"/>
      <c r="Q519" s="9"/>
      <c r="R519" s="9"/>
      <c r="T519" s="1"/>
    </row>
    <row r="520" spans="5:20" ht="15.75" customHeight="1" x14ac:dyDescent="0.3">
      <c r="E520" s="9"/>
      <c r="F520" s="9"/>
      <c r="H520" s="9"/>
      <c r="M520" s="9"/>
      <c r="N520" s="9"/>
      <c r="O520" s="9"/>
      <c r="P520" s="9"/>
      <c r="Q520" s="9"/>
      <c r="R520" s="9"/>
      <c r="T520" s="1"/>
    </row>
    <row r="521" spans="5:20" ht="15.75" customHeight="1" x14ac:dyDescent="0.3">
      <c r="E521" s="9"/>
      <c r="F521" s="9"/>
      <c r="H521" s="9"/>
      <c r="M521" s="9"/>
      <c r="N521" s="9"/>
      <c r="O521" s="9"/>
      <c r="P521" s="9"/>
      <c r="Q521" s="9"/>
      <c r="R521" s="9"/>
      <c r="T521" s="1"/>
    </row>
    <row r="522" spans="5:20" ht="15.75" customHeight="1" x14ac:dyDescent="0.3">
      <c r="E522" s="9"/>
      <c r="F522" s="9"/>
      <c r="H522" s="9"/>
      <c r="M522" s="9"/>
      <c r="N522" s="9"/>
      <c r="O522" s="9"/>
      <c r="P522" s="9"/>
      <c r="Q522" s="9"/>
      <c r="R522" s="9"/>
      <c r="T522" s="1"/>
    </row>
    <row r="523" spans="5:20" ht="15.75" customHeight="1" x14ac:dyDescent="0.3">
      <c r="E523" s="9"/>
      <c r="F523" s="9"/>
      <c r="H523" s="9"/>
      <c r="M523" s="9"/>
      <c r="N523" s="9"/>
      <c r="O523" s="9"/>
      <c r="P523" s="9"/>
      <c r="Q523" s="9"/>
      <c r="R523" s="9"/>
      <c r="T523" s="1"/>
    </row>
    <row r="524" spans="5:20" ht="15.75" customHeight="1" x14ac:dyDescent="0.3">
      <c r="E524" s="9"/>
      <c r="F524" s="9"/>
      <c r="H524" s="9"/>
      <c r="M524" s="9"/>
      <c r="N524" s="9"/>
      <c r="O524" s="9"/>
      <c r="P524" s="9"/>
      <c r="Q524" s="9"/>
      <c r="R524" s="9"/>
      <c r="T524" s="1"/>
    </row>
    <row r="525" spans="5:20" ht="15.75" customHeight="1" x14ac:dyDescent="0.3">
      <c r="E525" s="9"/>
      <c r="F525" s="9"/>
      <c r="H525" s="9"/>
      <c r="M525" s="9"/>
      <c r="N525" s="9"/>
      <c r="O525" s="9"/>
      <c r="P525" s="9"/>
      <c r="Q525" s="9"/>
      <c r="R525" s="9"/>
      <c r="T525" s="1"/>
    </row>
    <row r="526" spans="5:20" ht="15.75" customHeight="1" x14ac:dyDescent="0.3">
      <c r="E526" s="9"/>
      <c r="F526" s="9"/>
      <c r="H526" s="9"/>
      <c r="M526" s="9"/>
      <c r="N526" s="9"/>
      <c r="O526" s="9"/>
      <c r="P526" s="9"/>
      <c r="Q526" s="9"/>
      <c r="R526" s="9"/>
      <c r="T526" s="1"/>
    </row>
    <row r="527" spans="5:20" ht="15.75" customHeight="1" x14ac:dyDescent="0.3">
      <c r="E527" s="9"/>
      <c r="F527" s="9"/>
      <c r="H527" s="9"/>
      <c r="M527" s="9"/>
      <c r="N527" s="9"/>
      <c r="O527" s="9"/>
      <c r="P527" s="9"/>
      <c r="Q527" s="9"/>
      <c r="R527" s="9"/>
      <c r="T527" s="1"/>
    </row>
    <row r="528" spans="5:20" ht="15.75" customHeight="1" x14ac:dyDescent="0.3">
      <c r="E528" s="9"/>
      <c r="F528" s="9"/>
      <c r="H528" s="9"/>
      <c r="M528" s="9"/>
      <c r="N528" s="9"/>
      <c r="O528" s="9"/>
      <c r="P528" s="9"/>
      <c r="Q528" s="9"/>
      <c r="R528" s="9"/>
      <c r="T528" s="1"/>
    </row>
    <row r="529" spans="5:20" ht="15.75" customHeight="1" x14ac:dyDescent="0.3">
      <c r="E529" s="9"/>
      <c r="F529" s="9"/>
      <c r="H529" s="9"/>
      <c r="M529" s="9"/>
      <c r="N529" s="9"/>
      <c r="O529" s="9"/>
      <c r="P529" s="9"/>
      <c r="Q529" s="9"/>
      <c r="R529" s="9"/>
      <c r="T529" s="1"/>
    </row>
    <row r="530" spans="5:20" ht="15.75" customHeight="1" x14ac:dyDescent="0.3">
      <c r="E530" s="9"/>
      <c r="F530" s="9"/>
      <c r="H530" s="9"/>
      <c r="M530" s="9"/>
      <c r="N530" s="9"/>
      <c r="O530" s="9"/>
      <c r="P530" s="9"/>
      <c r="Q530" s="9"/>
      <c r="R530" s="9"/>
      <c r="T530" s="1"/>
    </row>
    <row r="531" spans="5:20" ht="15.75" customHeight="1" x14ac:dyDescent="0.3">
      <c r="E531" s="9"/>
      <c r="F531" s="9"/>
      <c r="H531" s="9"/>
      <c r="M531" s="9"/>
      <c r="N531" s="9"/>
      <c r="O531" s="9"/>
      <c r="P531" s="9"/>
      <c r="Q531" s="9"/>
      <c r="R531" s="9"/>
      <c r="T531" s="1"/>
    </row>
    <row r="532" spans="5:20" ht="15.75" customHeight="1" x14ac:dyDescent="0.3">
      <c r="E532" s="9"/>
      <c r="F532" s="9"/>
      <c r="H532" s="9"/>
      <c r="M532" s="9"/>
      <c r="N532" s="9"/>
      <c r="O532" s="9"/>
      <c r="P532" s="9"/>
      <c r="Q532" s="9"/>
      <c r="R532" s="9"/>
      <c r="T532" s="1"/>
    </row>
    <row r="533" spans="5:20" ht="15.75" customHeight="1" x14ac:dyDescent="0.3">
      <c r="E533" s="9"/>
      <c r="F533" s="9"/>
      <c r="H533" s="9"/>
      <c r="M533" s="9"/>
      <c r="N533" s="9"/>
      <c r="O533" s="9"/>
      <c r="P533" s="9"/>
      <c r="Q533" s="9"/>
      <c r="R533" s="9"/>
      <c r="T533" s="1"/>
    </row>
    <row r="534" spans="5:20" ht="15.75" customHeight="1" x14ac:dyDescent="0.3">
      <c r="E534" s="9"/>
      <c r="F534" s="9"/>
      <c r="H534" s="9"/>
      <c r="M534" s="9"/>
      <c r="N534" s="9"/>
      <c r="O534" s="9"/>
      <c r="P534" s="9"/>
      <c r="Q534" s="9"/>
      <c r="R534" s="9"/>
      <c r="T534" s="1"/>
    </row>
    <row r="535" spans="5:20" ht="15.75" customHeight="1" x14ac:dyDescent="0.3">
      <c r="E535" s="9"/>
      <c r="F535" s="9"/>
      <c r="H535" s="9"/>
      <c r="M535" s="9"/>
      <c r="N535" s="9"/>
      <c r="O535" s="9"/>
      <c r="P535" s="9"/>
      <c r="Q535" s="9"/>
      <c r="R535" s="9"/>
      <c r="T535" s="1"/>
    </row>
    <row r="536" spans="5:20" ht="15.75" customHeight="1" x14ac:dyDescent="0.3">
      <c r="E536" s="9"/>
      <c r="F536" s="9"/>
      <c r="H536" s="9"/>
      <c r="M536" s="9"/>
      <c r="N536" s="9"/>
      <c r="O536" s="9"/>
      <c r="P536" s="9"/>
      <c r="Q536" s="9"/>
      <c r="R536" s="9"/>
      <c r="T536" s="1"/>
    </row>
    <row r="537" spans="5:20" ht="15.75" customHeight="1" x14ac:dyDescent="0.3">
      <c r="E537" s="9"/>
      <c r="F537" s="9"/>
      <c r="H537" s="9"/>
      <c r="M537" s="9"/>
      <c r="N537" s="9"/>
      <c r="O537" s="9"/>
      <c r="P537" s="9"/>
      <c r="Q537" s="9"/>
      <c r="R537" s="9"/>
      <c r="T537" s="1"/>
    </row>
    <row r="538" spans="5:20" ht="15.75" customHeight="1" x14ac:dyDescent="0.3">
      <c r="E538" s="9"/>
      <c r="F538" s="9"/>
      <c r="H538" s="9"/>
      <c r="M538" s="9"/>
      <c r="N538" s="9"/>
      <c r="O538" s="9"/>
      <c r="P538" s="9"/>
      <c r="Q538" s="9"/>
      <c r="R538" s="9"/>
      <c r="T538" s="1"/>
    </row>
    <row r="539" spans="5:20" ht="15.75" customHeight="1" x14ac:dyDescent="0.3">
      <c r="E539" s="9"/>
      <c r="F539" s="9"/>
      <c r="H539" s="9"/>
      <c r="M539" s="9"/>
      <c r="N539" s="9"/>
      <c r="O539" s="9"/>
      <c r="P539" s="9"/>
      <c r="Q539" s="9"/>
      <c r="R539" s="9"/>
      <c r="T539" s="1"/>
    </row>
    <row r="540" spans="5:20" ht="15.75" customHeight="1" x14ac:dyDescent="0.3">
      <c r="E540" s="9"/>
      <c r="F540" s="9"/>
      <c r="H540" s="9"/>
      <c r="M540" s="9"/>
      <c r="N540" s="9"/>
      <c r="O540" s="9"/>
      <c r="P540" s="9"/>
      <c r="Q540" s="9"/>
      <c r="R540" s="9"/>
      <c r="T540" s="1"/>
    </row>
    <row r="541" spans="5:20" ht="15.75" customHeight="1" x14ac:dyDescent="0.3">
      <c r="E541" s="9"/>
      <c r="F541" s="9"/>
      <c r="H541" s="9"/>
      <c r="M541" s="9"/>
      <c r="N541" s="9"/>
      <c r="O541" s="9"/>
      <c r="P541" s="9"/>
      <c r="Q541" s="9"/>
      <c r="R541" s="9"/>
      <c r="T541" s="1"/>
    </row>
    <row r="542" spans="5:20" ht="15.75" customHeight="1" x14ac:dyDescent="0.3">
      <c r="E542" s="9"/>
      <c r="F542" s="9"/>
      <c r="H542" s="9"/>
      <c r="M542" s="9"/>
      <c r="N542" s="9"/>
      <c r="O542" s="9"/>
      <c r="P542" s="9"/>
      <c r="Q542" s="9"/>
      <c r="R542" s="9"/>
      <c r="T542" s="1"/>
    </row>
    <row r="543" spans="5:20" ht="15.75" customHeight="1" x14ac:dyDescent="0.3">
      <c r="E543" s="9"/>
      <c r="F543" s="9"/>
      <c r="H543" s="9"/>
      <c r="M543" s="9"/>
      <c r="N543" s="9"/>
      <c r="O543" s="9"/>
      <c r="P543" s="9"/>
      <c r="Q543" s="9"/>
      <c r="R543" s="9"/>
      <c r="T543" s="1"/>
    </row>
    <row r="544" spans="5:20" ht="15.75" customHeight="1" x14ac:dyDescent="0.3">
      <c r="E544" s="9"/>
      <c r="F544" s="9"/>
      <c r="H544" s="9"/>
      <c r="M544" s="9"/>
      <c r="N544" s="9"/>
      <c r="O544" s="9"/>
      <c r="P544" s="9"/>
      <c r="Q544" s="9"/>
      <c r="R544" s="9"/>
      <c r="T544" s="1"/>
    </row>
    <row r="545" spans="5:20" ht="15.75" customHeight="1" x14ac:dyDescent="0.3">
      <c r="E545" s="9"/>
      <c r="F545" s="9"/>
      <c r="H545" s="9"/>
      <c r="M545" s="9"/>
      <c r="N545" s="9"/>
      <c r="O545" s="9"/>
      <c r="P545" s="9"/>
      <c r="Q545" s="9"/>
      <c r="R545" s="9"/>
      <c r="T545" s="1"/>
    </row>
    <row r="546" spans="5:20" ht="15.75" customHeight="1" x14ac:dyDescent="0.3">
      <c r="E546" s="9"/>
      <c r="F546" s="9"/>
      <c r="H546" s="9"/>
      <c r="M546" s="9"/>
      <c r="N546" s="9"/>
      <c r="O546" s="9"/>
      <c r="P546" s="9"/>
      <c r="Q546" s="9"/>
      <c r="R546" s="9"/>
      <c r="T546" s="1"/>
    </row>
    <row r="547" spans="5:20" ht="15.75" customHeight="1" x14ac:dyDescent="0.3">
      <c r="E547" s="9"/>
      <c r="F547" s="9"/>
      <c r="H547" s="9"/>
      <c r="M547" s="9"/>
      <c r="N547" s="9"/>
      <c r="O547" s="9"/>
      <c r="P547" s="9"/>
      <c r="Q547" s="9"/>
      <c r="R547" s="9"/>
      <c r="T547" s="1"/>
    </row>
    <row r="548" spans="5:20" ht="15.75" customHeight="1" x14ac:dyDescent="0.3">
      <c r="E548" s="9"/>
      <c r="F548" s="9"/>
      <c r="H548" s="9"/>
      <c r="M548" s="9"/>
      <c r="N548" s="9"/>
      <c r="O548" s="9"/>
      <c r="P548" s="9"/>
      <c r="Q548" s="9"/>
      <c r="R548" s="9"/>
      <c r="T548" s="1"/>
    </row>
    <row r="549" spans="5:20" ht="15.75" customHeight="1" x14ac:dyDescent="0.3">
      <c r="E549" s="9"/>
      <c r="F549" s="9"/>
      <c r="H549" s="9"/>
      <c r="M549" s="9"/>
      <c r="N549" s="9"/>
      <c r="O549" s="9"/>
      <c r="P549" s="9"/>
      <c r="Q549" s="9"/>
      <c r="R549" s="9"/>
      <c r="T549" s="1"/>
    </row>
    <row r="550" spans="5:20" ht="15.75" customHeight="1" x14ac:dyDescent="0.3">
      <c r="E550" s="9"/>
      <c r="F550" s="9"/>
      <c r="H550" s="9"/>
      <c r="M550" s="9"/>
      <c r="N550" s="9"/>
      <c r="O550" s="9"/>
      <c r="P550" s="9"/>
      <c r="Q550" s="9"/>
      <c r="R550" s="9"/>
      <c r="T550" s="1"/>
    </row>
    <row r="551" spans="5:20" ht="15.75" customHeight="1" x14ac:dyDescent="0.3">
      <c r="E551" s="9"/>
      <c r="F551" s="9"/>
      <c r="H551" s="9"/>
      <c r="M551" s="9"/>
      <c r="N551" s="9"/>
      <c r="O551" s="9"/>
      <c r="P551" s="9"/>
      <c r="Q551" s="9"/>
      <c r="R551" s="9"/>
      <c r="T551" s="1"/>
    </row>
    <row r="552" spans="5:20" ht="15.75" customHeight="1" x14ac:dyDescent="0.3">
      <c r="E552" s="9"/>
      <c r="F552" s="9"/>
      <c r="H552" s="9"/>
      <c r="M552" s="9"/>
      <c r="N552" s="9"/>
      <c r="O552" s="9"/>
      <c r="P552" s="9"/>
      <c r="Q552" s="9"/>
      <c r="R552" s="9"/>
      <c r="T552" s="1"/>
    </row>
    <row r="553" spans="5:20" ht="15.75" customHeight="1" x14ac:dyDescent="0.3">
      <c r="E553" s="9"/>
      <c r="F553" s="9"/>
      <c r="H553" s="9"/>
      <c r="M553" s="9"/>
      <c r="N553" s="9"/>
      <c r="O553" s="9"/>
      <c r="P553" s="9"/>
      <c r="Q553" s="9"/>
      <c r="R553" s="9"/>
      <c r="T553" s="1"/>
    </row>
    <row r="554" spans="5:20" ht="15.75" customHeight="1" x14ac:dyDescent="0.3">
      <c r="E554" s="9"/>
      <c r="F554" s="9"/>
      <c r="H554" s="9"/>
      <c r="M554" s="9"/>
      <c r="N554" s="9"/>
      <c r="O554" s="9"/>
      <c r="P554" s="9"/>
      <c r="Q554" s="9"/>
      <c r="R554" s="9"/>
      <c r="T554" s="1"/>
    </row>
    <row r="555" spans="5:20" ht="15.75" customHeight="1" x14ac:dyDescent="0.3">
      <c r="E555" s="9"/>
      <c r="F555" s="9"/>
      <c r="H555" s="9"/>
      <c r="M555" s="9"/>
      <c r="N555" s="9"/>
      <c r="O555" s="9"/>
      <c r="P555" s="9"/>
      <c r="Q555" s="9"/>
      <c r="R555" s="9"/>
      <c r="T555" s="1"/>
    </row>
    <row r="556" spans="5:20" ht="15.75" customHeight="1" x14ac:dyDescent="0.3">
      <c r="E556" s="9"/>
      <c r="F556" s="9"/>
      <c r="H556" s="9"/>
      <c r="M556" s="9"/>
      <c r="N556" s="9"/>
      <c r="O556" s="9"/>
      <c r="P556" s="9"/>
      <c r="Q556" s="9"/>
      <c r="R556" s="9"/>
      <c r="T556" s="1"/>
    </row>
    <row r="557" spans="5:20" ht="15.75" customHeight="1" x14ac:dyDescent="0.3">
      <c r="E557" s="9"/>
      <c r="F557" s="9"/>
      <c r="H557" s="9"/>
      <c r="M557" s="9"/>
      <c r="N557" s="9"/>
      <c r="O557" s="9"/>
      <c r="P557" s="9"/>
      <c r="Q557" s="9"/>
      <c r="R557" s="9"/>
      <c r="T557" s="1"/>
    </row>
    <row r="558" spans="5:20" ht="15.75" customHeight="1" x14ac:dyDescent="0.3">
      <c r="E558" s="9"/>
      <c r="F558" s="9"/>
      <c r="H558" s="9"/>
      <c r="M558" s="9"/>
      <c r="N558" s="9"/>
      <c r="O558" s="9"/>
      <c r="P558" s="9"/>
      <c r="Q558" s="9"/>
      <c r="R558" s="9"/>
      <c r="T558" s="1"/>
    </row>
    <row r="559" spans="5:20" ht="15.75" customHeight="1" x14ac:dyDescent="0.3">
      <c r="E559" s="9"/>
      <c r="F559" s="9"/>
      <c r="H559" s="9"/>
      <c r="M559" s="9"/>
      <c r="N559" s="9"/>
      <c r="O559" s="9"/>
      <c r="P559" s="9"/>
      <c r="Q559" s="9"/>
      <c r="R559" s="9"/>
      <c r="T559" s="1"/>
    </row>
    <row r="560" spans="5:20" ht="15.75" customHeight="1" x14ac:dyDescent="0.3">
      <c r="E560" s="9"/>
      <c r="F560" s="9"/>
      <c r="H560" s="9"/>
      <c r="M560" s="9"/>
      <c r="N560" s="9"/>
      <c r="O560" s="9"/>
      <c r="P560" s="9"/>
      <c r="Q560" s="9"/>
      <c r="R560" s="9"/>
      <c r="T560" s="1"/>
    </row>
    <row r="561" spans="5:20" ht="15.75" customHeight="1" x14ac:dyDescent="0.3">
      <c r="E561" s="9"/>
      <c r="F561" s="9"/>
      <c r="H561" s="9"/>
      <c r="M561" s="9"/>
      <c r="N561" s="9"/>
      <c r="O561" s="9"/>
      <c r="P561" s="9"/>
      <c r="Q561" s="9"/>
      <c r="R561" s="9"/>
      <c r="T561" s="1"/>
    </row>
    <row r="562" spans="5:20" ht="15.75" customHeight="1" x14ac:dyDescent="0.3">
      <c r="E562" s="9"/>
      <c r="F562" s="9"/>
      <c r="H562" s="9"/>
      <c r="M562" s="9"/>
      <c r="N562" s="9"/>
      <c r="O562" s="9"/>
      <c r="P562" s="9"/>
      <c r="Q562" s="9"/>
      <c r="R562" s="9"/>
      <c r="T562" s="1"/>
    </row>
    <row r="563" spans="5:20" ht="15.75" customHeight="1" x14ac:dyDescent="0.3">
      <c r="E563" s="9"/>
      <c r="F563" s="9"/>
      <c r="H563" s="9"/>
      <c r="M563" s="9"/>
      <c r="N563" s="9"/>
      <c r="O563" s="9"/>
      <c r="P563" s="9"/>
      <c r="Q563" s="9"/>
      <c r="R563" s="9"/>
      <c r="T563" s="1"/>
    </row>
    <row r="564" spans="5:20" ht="15.75" customHeight="1" x14ac:dyDescent="0.3">
      <c r="E564" s="9"/>
      <c r="F564" s="9"/>
      <c r="H564" s="9"/>
      <c r="M564" s="9"/>
      <c r="N564" s="9"/>
      <c r="O564" s="9"/>
      <c r="P564" s="9"/>
      <c r="Q564" s="9"/>
      <c r="R564" s="9"/>
      <c r="T564" s="1"/>
    </row>
    <row r="565" spans="5:20" ht="15.75" customHeight="1" x14ac:dyDescent="0.3">
      <c r="E565" s="9"/>
      <c r="F565" s="9"/>
      <c r="H565" s="9"/>
      <c r="M565" s="9"/>
      <c r="N565" s="9"/>
      <c r="O565" s="9"/>
      <c r="P565" s="9"/>
      <c r="Q565" s="9"/>
      <c r="R565" s="9"/>
      <c r="T565" s="1"/>
    </row>
    <row r="566" spans="5:20" ht="15.75" customHeight="1" x14ac:dyDescent="0.3">
      <c r="E566" s="9"/>
      <c r="F566" s="9"/>
      <c r="H566" s="9"/>
      <c r="M566" s="9"/>
      <c r="N566" s="9"/>
      <c r="O566" s="9"/>
      <c r="P566" s="9"/>
      <c r="Q566" s="9"/>
      <c r="R566" s="9"/>
      <c r="T566" s="1"/>
    </row>
    <row r="567" spans="5:20" ht="15.75" customHeight="1" x14ac:dyDescent="0.3">
      <c r="E567" s="9"/>
      <c r="F567" s="9"/>
      <c r="H567" s="9"/>
      <c r="M567" s="9"/>
      <c r="N567" s="9"/>
      <c r="O567" s="9"/>
      <c r="P567" s="9"/>
      <c r="Q567" s="9"/>
      <c r="R567" s="9"/>
      <c r="T567" s="1"/>
    </row>
    <row r="568" spans="5:20" ht="15.75" customHeight="1" x14ac:dyDescent="0.3">
      <c r="E568" s="9"/>
      <c r="F568" s="9"/>
      <c r="H568" s="9"/>
      <c r="M568" s="9"/>
      <c r="N568" s="9"/>
      <c r="O568" s="9"/>
      <c r="P568" s="9"/>
      <c r="Q568" s="9"/>
      <c r="R568" s="9"/>
      <c r="T568" s="1"/>
    </row>
    <row r="569" spans="5:20" ht="15.75" customHeight="1" x14ac:dyDescent="0.3">
      <c r="E569" s="9"/>
      <c r="F569" s="9"/>
      <c r="H569" s="9"/>
      <c r="M569" s="9"/>
      <c r="N569" s="9"/>
      <c r="O569" s="9"/>
      <c r="P569" s="9"/>
      <c r="Q569" s="9"/>
      <c r="R569" s="9"/>
      <c r="T569" s="1"/>
    </row>
    <row r="570" spans="5:20" ht="15.75" customHeight="1" x14ac:dyDescent="0.3">
      <c r="E570" s="9"/>
      <c r="F570" s="9"/>
      <c r="H570" s="9"/>
      <c r="M570" s="9"/>
      <c r="N570" s="9"/>
      <c r="O570" s="9"/>
      <c r="P570" s="9"/>
      <c r="Q570" s="9"/>
      <c r="R570" s="9"/>
      <c r="T570" s="1"/>
    </row>
    <row r="571" spans="5:20" ht="15.75" customHeight="1" x14ac:dyDescent="0.3">
      <c r="E571" s="9"/>
      <c r="F571" s="9"/>
      <c r="H571" s="9"/>
      <c r="M571" s="9"/>
      <c r="N571" s="9"/>
      <c r="O571" s="9"/>
      <c r="P571" s="9"/>
      <c r="Q571" s="9"/>
      <c r="R571" s="9"/>
      <c r="T571" s="1"/>
    </row>
    <row r="572" spans="5:20" ht="15.75" customHeight="1" x14ac:dyDescent="0.3">
      <c r="E572" s="9"/>
      <c r="F572" s="9"/>
      <c r="H572" s="9"/>
      <c r="M572" s="9"/>
      <c r="N572" s="9"/>
      <c r="O572" s="9"/>
      <c r="P572" s="9"/>
      <c r="Q572" s="9"/>
      <c r="R572" s="9"/>
      <c r="T572" s="1"/>
    </row>
    <row r="573" spans="5:20" ht="15.75" customHeight="1" x14ac:dyDescent="0.3">
      <c r="E573" s="9"/>
      <c r="F573" s="9"/>
      <c r="H573" s="9"/>
      <c r="M573" s="9"/>
      <c r="N573" s="9"/>
      <c r="O573" s="9"/>
      <c r="P573" s="9"/>
      <c r="Q573" s="9"/>
      <c r="R573" s="9"/>
      <c r="T573" s="1"/>
    </row>
    <row r="574" spans="5:20" ht="15.75" customHeight="1" x14ac:dyDescent="0.3">
      <c r="E574" s="9"/>
      <c r="F574" s="9"/>
      <c r="H574" s="9"/>
      <c r="M574" s="9"/>
      <c r="N574" s="9"/>
      <c r="O574" s="9"/>
      <c r="P574" s="9"/>
      <c r="Q574" s="9"/>
      <c r="R574" s="9"/>
      <c r="T574" s="1"/>
    </row>
    <row r="575" spans="5:20" ht="15.75" customHeight="1" x14ac:dyDescent="0.3">
      <c r="E575" s="9"/>
      <c r="F575" s="9"/>
      <c r="H575" s="9"/>
      <c r="M575" s="9"/>
      <c r="N575" s="9"/>
      <c r="O575" s="9"/>
      <c r="P575" s="9"/>
      <c r="Q575" s="9"/>
      <c r="R575" s="9"/>
      <c r="T575" s="1"/>
    </row>
    <row r="576" spans="5:20" ht="15.75" customHeight="1" x14ac:dyDescent="0.3">
      <c r="E576" s="9"/>
      <c r="F576" s="9"/>
      <c r="H576" s="9"/>
      <c r="M576" s="9"/>
      <c r="N576" s="9"/>
      <c r="O576" s="9"/>
      <c r="P576" s="9"/>
      <c r="Q576" s="9"/>
      <c r="R576" s="9"/>
      <c r="T576" s="1"/>
    </row>
    <row r="577" spans="5:20" ht="15.75" customHeight="1" x14ac:dyDescent="0.3">
      <c r="E577" s="9"/>
      <c r="F577" s="9"/>
      <c r="H577" s="9"/>
      <c r="M577" s="9"/>
      <c r="N577" s="9"/>
      <c r="O577" s="9"/>
      <c r="P577" s="9"/>
      <c r="Q577" s="9"/>
      <c r="R577" s="9"/>
      <c r="T577" s="1"/>
    </row>
    <row r="578" spans="5:20" ht="15.75" customHeight="1" x14ac:dyDescent="0.3">
      <c r="E578" s="9"/>
      <c r="F578" s="9"/>
      <c r="H578" s="9"/>
      <c r="M578" s="9"/>
      <c r="N578" s="9"/>
      <c r="O578" s="9"/>
      <c r="P578" s="9"/>
      <c r="Q578" s="9"/>
      <c r="R578" s="9"/>
      <c r="T578" s="1"/>
    </row>
    <row r="579" spans="5:20" ht="15.75" customHeight="1" x14ac:dyDescent="0.3">
      <c r="E579" s="9"/>
      <c r="F579" s="9"/>
      <c r="H579" s="9"/>
      <c r="M579" s="9"/>
      <c r="N579" s="9"/>
      <c r="O579" s="9"/>
      <c r="P579" s="9"/>
      <c r="Q579" s="9"/>
      <c r="R579" s="9"/>
      <c r="T579" s="1"/>
    </row>
    <row r="580" spans="5:20" ht="15.75" customHeight="1" x14ac:dyDescent="0.3">
      <c r="E580" s="9"/>
      <c r="F580" s="9"/>
      <c r="H580" s="9"/>
      <c r="M580" s="9"/>
      <c r="N580" s="9"/>
      <c r="O580" s="9"/>
      <c r="P580" s="9"/>
      <c r="Q580" s="9"/>
      <c r="R580" s="9"/>
      <c r="T580" s="1"/>
    </row>
    <row r="581" spans="5:20" ht="15.75" customHeight="1" x14ac:dyDescent="0.3">
      <c r="E581" s="9"/>
      <c r="F581" s="9"/>
      <c r="H581" s="9"/>
      <c r="M581" s="9"/>
      <c r="N581" s="9"/>
      <c r="O581" s="9"/>
      <c r="P581" s="9"/>
      <c r="Q581" s="9"/>
      <c r="R581" s="9"/>
      <c r="T581" s="1"/>
    </row>
    <row r="582" spans="5:20" ht="15.75" customHeight="1" x14ac:dyDescent="0.3">
      <c r="E582" s="9"/>
      <c r="F582" s="9"/>
      <c r="H582" s="9"/>
      <c r="M582" s="9"/>
      <c r="N582" s="9"/>
      <c r="O582" s="9"/>
      <c r="P582" s="9"/>
      <c r="Q582" s="9"/>
      <c r="R582" s="9"/>
      <c r="T582" s="1"/>
    </row>
    <row r="583" spans="5:20" ht="15.75" customHeight="1" x14ac:dyDescent="0.3">
      <c r="E583" s="9"/>
      <c r="F583" s="9"/>
      <c r="H583" s="9"/>
      <c r="M583" s="9"/>
      <c r="N583" s="9"/>
      <c r="O583" s="9"/>
      <c r="P583" s="9"/>
      <c r="Q583" s="9"/>
      <c r="R583" s="9"/>
      <c r="T583" s="1"/>
    </row>
    <row r="584" spans="5:20" ht="15.75" customHeight="1" x14ac:dyDescent="0.3">
      <c r="E584" s="9"/>
      <c r="F584" s="9"/>
      <c r="H584" s="9"/>
      <c r="M584" s="9"/>
      <c r="N584" s="9"/>
      <c r="O584" s="9"/>
      <c r="P584" s="9"/>
      <c r="Q584" s="9"/>
      <c r="R584" s="9"/>
      <c r="T584" s="1"/>
    </row>
    <row r="585" spans="5:20" ht="15.75" customHeight="1" x14ac:dyDescent="0.3">
      <c r="E585" s="9"/>
      <c r="F585" s="9"/>
      <c r="H585" s="9"/>
      <c r="M585" s="9"/>
      <c r="N585" s="9"/>
      <c r="O585" s="9"/>
      <c r="P585" s="9"/>
      <c r="Q585" s="9"/>
      <c r="R585" s="9"/>
      <c r="T585" s="1"/>
    </row>
    <row r="586" spans="5:20" ht="15.75" customHeight="1" x14ac:dyDescent="0.3">
      <c r="E586" s="9"/>
      <c r="F586" s="9"/>
      <c r="H586" s="9"/>
      <c r="M586" s="9"/>
      <c r="N586" s="9"/>
      <c r="O586" s="9"/>
      <c r="P586" s="9"/>
      <c r="Q586" s="9"/>
      <c r="R586" s="9"/>
      <c r="T586" s="1"/>
    </row>
    <row r="587" spans="5:20" ht="15.75" customHeight="1" x14ac:dyDescent="0.3">
      <c r="E587" s="9"/>
      <c r="F587" s="9"/>
      <c r="H587" s="9"/>
      <c r="M587" s="9"/>
      <c r="N587" s="9"/>
      <c r="O587" s="9"/>
      <c r="P587" s="9"/>
      <c r="Q587" s="9"/>
      <c r="R587" s="9"/>
      <c r="T587" s="1"/>
    </row>
    <row r="588" spans="5:20" ht="15.75" customHeight="1" x14ac:dyDescent="0.3">
      <c r="E588" s="9"/>
      <c r="F588" s="9"/>
      <c r="H588" s="9"/>
      <c r="M588" s="9"/>
      <c r="N588" s="9"/>
      <c r="O588" s="9"/>
      <c r="P588" s="9"/>
      <c r="Q588" s="9"/>
      <c r="R588" s="9"/>
      <c r="T588" s="1"/>
    </row>
    <row r="589" spans="5:20" ht="15.75" customHeight="1" x14ac:dyDescent="0.3">
      <c r="E589" s="9"/>
      <c r="F589" s="9"/>
      <c r="H589" s="9"/>
      <c r="M589" s="9"/>
      <c r="N589" s="9"/>
      <c r="O589" s="9"/>
      <c r="P589" s="9"/>
      <c r="Q589" s="9"/>
      <c r="R589" s="9"/>
      <c r="T589" s="1"/>
    </row>
    <row r="590" spans="5:20" ht="15.75" customHeight="1" x14ac:dyDescent="0.3">
      <c r="E590" s="9"/>
      <c r="F590" s="9"/>
      <c r="H590" s="9"/>
      <c r="M590" s="9"/>
      <c r="N590" s="9"/>
      <c r="O590" s="9"/>
      <c r="P590" s="9"/>
      <c r="Q590" s="9"/>
      <c r="R590" s="9"/>
      <c r="T590" s="1"/>
    </row>
    <row r="591" spans="5:20" ht="15.75" customHeight="1" x14ac:dyDescent="0.3">
      <c r="E591" s="9"/>
      <c r="F591" s="9"/>
      <c r="H591" s="9"/>
      <c r="M591" s="9"/>
      <c r="N591" s="9"/>
      <c r="O591" s="9"/>
      <c r="P591" s="9"/>
      <c r="Q591" s="9"/>
      <c r="R591" s="9"/>
      <c r="T591" s="1"/>
    </row>
    <row r="592" spans="5:20" ht="15.75" customHeight="1" x14ac:dyDescent="0.3">
      <c r="E592" s="9"/>
      <c r="F592" s="9"/>
      <c r="H592" s="9"/>
      <c r="M592" s="9"/>
      <c r="N592" s="9"/>
      <c r="O592" s="9"/>
      <c r="P592" s="9"/>
      <c r="Q592" s="9"/>
      <c r="R592" s="9"/>
      <c r="T592" s="1"/>
    </row>
    <row r="593" spans="5:20" ht="15.75" customHeight="1" x14ac:dyDescent="0.3">
      <c r="E593" s="9"/>
      <c r="F593" s="9"/>
      <c r="H593" s="9"/>
      <c r="M593" s="9"/>
      <c r="N593" s="9"/>
      <c r="O593" s="9"/>
      <c r="P593" s="9"/>
      <c r="Q593" s="9"/>
      <c r="R593" s="9"/>
      <c r="T593" s="1"/>
    </row>
    <row r="594" spans="5:20" ht="15.75" customHeight="1" x14ac:dyDescent="0.3">
      <c r="E594" s="9"/>
      <c r="F594" s="9"/>
      <c r="H594" s="9"/>
      <c r="M594" s="9"/>
      <c r="N594" s="9"/>
      <c r="O594" s="9"/>
      <c r="P594" s="9"/>
      <c r="Q594" s="9"/>
      <c r="R594" s="9"/>
      <c r="T594" s="1"/>
    </row>
    <row r="595" spans="5:20" ht="15.75" customHeight="1" x14ac:dyDescent="0.3">
      <c r="E595" s="9"/>
      <c r="F595" s="9"/>
      <c r="H595" s="9"/>
      <c r="M595" s="9"/>
      <c r="N595" s="9"/>
      <c r="O595" s="9"/>
      <c r="P595" s="9"/>
      <c r="Q595" s="9"/>
      <c r="R595" s="9"/>
      <c r="T595" s="1"/>
    </row>
    <row r="596" spans="5:20" ht="15.75" customHeight="1" x14ac:dyDescent="0.3">
      <c r="E596" s="9"/>
      <c r="F596" s="9"/>
      <c r="H596" s="9"/>
      <c r="M596" s="9"/>
      <c r="N596" s="9"/>
      <c r="O596" s="9"/>
      <c r="P596" s="9"/>
      <c r="Q596" s="9"/>
      <c r="R596" s="9"/>
      <c r="T596" s="1"/>
    </row>
    <row r="597" spans="5:20" ht="15.75" customHeight="1" x14ac:dyDescent="0.3">
      <c r="E597" s="9"/>
      <c r="F597" s="9"/>
      <c r="H597" s="9"/>
      <c r="M597" s="9"/>
      <c r="N597" s="9"/>
      <c r="O597" s="9"/>
      <c r="P597" s="9"/>
      <c r="Q597" s="9"/>
      <c r="R597" s="9"/>
      <c r="T597" s="1"/>
    </row>
    <row r="598" spans="5:20" ht="15.75" customHeight="1" x14ac:dyDescent="0.3">
      <c r="E598" s="9"/>
      <c r="F598" s="9"/>
      <c r="H598" s="9"/>
      <c r="M598" s="9"/>
      <c r="N598" s="9"/>
      <c r="O598" s="9"/>
      <c r="P598" s="9"/>
      <c r="Q598" s="9"/>
      <c r="R598" s="9"/>
      <c r="T598" s="1"/>
    </row>
    <row r="599" spans="5:20" ht="15.75" customHeight="1" x14ac:dyDescent="0.3">
      <c r="E599" s="9"/>
      <c r="F599" s="9"/>
      <c r="H599" s="9"/>
      <c r="M599" s="9"/>
      <c r="N599" s="9"/>
      <c r="O599" s="9"/>
      <c r="P599" s="9"/>
      <c r="Q599" s="9"/>
      <c r="R599" s="9"/>
      <c r="T599" s="1"/>
    </row>
    <row r="600" spans="5:20" ht="15.75" customHeight="1" x14ac:dyDescent="0.3">
      <c r="E600" s="9"/>
      <c r="F600" s="9"/>
      <c r="H600" s="9"/>
      <c r="M600" s="9"/>
      <c r="N600" s="9"/>
      <c r="O600" s="9"/>
      <c r="P600" s="9"/>
      <c r="Q600" s="9"/>
      <c r="R600" s="9"/>
      <c r="T600" s="1"/>
    </row>
    <row r="601" spans="5:20" ht="15.75" customHeight="1" x14ac:dyDescent="0.3">
      <c r="E601" s="9"/>
      <c r="F601" s="9"/>
      <c r="H601" s="9"/>
      <c r="M601" s="9"/>
      <c r="N601" s="9"/>
      <c r="O601" s="9"/>
      <c r="P601" s="9"/>
      <c r="Q601" s="9"/>
      <c r="R601" s="9"/>
      <c r="T601" s="1"/>
    </row>
    <row r="602" spans="5:20" ht="15.75" customHeight="1" x14ac:dyDescent="0.3">
      <c r="E602" s="9"/>
      <c r="F602" s="9"/>
      <c r="H602" s="9"/>
      <c r="M602" s="9"/>
      <c r="N602" s="9"/>
      <c r="O602" s="9"/>
      <c r="P602" s="9"/>
      <c r="Q602" s="9"/>
      <c r="R602" s="9"/>
      <c r="T602" s="1"/>
    </row>
    <row r="603" spans="5:20" ht="15.75" customHeight="1" x14ac:dyDescent="0.3">
      <c r="E603" s="9"/>
      <c r="F603" s="9"/>
      <c r="H603" s="9"/>
      <c r="M603" s="9"/>
      <c r="N603" s="9"/>
      <c r="O603" s="9"/>
      <c r="P603" s="9"/>
      <c r="Q603" s="9"/>
      <c r="R603" s="9"/>
      <c r="T603" s="1"/>
    </row>
    <row r="604" spans="5:20" ht="15.75" customHeight="1" x14ac:dyDescent="0.3">
      <c r="E604" s="9"/>
      <c r="F604" s="9"/>
      <c r="H604" s="9"/>
      <c r="M604" s="9"/>
      <c r="N604" s="9"/>
      <c r="O604" s="9"/>
      <c r="P604" s="9"/>
      <c r="Q604" s="9"/>
      <c r="R604" s="9"/>
      <c r="T604" s="1"/>
    </row>
    <row r="605" spans="5:20" ht="15.75" customHeight="1" x14ac:dyDescent="0.3">
      <c r="E605" s="9"/>
      <c r="F605" s="9"/>
      <c r="H605" s="9"/>
      <c r="M605" s="9"/>
      <c r="N605" s="9"/>
      <c r="O605" s="9"/>
      <c r="P605" s="9"/>
      <c r="Q605" s="9"/>
      <c r="R605" s="9"/>
      <c r="T605" s="1"/>
    </row>
    <row r="606" spans="5:20" ht="15.75" customHeight="1" x14ac:dyDescent="0.3">
      <c r="E606" s="9"/>
      <c r="F606" s="9"/>
      <c r="H606" s="9"/>
      <c r="M606" s="9"/>
      <c r="N606" s="9"/>
      <c r="O606" s="9"/>
      <c r="P606" s="9"/>
      <c r="Q606" s="9"/>
      <c r="R606" s="9"/>
      <c r="T606" s="1"/>
    </row>
    <row r="607" spans="5:20" ht="15.75" customHeight="1" x14ac:dyDescent="0.3">
      <c r="E607" s="9"/>
      <c r="F607" s="9"/>
      <c r="H607" s="9"/>
      <c r="M607" s="9"/>
      <c r="N607" s="9"/>
      <c r="O607" s="9"/>
      <c r="P607" s="9"/>
      <c r="Q607" s="9"/>
      <c r="R607" s="9"/>
      <c r="T607" s="1"/>
    </row>
    <row r="608" spans="5:20" ht="15.75" customHeight="1" x14ac:dyDescent="0.3">
      <c r="E608" s="9"/>
      <c r="F608" s="9"/>
      <c r="H608" s="9"/>
      <c r="M608" s="9"/>
      <c r="N608" s="9"/>
      <c r="O608" s="9"/>
      <c r="P608" s="9"/>
      <c r="Q608" s="9"/>
      <c r="R608" s="9"/>
      <c r="T608" s="1"/>
    </row>
    <row r="609" spans="5:20" ht="15.75" customHeight="1" x14ac:dyDescent="0.3">
      <c r="E609" s="9"/>
      <c r="F609" s="9"/>
      <c r="H609" s="9"/>
      <c r="M609" s="9"/>
      <c r="N609" s="9"/>
      <c r="O609" s="9"/>
      <c r="P609" s="9"/>
      <c r="Q609" s="9"/>
      <c r="R609" s="9"/>
      <c r="T609" s="1"/>
    </row>
    <row r="610" spans="5:20" ht="15.75" customHeight="1" x14ac:dyDescent="0.3">
      <c r="E610" s="9"/>
      <c r="F610" s="9"/>
      <c r="H610" s="9"/>
      <c r="M610" s="9"/>
      <c r="N610" s="9"/>
      <c r="O610" s="9"/>
      <c r="P610" s="9"/>
      <c r="Q610" s="9"/>
      <c r="R610" s="9"/>
      <c r="T610" s="1"/>
    </row>
    <row r="611" spans="5:20" ht="15.75" customHeight="1" x14ac:dyDescent="0.3">
      <c r="E611" s="9"/>
      <c r="F611" s="9"/>
      <c r="H611" s="9"/>
      <c r="M611" s="9"/>
      <c r="N611" s="9"/>
      <c r="O611" s="9"/>
      <c r="P611" s="9"/>
      <c r="Q611" s="9"/>
      <c r="R611" s="9"/>
      <c r="T611" s="1"/>
    </row>
    <row r="612" spans="5:20" ht="15.75" customHeight="1" x14ac:dyDescent="0.3">
      <c r="E612" s="9"/>
      <c r="F612" s="9"/>
      <c r="H612" s="9"/>
      <c r="M612" s="9"/>
      <c r="N612" s="9"/>
      <c r="O612" s="9"/>
      <c r="P612" s="9"/>
      <c r="Q612" s="9"/>
      <c r="R612" s="9"/>
      <c r="T612" s="1"/>
    </row>
    <row r="613" spans="5:20" ht="15.75" customHeight="1" x14ac:dyDescent="0.3">
      <c r="E613" s="9"/>
      <c r="F613" s="9"/>
      <c r="H613" s="9"/>
      <c r="M613" s="9"/>
      <c r="N613" s="9"/>
      <c r="O613" s="9"/>
      <c r="P613" s="9"/>
      <c r="Q613" s="9"/>
      <c r="R613" s="9"/>
      <c r="T613" s="1"/>
    </row>
    <row r="614" spans="5:20" ht="15.75" customHeight="1" x14ac:dyDescent="0.3">
      <c r="E614" s="9"/>
      <c r="F614" s="9"/>
      <c r="H614" s="9"/>
      <c r="M614" s="9"/>
      <c r="N614" s="9"/>
      <c r="O614" s="9"/>
      <c r="P614" s="9"/>
      <c r="Q614" s="9"/>
      <c r="R614" s="9"/>
      <c r="T614" s="1"/>
    </row>
    <row r="615" spans="5:20" ht="15.75" customHeight="1" x14ac:dyDescent="0.3">
      <c r="E615" s="9"/>
      <c r="F615" s="9"/>
      <c r="H615" s="9"/>
      <c r="M615" s="9"/>
      <c r="N615" s="9"/>
      <c r="O615" s="9"/>
      <c r="P615" s="9"/>
      <c r="Q615" s="9"/>
      <c r="R615" s="9"/>
      <c r="T615" s="1"/>
    </row>
    <row r="616" spans="5:20" ht="15.75" customHeight="1" x14ac:dyDescent="0.3">
      <c r="E616" s="9"/>
      <c r="F616" s="9"/>
      <c r="H616" s="9"/>
      <c r="M616" s="9"/>
      <c r="N616" s="9"/>
      <c r="O616" s="9"/>
      <c r="P616" s="9"/>
      <c r="Q616" s="9"/>
      <c r="R616" s="9"/>
      <c r="T616" s="1"/>
    </row>
    <row r="617" spans="5:20" ht="15.75" customHeight="1" x14ac:dyDescent="0.3">
      <c r="E617" s="9"/>
      <c r="F617" s="9"/>
      <c r="H617" s="9"/>
      <c r="M617" s="9"/>
      <c r="N617" s="9"/>
      <c r="O617" s="9"/>
      <c r="P617" s="9"/>
      <c r="Q617" s="9"/>
      <c r="R617" s="9"/>
      <c r="T617" s="1"/>
    </row>
    <row r="618" spans="5:20" ht="15.75" customHeight="1" x14ac:dyDescent="0.3">
      <c r="E618" s="9"/>
      <c r="F618" s="9"/>
      <c r="H618" s="9"/>
      <c r="M618" s="9"/>
      <c r="N618" s="9"/>
      <c r="O618" s="9"/>
      <c r="P618" s="9"/>
      <c r="Q618" s="9"/>
      <c r="R618" s="9"/>
      <c r="T618" s="1"/>
    </row>
    <row r="619" spans="5:20" ht="15.75" customHeight="1" x14ac:dyDescent="0.3">
      <c r="E619" s="9"/>
      <c r="F619" s="9"/>
      <c r="H619" s="9"/>
      <c r="M619" s="9"/>
      <c r="N619" s="9"/>
      <c r="O619" s="9"/>
      <c r="P619" s="9"/>
      <c r="Q619" s="9"/>
      <c r="R619" s="9"/>
      <c r="T619" s="1"/>
    </row>
    <row r="620" spans="5:20" ht="15.75" customHeight="1" x14ac:dyDescent="0.3">
      <c r="E620" s="9"/>
      <c r="F620" s="9"/>
      <c r="H620" s="9"/>
      <c r="M620" s="9"/>
      <c r="N620" s="9"/>
      <c r="O620" s="9"/>
      <c r="P620" s="9"/>
      <c r="Q620" s="9"/>
      <c r="R620" s="9"/>
      <c r="T620" s="1"/>
    </row>
    <row r="621" spans="5:20" ht="15.75" customHeight="1" x14ac:dyDescent="0.3">
      <c r="E621" s="9"/>
      <c r="F621" s="9"/>
      <c r="H621" s="9"/>
      <c r="M621" s="9"/>
      <c r="N621" s="9"/>
      <c r="O621" s="9"/>
      <c r="P621" s="9"/>
      <c r="Q621" s="9"/>
      <c r="R621" s="9"/>
      <c r="T621" s="1"/>
    </row>
    <row r="622" spans="5:20" ht="15.75" customHeight="1" x14ac:dyDescent="0.3">
      <c r="E622" s="9"/>
      <c r="F622" s="9"/>
      <c r="H622" s="9"/>
      <c r="M622" s="9"/>
      <c r="N622" s="9"/>
      <c r="O622" s="9"/>
      <c r="P622" s="9"/>
      <c r="Q622" s="9"/>
      <c r="R622" s="9"/>
      <c r="T622" s="1"/>
    </row>
    <row r="623" spans="5:20" ht="15.75" customHeight="1" x14ac:dyDescent="0.3">
      <c r="E623" s="9"/>
      <c r="F623" s="9"/>
      <c r="H623" s="9"/>
      <c r="M623" s="9"/>
      <c r="N623" s="9"/>
      <c r="O623" s="9"/>
      <c r="P623" s="9"/>
      <c r="Q623" s="9"/>
      <c r="R623" s="9"/>
      <c r="T623" s="1"/>
    </row>
    <row r="624" spans="5:20" ht="15.75" customHeight="1" x14ac:dyDescent="0.3">
      <c r="E624" s="9"/>
      <c r="F624" s="9"/>
      <c r="H624" s="9"/>
      <c r="M624" s="9"/>
      <c r="N624" s="9"/>
      <c r="O624" s="9"/>
      <c r="P624" s="9"/>
      <c r="Q624" s="9"/>
      <c r="R624" s="9"/>
      <c r="T624" s="1"/>
    </row>
    <row r="625" spans="5:20" ht="15.75" customHeight="1" x14ac:dyDescent="0.3">
      <c r="E625" s="9"/>
      <c r="F625" s="9"/>
      <c r="H625" s="9"/>
      <c r="M625" s="9"/>
      <c r="N625" s="9"/>
      <c r="O625" s="9"/>
      <c r="P625" s="9"/>
      <c r="Q625" s="9"/>
      <c r="R625" s="9"/>
      <c r="T625" s="1"/>
    </row>
    <row r="626" spans="5:20" ht="15.75" customHeight="1" x14ac:dyDescent="0.3">
      <c r="E626" s="9"/>
      <c r="F626" s="9"/>
      <c r="H626" s="9"/>
      <c r="M626" s="9"/>
      <c r="N626" s="9"/>
      <c r="O626" s="9"/>
      <c r="P626" s="9"/>
      <c r="Q626" s="9"/>
      <c r="R626" s="9"/>
      <c r="T626" s="1"/>
    </row>
    <row r="627" spans="5:20" ht="15.75" customHeight="1" x14ac:dyDescent="0.3">
      <c r="E627" s="9"/>
      <c r="F627" s="9"/>
      <c r="H627" s="9"/>
      <c r="M627" s="9"/>
      <c r="N627" s="9"/>
      <c r="O627" s="9"/>
      <c r="P627" s="9"/>
      <c r="Q627" s="9"/>
      <c r="R627" s="9"/>
      <c r="T627" s="1"/>
    </row>
    <row r="628" spans="5:20" ht="15.75" customHeight="1" x14ac:dyDescent="0.3">
      <c r="E628" s="9"/>
      <c r="F628" s="9"/>
      <c r="H628" s="9"/>
      <c r="M628" s="9"/>
      <c r="N628" s="9"/>
      <c r="O628" s="9"/>
      <c r="P628" s="9"/>
      <c r="Q628" s="9"/>
      <c r="R628" s="9"/>
      <c r="T628" s="1"/>
    </row>
    <row r="629" spans="5:20" ht="15.75" customHeight="1" x14ac:dyDescent="0.3">
      <c r="E629" s="9"/>
      <c r="F629" s="9"/>
      <c r="H629" s="9"/>
      <c r="M629" s="9"/>
      <c r="N629" s="9"/>
      <c r="O629" s="9"/>
      <c r="P629" s="9"/>
      <c r="Q629" s="9"/>
      <c r="R629" s="9"/>
      <c r="T629" s="1"/>
    </row>
    <row r="630" spans="5:20" ht="15.75" customHeight="1" x14ac:dyDescent="0.3">
      <c r="E630" s="9"/>
      <c r="F630" s="9"/>
      <c r="H630" s="9"/>
      <c r="M630" s="9"/>
      <c r="N630" s="9"/>
      <c r="O630" s="9"/>
      <c r="P630" s="9"/>
      <c r="Q630" s="9"/>
      <c r="R630" s="9"/>
      <c r="T630" s="1"/>
    </row>
    <row r="631" spans="5:20" ht="15.75" customHeight="1" x14ac:dyDescent="0.3">
      <c r="E631" s="9"/>
      <c r="F631" s="9"/>
      <c r="H631" s="9"/>
      <c r="M631" s="9"/>
      <c r="N631" s="9"/>
      <c r="O631" s="9"/>
      <c r="P631" s="9"/>
      <c r="Q631" s="9"/>
      <c r="R631" s="9"/>
      <c r="T631" s="1"/>
    </row>
    <row r="632" spans="5:20" ht="15.75" customHeight="1" x14ac:dyDescent="0.3">
      <c r="E632" s="9"/>
      <c r="F632" s="9"/>
      <c r="H632" s="9"/>
      <c r="M632" s="9"/>
      <c r="N632" s="9"/>
      <c r="O632" s="9"/>
      <c r="P632" s="9"/>
      <c r="Q632" s="9"/>
      <c r="R632" s="9"/>
      <c r="T632" s="1"/>
    </row>
    <row r="633" spans="5:20" ht="15.75" customHeight="1" x14ac:dyDescent="0.3">
      <c r="E633" s="9"/>
      <c r="F633" s="9"/>
      <c r="H633" s="9"/>
      <c r="M633" s="9"/>
      <c r="N633" s="9"/>
      <c r="O633" s="9"/>
      <c r="P633" s="9"/>
      <c r="Q633" s="9"/>
      <c r="R633" s="9"/>
      <c r="T633" s="1"/>
    </row>
    <row r="634" spans="5:20" ht="15.75" customHeight="1" x14ac:dyDescent="0.3">
      <c r="E634" s="9"/>
      <c r="F634" s="9"/>
      <c r="H634" s="9"/>
      <c r="M634" s="9"/>
      <c r="N634" s="9"/>
      <c r="O634" s="9"/>
      <c r="P634" s="9"/>
      <c r="Q634" s="9"/>
      <c r="R634" s="9"/>
      <c r="T634" s="1"/>
    </row>
    <row r="635" spans="5:20" ht="15.75" customHeight="1" x14ac:dyDescent="0.3">
      <c r="E635" s="9"/>
      <c r="F635" s="9"/>
      <c r="H635" s="9"/>
      <c r="M635" s="9"/>
      <c r="N635" s="9"/>
      <c r="O635" s="9"/>
      <c r="P635" s="9"/>
      <c r="Q635" s="9"/>
      <c r="R635" s="9"/>
      <c r="T635" s="1"/>
    </row>
    <row r="636" spans="5:20" ht="15.75" customHeight="1" x14ac:dyDescent="0.3">
      <c r="E636" s="9"/>
      <c r="F636" s="9"/>
      <c r="H636" s="9"/>
      <c r="M636" s="9"/>
      <c r="N636" s="9"/>
      <c r="O636" s="9"/>
      <c r="P636" s="9"/>
      <c r="Q636" s="9"/>
      <c r="R636" s="9"/>
      <c r="T636" s="1"/>
    </row>
    <row r="637" spans="5:20" ht="15.75" customHeight="1" x14ac:dyDescent="0.3">
      <c r="E637" s="9"/>
      <c r="F637" s="9"/>
      <c r="H637" s="9"/>
      <c r="M637" s="9"/>
      <c r="N637" s="9"/>
      <c r="O637" s="9"/>
      <c r="P637" s="9"/>
      <c r="Q637" s="9"/>
      <c r="R637" s="9"/>
      <c r="T637" s="1"/>
    </row>
    <row r="638" spans="5:20" ht="15.75" customHeight="1" x14ac:dyDescent="0.3">
      <c r="E638" s="9"/>
      <c r="F638" s="9"/>
      <c r="H638" s="9"/>
      <c r="M638" s="9"/>
      <c r="N638" s="9"/>
      <c r="O638" s="9"/>
      <c r="P638" s="9"/>
      <c r="Q638" s="9"/>
      <c r="R638" s="9"/>
      <c r="T638" s="1"/>
    </row>
    <row r="639" spans="5:20" ht="15.75" customHeight="1" x14ac:dyDescent="0.3">
      <c r="E639" s="9"/>
      <c r="F639" s="9"/>
      <c r="H639" s="9"/>
      <c r="M639" s="9"/>
      <c r="N639" s="9"/>
      <c r="O639" s="9"/>
      <c r="P639" s="9"/>
      <c r="Q639" s="9"/>
      <c r="R639" s="9"/>
      <c r="T639" s="1"/>
    </row>
    <row r="640" spans="5:20" ht="15.75" customHeight="1" x14ac:dyDescent="0.3">
      <c r="E640" s="9"/>
      <c r="F640" s="9"/>
      <c r="H640" s="9"/>
      <c r="M640" s="9"/>
      <c r="N640" s="9"/>
      <c r="O640" s="9"/>
      <c r="P640" s="9"/>
      <c r="Q640" s="9"/>
      <c r="R640" s="9"/>
      <c r="T640" s="1"/>
    </row>
    <row r="641" spans="5:20" ht="15.75" customHeight="1" x14ac:dyDescent="0.3">
      <c r="E641" s="9"/>
      <c r="F641" s="9"/>
      <c r="H641" s="9"/>
      <c r="M641" s="9"/>
      <c r="N641" s="9"/>
      <c r="O641" s="9"/>
      <c r="P641" s="9"/>
      <c r="Q641" s="9"/>
      <c r="R641" s="9"/>
      <c r="T641" s="1"/>
    </row>
    <row r="642" spans="5:20" ht="15.75" customHeight="1" x14ac:dyDescent="0.3">
      <c r="E642" s="9"/>
      <c r="F642" s="9"/>
      <c r="H642" s="9"/>
      <c r="M642" s="9"/>
      <c r="N642" s="9"/>
      <c r="O642" s="9"/>
      <c r="P642" s="9"/>
      <c r="Q642" s="9"/>
      <c r="R642" s="9"/>
      <c r="T642" s="1"/>
    </row>
    <row r="643" spans="5:20" ht="15.75" customHeight="1" x14ac:dyDescent="0.3">
      <c r="E643" s="9"/>
      <c r="F643" s="9"/>
      <c r="H643" s="9"/>
      <c r="M643" s="9"/>
      <c r="N643" s="9"/>
      <c r="O643" s="9"/>
      <c r="P643" s="9"/>
      <c r="Q643" s="9"/>
      <c r="R643" s="9"/>
      <c r="T643" s="1"/>
    </row>
    <row r="644" spans="5:20" ht="15.75" customHeight="1" x14ac:dyDescent="0.3">
      <c r="E644" s="9"/>
      <c r="F644" s="9"/>
      <c r="H644" s="9"/>
      <c r="M644" s="9"/>
      <c r="N644" s="9"/>
      <c r="O644" s="9"/>
      <c r="P644" s="9"/>
      <c r="Q644" s="9"/>
      <c r="R644" s="9"/>
      <c r="T644" s="1"/>
    </row>
    <row r="645" spans="5:20" ht="15.75" customHeight="1" x14ac:dyDescent="0.3">
      <c r="E645" s="9"/>
      <c r="F645" s="9"/>
      <c r="H645" s="9"/>
      <c r="M645" s="9"/>
      <c r="N645" s="9"/>
      <c r="O645" s="9"/>
      <c r="P645" s="9"/>
      <c r="Q645" s="9"/>
      <c r="R645" s="9"/>
      <c r="T645" s="1"/>
    </row>
    <row r="646" spans="5:20" ht="15.75" customHeight="1" x14ac:dyDescent="0.3">
      <c r="E646" s="9"/>
      <c r="F646" s="9"/>
      <c r="H646" s="9"/>
      <c r="M646" s="9"/>
      <c r="N646" s="9"/>
      <c r="O646" s="9"/>
      <c r="P646" s="9"/>
      <c r="Q646" s="9"/>
      <c r="R646" s="9"/>
      <c r="T646" s="1"/>
    </row>
    <row r="647" spans="5:20" ht="15.75" customHeight="1" x14ac:dyDescent="0.3">
      <c r="E647" s="9"/>
      <c r="F647" s="9"/>
      <c r="H647" s="9"/>
      <c r="M647" s="9"/>
      <c r="N647" s="9"/>
      <c r="O647" s="9"/>
      <c r="P647" s="9"/>
      <c r="Q647" s="9"/>
      <c r="R647" s="9"/>
      <c r="T647" s="1"/>
    </row>
    <row r="648" spans="5:20" ht="15.75" customHeight="1" x14ac:dyDescent="0.3">
      <c r="E648" s="9"/>
      <c r="F648" s="9"/>
      <c r="H648" s="9"/>
      <c r="M648" s="9"/>
      <c r="N648" s="9"/>
      <c r="O648" s="9"/>
      <c r="P648" s="9"/>
      <c r="Q648" s="9"/>
      <c r="R648" s="9"/>
      <c r="T648" s="1"/>
    </row>
    <row r="649" spans="5:20" ht="15.75" customHeight="1" x14ac:dyDescent="0.3">
      <c r="E649" s="9"/>
      <c r="F649" s="9"/>
      <c r="H649" s="9"/>
      <c r="M649" s="9"/>
      <c r="N649" s="9"/>
      <c r="O649" s="9"/>
      <c r="P649" s="9"/>
      <c r="Q649" s="9"/>
      <c r="R649" s="9"/>
      <c r="T649" s="1"/>
    </row>
    <row r="650" spans="5:20" ht="15.75" customHeight="1" x14ac:dyDescent="0.3">
      <c r="E650" s="9"/>
      <c r="F650" s="9"/>
      <c r="H650" s="9"/>
      <c r="M650" s="9"/>
      <c r="N650" s="9"/>
      <c r="O650" s="9"/>
      <c r="P650" s="9"/>
      <c r="Q650" s="9"/>
      <c r="R650" s="9"/>
      <c r="T650" s="1"/>
    </row>
    <row r="651" spans="5:20" ht="15.75" customHeight="1" x14ac:dyDescent="0.3">
      <c r="E651" s="9"/>
      <c r="F651" s="9"/>
      <c r="H651" s="9"/>
      <c r="M651" s="9"/>
      <c r="N651" s="9"/>
      <c r="O651" s="9"/>
      <c r="P651" s="9"/>
      <c r="Q651" s="9"/>
      <c r="R651" s="9"/>
      <c r="T651" s="1"/>
    </row>
    <row r="652" spans="5:20" ht="15.75" customHeight="1" x14ac:dyDescent="0.3">
      <c r="E652" s="9"/>
      <c r="F652" s="9"/>
      <c r="H652" s="9"/>
      <c r="M652" s="9"/>
      <c r="N652" s="9"/>
      <c r="O652" s="9"/>
      <c r="P652" s="9"/>
      <c r="Q652" s="9"/>
      <c r="R652" s="9"/>
      <c r="T652" s="1"/>
    </row>
    <row r="653" spans="5:20" ht="15.75" customHeight="1" x14ac:dyDescent="0.3">
      <c r="E653" s="9"/>
      <c r="F653" s="9"/>
      <c r="H653" s="9"/>
      <c r="M653" s="9"/>
      <c r="N653" s="9"/>
      <c r="O653" s="9"/>
      <c r="P653" s="9"/>
      <c r="Q653" s="9"/>
      <c r="R653" s="9"/>
      <c r="T653" s="1"/>
    </row>
    <row r="654" spans="5:20" ht="15.75" customHeight="1" x14ac:dyDescent="0.3">
      <c r="E654" s="9"/>
      <c r="F654" s="9"/>
      <c r="H654" s="9"/>
      <c r="M654" s="9"/>
      <c r="N654" s="9"/>
      <c r="O654" s="9"/>
      <c r="P654" s="9"/>
      <c r="Q654" s="9"/>
      <c r="R654" s="9"/>
      <c r="T654" s="1"/>
    </row>
    <row r="655" spans="5:20" ht="15.75" customHeight="1" x14ac:dyDescent="0.3">
      <c r="E655" s="9"/>
      <c r="F655" s="9"/>
      <c r="H655" s="9"/>
      <c r="M655" s="9"/>
      <c r="N655" s="9"/>
      <c r="O655" s="9"/>
      <c r="P655" s="9"/>
      <c r="Q655" s="9"/>
      <c r="R655" s="9"/>
      <c r="T655" s="1"/>
    </row>
    <row r="656" spans="5:20" ht="15.75" customHeight="1" x14ac:dyDescent="0.3">
      <c r="E656" s="9"/>
      <c r="F656" s="9"/>
      <c r="H656" s="9"/>
      <c r="M656" s="9"/>
      <c r="N656" s="9"/>
      <c r="O656" s="9"/>
      <c r="P656" s="9"/>
      <c r="Q656" s="9"/>
      <c r="R656" s="9"/>
      <c r="T656" s="1"/>
    </row>
    <row r="657" spans="5:20" ht="15.75" customHeight="1" x14ac:dyDescent="0.3">
      <c r="E657" s="9"/>
      <c r="F657" s="9"/>
      <c r="H657" s="9"/>
      <c r="M657" s="9"/>
      <c r="N657" s="9"/>
      <c r="O657" s="9"/>
      <c r="P657" s="9"/>
      <c r="Q657" s="9"/>
      <c r="R657" s="9"/>
      <c r="T657" s="1"/>
    </row>
    <row r="658" spans="5:20" ht="15.75" customHeight="1" x14ac:dyDescent="0.3">
      <c r="E658" s="9"/>
      <c r="F658" s="9"/>
      <c r="H658" s="9"/>
      <c r="M658" s="9"/>
      <c r="N658" s="9"/>
      <c r="O658" s="9"/>
      <c r="P658" s="9"/>
      <c r="Q658" s="9"/>
      <c r="R658" s="9"/>
      <c r="T658" s="1"/>
    </row>
    <row r="659" spans="5:20" ht="15.75" customHeight="1" x14ac:dyDescent="0.3">
      <c r="E659" s="9"/>
      <c r="F659" s="9"/>
      <c r="H659" s="9"/>
      <c r="M659" s="9"/>
      <c r="N659" s="9"/>
      <c r="O659" s="9"/>
      <c r="P659" s="9"/>
      <c r="Q659" s="9"/>
      <c r="R659" s="9"/>
      <c r="T659" s="1"/>
    </row>
    <row r="660" spans="5:20" ht="15.75" customHeight="1" x14ac:dyDescent="0.3">
      <c r="E660" s="9"/>
      <c r="F660" s="9"/>
      <c r="H660" s="9"/>
      <c r="M660" s="9"/>
      <c r="N660" s="9"/>
      <c r="O660" s="9"/>
      <c r="P660" s="9"/>
      <c r="Q660" s="9"/>
      <c r="R660" s="9"/>
      <c r="T660" s="1"/>
    </row>
    <row r="661" spans="5:20" ht="15.75" customHeight="1" x14ac:dyDescent="0.3">
      <c r="E661" s="9"/>
      <c r="F661" s="9"/>
      <c r="H661" s="9"/>
      <c r="M661" s="9"/>
      <c r="N661" s="9"/>
      <c r="O661" s="9"/>
      <c r="P661" s="9"/>
      <c r="Q661" s="9"/>
      <c r="R661" s="9"/>
      <c r="T661" s="1"/>
    </row>
    <row r="662" spans="5:20" ht="15.75" customHeight="1" x14ac:dyDescent="0.3">
      <c r="E662" s="9"/>
      <c r="F662" s="9"/>
      <c r="H662" s="9"/>
      <c r="M662" s="9"/>
      <c r="N662" s="9"/>
      <c r="O662" s="9"/>
      <c r="P662" s="9"/>
      <c r="Q662" s="9"/>
      <c r="R662" s="9"/>
      <c r="T662" s="1"/>
    </row>
    <row r="663" spans="5:20" ht="15.75" customHeight="1" x14ac:dyDescent="0.3">
      <c r="E663" s="9"/>
      <c r="F663" s="9"/>
      <c r="H663" s="9"/>
      <c r="M663" s="9"/>
      <c r="N663" s="9"/>
      <c r="O663" s="9"/>
      <c r="P663" s="9"/>
      <c r="Q663" s="9"/>
      <c r="R663" s="9"/>
      <c r="T663" s="1"/>
    </row>
    <row r="664" spans="5:20" ht="15.75" customHeight="1" x14ac:dyDescent="0.3">
      <c r="E664" s="9"/>
      <c r="F664" s="9"/>
      <c r="H664" s="9"/>
      <c r="M664" s="9"/>
      <c r="N664" s="9"/>
      <c r="O664" s="9"/>
      <c r="P664" s="9"/>
      <c r="Q664" s="9"/>
      <c r="R664" s="9"/>
      <c r="T664" s="1"/>
    </row>
    <row r="665" spans="5:20" ht="15.75" customHeight="1" x14ac:dyDescent="0.3">
      <c r="E665" s="9"/>
      <c r="F665" s="9"/>
      <c r="H665" s="9"/>
      <c r="M665" s="9"/>
      <c r="N665" s="9"/>
      <c r="O665" s="9"/>
      <c r="P665" s="9"/>
      <c r="Q665" s="9"/>
      <c r="R665" s="9"/>
      <c r="T665" s="1"/>
    </row>
    <row r="666" spans="5:20" ht="15.75" customHeight="1" x14ac:dyDescent="0.3">
      <c r="E666" s="9"/>
      <c r="F666" s="9"/>
      <c r="H666" s="9"/>
      <c r="M666" s="9"/>
      <c r="N666" s="9"/>
      <c r="O666" s="9"/>
      <c r="P666" s="9"/>
      <c r="Q666" s="9"/>
      <c r="R666" s="9"/>
      <c r="T666" s="1"/>
    </row>
    <row r="667" spans="5:20" ht="15.75" customHeight="1" x14ac:dyDescent="0.3">
      <c r="E667" s="9"/>
      <c r="F667" s="9"/>
      <c r="H667" s="9"/>
      <c r="M667" s="9"/>
      <c r="N667" s="9"/>
      <c r="O667" s="9"/>
      <c r="P667" s="9"/>
      <c r="Q667" s="9"/>
      <c r="R667" s="9"/>
      <c r="T667" s="1"/>
    </row>
    <row r="668" spans="5:20" ht="15.75" customHeight="1" x14ac:dyDescent="0.3">
      <c r="E668" s="9"/>
      <c r="F668" s="9"/>
      <c r="H668" s="9"/>
      <c r="M668" s="9"/>
      <c r="N668" s="9"/>
      <c r="O668" s="9"/>
      <c r="P668" s="9"/>
      <c r="Q668" s="9"/>
      <c r="R668" s="9"/>
      <c r="T668" s="1"/>
    </row>
    <row r="669" spans="5:20" ht="15.75" customHeight="1" x14ac:dyDescent="0.3">
      <c r="E669" s="9"/>
      <c r="F669" s="9"/>
      <c r="H669" s="9"/>
      <c r="M669" s="9"/>
      <c r="N669" s="9"/>
      <c r="O669" s="9"/>
      <c r="P669" s="9"/>
      <c r="Q669" s="9"/>
      <c r="R669" s="9"/>
      <c r="T669" s="1"/>
    </row>
    <row r="670" spans="5:20" ht="15.75" customHeight="1" x14ac:dyDescent="0.3">
      <c r="E670" s="9"/>
      <c r="F670" s="9"/>
      <c r="H670" s="9"/>
      <c r="M670" s="9"/>
      <c r="N670" s="9"/>
      <c r="O670" s="9"/>
      <c r="P670" s="9"/>
      <c r="Q670" s="9"/>
      <c r="R670" s="9"/>
      <c r="T670" s="1"/>
    </row>
    <row r="671" spans="5:20" ht="15.75" customHeight="1" x14ac:dyDescent="0.3">
      <c r="E671" s="9"/>
      <c r="F671" s="9"/>
      <c r="H671" s="9"/>
      <c r="M671" s="9"/>
      <c r="N671" s="9"/>
      <c r="O671" s="9"/>
      <c r="P671" s="9"/>
      <c r="Q671" s="9"/>
      <c r="R671" s="9"/>
      <c r="T671" s="1"/>
    </row>
    <row r="672" spans="5:20" ht="15.75" customHeight="1" x14ac:dyDescent="0.3">
      <c r="E672" s="9"/>
      <c r="F672" s="9"/>
      <c r="H672" s="9"/>
      <c r="M672" s="9"/>
      <c r="N672" s="9"/>
      <c r="O672" s="9"/>
      <c r="P672" s="9"/>
      <c r="Q672" s="9"/>
      <c r="R672" s="9"/>
      <c r="T672" s="1"/>
    </row>
    <row r="673" spans="5:20" ht="15.75" customHeight="1" x14ac:dyDescent="0.3">
      <c r="E673" s="9"/>
      <c r="F673" s="9"/>
      <c r="H673" s="9"/>
      <c r="M673" s="9"/>
      <c r="N673" s="9"/>
      <c r="O673" s="9"/>
      <c r="P673" s="9"/>
      <c r="Q673" s="9"/>
      <c r="R673" s="9"/>
      <c r="T673" s="1"/>
    </row>
    <row r="674" spans="5:20" ht="15.75" customHeight="1" x14ac:dyDescent="0.3">
      <c r="E674" s="9"/>
      <c r="F674" s="9"/>
      <c r="H674" s="9"/>
      <c r="M674" s="9"/>
      <c r="N674" s="9"/>
      <c r="O674" s="9"/>
      <c r="P674" s="9"/>
      <c r="Q674" s="9"/>
      <c r="R674" s="9"/>
      <c r="T674" s="1"/>
    </row>
    <row r="675" spans="5:20" ht="15.75" customHeight="1" x14ac:dyDescent="0.3">
      <c r="E675" s="9"/>
      <c r="F675" s="9"/>
      <c r="H675" s="9"/>
      <c r="M675" s="9"/>
      <c r="N675" s="9"/>
      <c r="O675" s="9"/>
      <c r="P675" s="9"/>
      <c r="Q675" s="9"/>
      <c r="R675" s="9"/>
      <c r="T675" s="1"/>
    </row>
    <row r="676" spans="5:20" ht="15.75" customHeight="1" x14ac:dyDescent="0.3">
      <c r="E676" s="9"/>
      <c r="F676" s="9"/>
      <c r="H676" s="9"/>
      <c r="M676" s="9"/>
      <c r="N676" s="9"/>
      <c r="O676" s="9"/>
      <c r="P676" s="9"/>
      <c r="Q676" s="9"/>
      <c r="R676" s="9"/>
      <c r="T676" s="1"/>
    </row>
    <row r="677" spans="5:20" ht="15.75" customHeight="1" x14ac:dyDescent="0.3">
      <c r="E677" s="9"/>
      <c r="F677" s="9"/>
      <c r="H677" s="9"/>
      <c r="M677" s="9"/>
      <c r="N677" s="9"/>
      <c r="O677" s="9"/>
      <c r="P677" s="9"/>
      <c r="Q677" s="9"/>
      <c r="R677" s="9"/>
      <c r="T677" s="1"/>
    </row>
    <row r="678" spans="5:20" ht="15.75" customHeight="1" x14ac:dyDescent="0.3">
      <c r="E678" s="9"/>
      <c r="F678" s="9"/>
      <c r="H678" s="9"/>
      <c r="M678" s="9"/>
      <c r="N678" s="9"/>
      <c r="O678" s="9"/>
      <c r="P678" s="9"/>
      <c r="Q678" s="9"/>
      <c r="R678" s="9"/>
      <c r="T678" s="1"/>
    </row>
    <row r="679" spans="5:20" ht="15.75" customHeight="1" x14ac:dyDescent="0.3">
      <c r="E679" s="9"/>
      <c r="F679" s="9"/>
      <c r="H679" s="9"/>
      <c r="M679" s="9"/>
      <c r="N679" s="9"/>
      <c r="O679" s="9"/>
      <c r="P679" s="9"/>
      <c r="Q679" s="9"/>
      <c r="R679" s="9"/>
      <c r="T679" s="1"/>
    </row>
    <row r="680" spans="5:20" ht="15.75" customHeight="1" x14ac:dyDescent="0.3">
      <c r="E680" s="9"/>
      <c r="F680" s="9"/>
      <c r="H680" s="9"/>
      <c r="M680" s="9"/>
      <c r="N680" s="9"/>
      <c r="O680" s="9"/>
      <c r="P680" s="9"/>
      <c r="Q680" s="9"/>
      <c r="R680" s="9"/>
      <c r="T680" s="1"/>
    </row>
    <row r="681" spans="5:20" ht="15.75" customHeight="1" x14ac:dyDescent="0.3">
      <c r="E681" s="9"/>
      <c r="F681" s="9"/>
      <c r="H681" s="9"/>
      <c r="M681" s="9"/>
      <c r="N681" s="9"/>
      <c r="O681" s="9"/>
      <c r="P681" s="9"/>
      <c r="Q681" s="9"/>
      <c r="R681" s="9"/>
      <c r="T681" s="1"/>
    </row>
    <row r="682" spans="5:20" ht="15.75" customHeight="1" x14ac:dyDescent="0.3">
      <c r="E682" s="9"/>
      <c r="F682" s="9"/>
      <c r="H682" s="9"/>
      <c r="M682" s="9"/>
      <c r="N682" s="9"/>
      <c r="O682" s="9"/>
      <c r="P682" s="9"/>
      <c r="Q682" s="9"/>
      <c r="R682" s="9"/>
      <c r="T682" s="1"/>
    </row>
    <row r="683" spans="5:20" ht="15.75" customHeight="1" x14ac:dyDescent="0.3">
      <c r="E683" s="9"/>
      <c r="F683" s="9"/>
      <c r="H683" s="9"/>
      <c r="M683" s="9"/>
      <c r="N683" s="9"/>
      <c r="O683" s="9"/>
      <c r="P683" s="9"/>
      <c r="Q683" s="9"/>
      <c r="R683" s="9"/>
      <c r="T683" s="1"/>
    </row>
    <row r="684" spans="5:20" ht="15.75" customHeight="1" x14ac:dyDescent="0.3">
      <c r="E684" s="9"/>
      <c r="F684" s="9"/>
      <c r="H684" s="9"/>
      <c r="M684" s="9"/>
      <c r="N684" s="9"/>
      <c r="O684" s="9"/>
      <c r="P684" s="9"/>
      <c r="Q684" s="9"/>
      <c r="R684" s="9"/>
      <c r="T684" s="1"/>
    </row>
    <row r="685" spans="5:20" ht="15.75" customHeight="1" x14ac:dyDescent="0.3">
      <c r="E685" s="9"/>
      <c r="F685" s="9"/>
      <c r="H685" s="9"/>
      <c r="M685" s="9"/>
      <c r="N685" s="9"/>
      <c r="O685" s="9"/>
      <c r="P685" s="9"/>
      <c r="Q685" s="9"/>
      <c r="R685" s="9"/>
      <c r="T685" s="1"/>
    </row>
    <row r="686" spans="5:20" ht="15.75" customHeight="1" x14ac:dyDescent="0.3">
      <c r="E686" s="9"/>
      <c r="F686" s="9"/>
      <c r="H686" s="9"/>
      <c r="M686" s="9"/>
      <c r="N686" s="9"/>
      <c r="O686" s="9"/>
      <c r="P686" s="9"/>
      <c r="Q686" s="9"/>
      <c r="R686" s="9"/>
      <c r="T686" s="1"/>
    </row>
    <row r="687" spans="5:20" ht="15.75" customHeight="1" x14ac:dyDescent="0.3">
      <c r="E687" s="9"/>
      <c r="F687" s="9"/>
      <c r="H687" s="9"/>
      <c r="M687" s="9"/>
      <c r="N687" s="9"/>
      <c r="O687" s="9"/>
      <c r="P687" s="9"/>
      <c r="Q687" s="9"/>
      <c r="R687" s="9"/>
      <c r="T687" s="1"/>
    </row>
    <row r="688" spans="5:20" ht="15.75" customHeight="1" x14ac:dyDescent="0.3">
      <c r="E688" s="9"/>
      <c r="F688" s="9"/>
      <c r="H688" s="9"/>
      <c r="M688" s="9"/>
      <c r="N688" s="9"/>
      <c r="O688" s="9"/>
      <c r="P688" s="9"/>
      <c r="Q688" s="9"/>
      <c r="R688" s="9"/>
      <c r="T688" s="1"/>
    </row>
    <row r="689" spans="5:20" ht="15.75" customHeight="1" x14ac:dyDescent="0.3">
      <c r="E689" s="9"/>
      <c r="F689" s="9"/>
      <c r="H689" s="9"/>
      <c r="M689" s="9"/>
      <c r="N689" s="9"/>
      <c r="O689" s="9"/>
      <c r="P689" s="9"/>
      <c r="Q689" s="9"/>
      <c r="R689" s="9"/>
      <c r="T689" s="1"/>
    </row>
    <row r="690" spans="5:20" ht="15.75" customHeight="1" x14ac:dyDescent="0.3">
      <c r="E690" s="9"/>
      <c r="F690" s="9"/>
      <c r="H690" s="9"/>
      <c r="M690" s="9"/>
      <c r="N690" s="9"/>
      <c r="O690" s="9"/>
      <c r="P690" s="9"/>
      <c r="Q690" s="9"/>
      <c r="R690" s="9"/>
      <c r="T690" s="1"/>
    </row>
    <row r="691" spans="5:20" ht="15.75" customHeight="1" x14ac:dyDescent="0.3">
      <c r="E691" s="9"/>
      <c r="F691" s="9"/>
      <c r="H691" s="9"/>
      <c r="M691" s="9"/>
      <c r="N691" s="9"/>
      <c r="O691" s="9"/>
      <c r="P691" s="9"/>
      <c r="Q691" s="9"/>
      <c r="R691" s="9"/>
      <c r="T691" s="1"/>
    </row>
    <row r="692" spans="5:20" ht="15.75" customHeight="1" x14ac:dyDescent="0.3">
      <c r="E692" s="9"/>
      <c r="F692" s="9"/>
      <c r="H692" s="9"/>
      <c r="M692" s="9"/>
      <c r="N692" s="9"/>
      <c r="O692" s="9"/>
      <c r="P692" s="9"/>
      <c r="Q692" s="9"/>
      <c r="R692" s="9"/>
      <c r="T692" s="1"/>
    </row>
    <row r="693" spans="5:20" ht="15.75" customHeight="1" x14ac:dyDescent="0.3">
      <c r="E693" s="9"/>
      <c r="F693" s="9"/>
      <c r="H693" s="9"/>
      <c r="M693" s="9"/>
      <c r="N693" s="9"/>
      <c r="O693" s="9"/>
      <c r="P693" s="9"/>
      <c r="Q693" s="9"/>
      <c r="R693" s="9"/>
      <c r="T693" s="1"/>
    </row>
    <row r="694" spans="5:20" ht="15.75" customHeight="1" x14ac:dyDescent="0.3">
      <c r="E694" s="9"/>
      <c r="F694" s="9"/>
      <c r="H694" s="9"/>
      <c r="M694" s="9"/>
      <c r="N694" s="9"/>
      <c r="O694" s="9"/>
      <c r="P694" s="9"/>
      <c r="Q694" s="9"/>
      <c r="R694" s="9"/>
      <c r="T694" s="1"/>
    </row>
    <row r="695" spans="5:20" ht="15.75" customHeight="1" x14ac:dyDescent="0.3">
      <c r="E695" s="9"/>
      <c r="F695" s="9"/>
      <c r="H695" s="9"/>
      <c r="M695" s="9"/>
      <c r="N695" s="9"/>
      <c r="O695" s="9"/>
      <c r="P695" s="9"/>
      <c r="Q695" s="9"/>
      <c r="R695" s="9"/>
      <c r="T695" s="1"/>
    </row>
    <row r="696" spans="5:20" ht="15.75" customHeight="1" x14ac:dyDescent="0.3">
      <c r="E696" s="9"/>
      <c r="F696" s="9"/>
      <c r="H696" s="9"/>
      <c r="M696" s="9"/>
      <c r="N696" s="9"/>
      <c r="O696" s="9"/>
      <c r="P696" s="9"/>
      <c r="Q696" s="9"/>
      <c r="R696" s="9"/>
      <c r="T696" s="1"/>
    </row>
    <row r="697" spans="5:20" ht="15.75" customHeight="1" x14ac:dyDescent="0.3">
      <c r="E697" s="9"/>
      <c r="F697" s="9"/>
      <c r="H697" s="9"/>
      <c r="M697" s="9"/>
      <c r="N697" s="9"/>
      <c r="O697" s="9"/>
      <c r="P697" s="9"/>
      <c r="Q697" s="9"/>
      <c r="R697" s="9"/>
      <c r="T697" s="1"/>
    </row>
    <row r="698" spans="5:20" ht="15.75" customHeight="1" x14ac:dyDescent="0.3">
      <c r="E698" s="9"/>
      <c r="F698" s="9"/>
      <c r="H698" s="9"/>
      <c r="M698" s="9"/>
      <c r="N698" s="9"/>
      <c r="O698" s="9"/>
      <c r="P698" s="9"/>
      <c r="Q698" s="9"/>
      <c r="R698" s="9"/>
      <c r="T698" s="1"/>
    </row>
    <row r="699" spans="5:20" ht="15.75" customHeight="1" x14ac:dyDescent="0.3">
      <c r="E699" s="9"/>
      <c r="F699" s="9"/>
      <c r="H699" s="9"/>
      <c r="M699" s="9"/>
      <c r="N699" s="9"/>
      <c r="O699" s="9"/>
      <c r="P699" s="9"/>
      <c r="Q699" s="9"/>
      <c r="R699" s="9"/>
      <c r="T699" s="1"/>
    </row>
    <row r="700" spans="5:20" ht="15.75" customHeight="1" x14ac:dyDescent="0.3">
      <c r="E700" s="9"/>
      <c r="F700" s="9"/>
      <c r="H700" s="9"/>
      <c r="M700" s="9"/>
      <c r="N700" s="9"/>
      <c r="O700" s="9"/>
      <c r="P700" s="9"/>
      <c r="Q700" s="9"/>
      <c r="R700" s="9"/>
      <c r="T700" s="1"/>
    </row>
    <row r="701" spans="5:20" ht="15.75" customHeight="1" x14ac:dyDescent="0.3">
      <c r="E701" s="9"/>
      <c r="F701" s="9"/>
      <c r="H701" s="9"/>
      <c r="M701" s="9"/>
      <c r="N701" s="9"/>
      <c r="O701" s="9"/>
      <c r="P701" s="9"/>
      <c r="Q701" s="9"/>
      <c r="R701" s="9"/>
      <c r="T701" s="1"/>
    </row>
    <row r="702" spans="5:20" ht="15.75" customHeight="1" x14ac:dyDescent="0.3">
      <c r="E702" s="9"/>
      <c r="F702" s="9"/>
      <c r="H702" s="9"/>
      <c r="M702" s="9"/>
      <c r="N702" s="9"/>
      <c r="O702" s="9"/>
      <c r="P702" s="9"/>
      <c r="Q702" s="9"/>
      <c r="R702" s="9"/>
      <c r="T702" s="1"/>
    </row>
    <row r="703" spans="5:20" ht="15.75" customHeight="1" x14ac:dyDescent="0.3">
      <c r="E703" s="9"/>
      <c r="F703" s="9"/>
      <c r="H703" s="9"/>
      <c r="M703" s="9"/>
      <c r="N703" s="9"/>
      <c r="O703" s="9"/>
      <c r="P703" s="9"/>
      <c r="Q703" s="9"/>
      <c r="R703" s="9"/>
      <c r="T703" s="1"/>
    </row>
    <row r="704" spans="5:20" ht="15.75" customHeight="1" x14ac:dyDescent="0.3">
      <c r="E704" s="9"/>
      <c r="F704" s="9"/>
      <c r="H704" s="9"/>
      <c r="M704" s="9"/>
      <c r="N704" s="9"/>
      <c r="O704" s="9"/>
      <c r="P704" s="9"/>
      <c r="Q704" s="9"/>
      <c r="R704" s="9"/>
      <c r="T704" s="1"/>
    </row>
    <row r="705" spans="5:20" ht="15.75" customHeight="1" x14ac:dyDescent="0.3">
      <c r="E705" s="9"/>
      <c r="F705" s="9"/>
      <c r="H705" s="9"/>
      <c r="M705" s="9"/>
      <c r="N705" s="9"/>
      <c r="O705" s="9"/>
      <c r="P705" s="9"/>
      <c r="Q705" s="9"/>
      <c r="R705" s="9"/>
      <c r="T705" s="1"/>
    </row>
    <row r="706" spans="5:20" ht="15.75" customHeight="1" x14ac:dyDescent="0.3">
      <c r="E706" s="9"/>
      <c r="F706" s="9"/>
      <c r="H706" s="9"/>
      <c r="M706" s="9"/>
      <c r="N706" s="9"/>
      <c r="O706" s="9"/>
      <c r="P706" s="9"/>
      <c r="Q706" s="9"/>
      <c r="R706" s="9"/>
      <c r="T706" s="1"/>
    </row>
    <row r="707" spans="5:20" ht="15.75" customHeight="1" x14ac:dyDescent="0.3">
      <c r="E707" s="9"/>
      <c r="F707" s="9"/>
      <c r="H707" s="9"/>
      <c r="M707" s="9"/>
      <c r="N707" s="9"/>
      <c r="O707" s="9"/>
      <c r="P707" s="9"/>
      <c r="Q707" s="9"/>
      <c r="R707" s="9"/>
      <c r="T707" s="1"/>
    </row>
    <row r="708" spans="5:20" ht="15.75" customHeight="1" x14ac:dyDescent="0.3">
      <c r="E708" s="9"/>
      <c r="F708" s="9"/>
      <c r="H708" s="9"/>
      <c r="M708" s="9"/>
      <c r="N708" s="9"/>
      <c r="O708" s="9"/>
      <c r="P708" s="9"/>
      <c r="Q708" s="9"/>
      <c r="R708" s="9"/>
      <c r="T708" s="1"/>
    </row>
    <row r="709" spans="5:20" ht="15.75" customHeight="1" x14ac:dyDescent="0.3">
      <c r="E709" s="9"/>
      <c r="F709" s="9"/>
      <c r="H709" s="9"/>
      <c r="M709" s="9"/>
      <c r="N709" s="9"/>
      <c r="O709" s="9"/>
      <c r="P709" s="9"/>
      <c r="Q709" s="9"/>
      <c r="R709" s="9"/>
      <c r="T709" s="1"/>
    </row>
    <row r="710" spans="5:20" ht="15.75" customHeight="1" x14ac:dyDescent="0.3">
      <c r="E710" s="9"/>
      <c r="F710" s="9"/>
      <c r="H710" s="9"/>
      <c r="M710" s="9"/>
      <c r="N710" s="9"/>
      <c r="O710" s="9"/>
      <c r="P710" s="9"/>
      <c r="Q710" s="9"/>
      <c r="R710" s="9"/>
      <c r="T710" s="1"/>
    </row>
    <row r="711" spans="5:20" ht="15.75" customHeight="1" x14ac:dyDescent="0.3">
      <c r="E711" s="9"/>
      <c r="F711" s="9"/>
      <c r="H711" s="9"/>
      <c r="M711" s="9"/>
      <c r="N711" s="9"/>
      <c r="O711" s="9"/>
      <c r="P711" s="9"/>
      <c r="Q711" s="9"/>
      <c r="R711" s="9"/>
      <c r="T711" s="1"/>
    </row>
    <row r="712" spans="5:20" ht="15.75" customHeight="1" x14ac:dyDescent="0.3">
      <c r="E712" s="9"/>
      <c r="F712" s="9"/>
      <c r="H712" s="9"/>
      <c r="M712" s="9"/>
      <c r="N712" s="9"/>
      <c r="O712" s="9"/>
      <c r="P712" s="9"/>
      <c r="Q712" s="9"/>
      <c r="R712" s="9"/>
      <c r="T712" s="1"/>
    </row>
    <row r="713" spans="5:20" ht="15.75" customHeight="1" x14ac:dyDescent="0.3">
      <c r="E713" s="9"/>
      <c r="F713" s="9"/>
      <c r="H713" s="9"/>
      <c r="M713" s="9"/>
      <c r="N713" s="9"/>
      <c r="O713" s="9"/>
      <c r="P713" s="9"/>
      <c r="Q713" s="9"/>
      <c r="R713" s="9"/>
      <c r="T713" s="1"/>
    </row>
    <row r="714" spans="5:20" ht="15.75" customHeight="1" x14ac:dyDescent="0.3">
      <c r="E714" s="9"/>
      <c r="F714" s="9"/>
      <c r="H714" s="9"/>
      <c r="M714" s="9"/>
      <c r="N714" s="9"/>
      <c r="O714" s="9"/>
      <c r="P714" s="9"/>
      <c r="Q714" s="9"/>
      <c r="R714" s="9"/>
      <c r="T714" s="1"/>
    </row>
    <row r="715" spans="5:20" ht="15.75" customHeight="1" x14ac:dyDescent="0.3">
      <c r="E715" s="9"/>
      <c r="F715" s="9"/>
      <c r="H715" s="9"/>
      <c r="M715" s="9"/>
      <c r="N715" s="9"/>
      <c r="O715" s="9"/>
      <c r="P715" s="9"/>
      <c r="Q715" s="9"/>
      <c r="R715" s="9"/>
      <c r="T715" s="1"/>
    </row>
    <row r="716" spans="5:20" ht="15.75" customHeight="1" x14ac:dyDescent="0.3">
      <c r="E716" s="9"/>
      <c r="F716" s="9"/>
      <c r="H716" s="9"/>
      <c r="M716" s="9"/>
      <c r="N716" s="9"/>
      <c r="O716" s="9"/>
      <c r="P716" s="9"/>
      <c r="Q716" s="9"/>
      <c r="R716" s="9"/>
      <c r="T716" s="1"/>
    </row>
    <row r="717" spans="5:20" ht="15.75" customHeight="1" x14ac:dyDescent="0.3">
      <c r="E717" s="9"/>
      <c r="F717" s="9"/>
      <c r="H717" s="9"/>
      <c r="M717" s="9"/>
      <c r="N717" s="9"/>
      <c r="O717" s="9"/>
      <c r="P717" s="9"/>
      <c r="Q717" s="9"/>
      <c r="R717" s="9"/>
      <c r="T717" s="1"/>
    </row>
    <row r="718" spans="5:20" ht="15.75" customHeight="1" x14ac:dyDescent="0.3">
      <c r="E718" s="9"/>
      <c r="F718" s="9"/>
      <c r="H718" s="9"/>
      <c r="M718" s="9"/>
      <c r="N718" s="9"/>
      <c r="O718" s="9"/>
      <c r="P718" s="9"/>
      <c r="Q718" s="9"/>
      <c r="R718" s="9"/>
      <c r="T718" s="1"/>
    </row>
    <row r="719" spans="5:20" ht="15.75" customHeight="1" x14ac:dyDescent="0.3">
      <c r="E719" s="9"/>
      <c r="F719" s="9"/>
      <c r="H719" s="9"/>
      <c r="M719" s="9"/>
      <c r="N719" s="9"/>
      <c r="O719" s="9"/>
      <c r="P719" s="9"/>
      <c r="Q719" s="9"/>
      <c r="R719" s="9"/>
      <c r="T719" s="1"/>
    </row>
    <row r="720" spans="5:20" ht="15.75" customHeight="1" x14ac:dyDescent="0.3">
      <c r="E720" s="9"/>
      <c r="F720" s="9"/>
      <c r="H720" s="9"/>
      <c r="M720" s="9"/>
      <c r="N720" s="9"/>
      <c r="O720" s="9"/>
      <c r="P720" s="9"/>
      <c r="Q720" s="9"/>
      <c r="R720" s="9"/>
      <c r="T720" s="1"/>
    </row>
    <row r="721" spans="5:20" ht="15.75" customHeight="1" x14ac:dyDescent="0.3">
      <c r="E721" s="9"/>
      <c r="F721" s="9"/>
      <c r="H721" s="9"/>
      <c r="M721" s="9"/>
      <c r="N721" s="9"/>
      <c r="O721" s="9"/>
      <c r="P721" s="9"/>
      <c r="Q721" s="9"/>
      <c r="R721" s="9"/>
      <c r="T721" s="1"/>
    </row>
    <row r="722" spans="5:20" ht="15.75" customHeight="1" x14ac:dyDescent="0.3">
      <c r="E722" s="9"/>
      <c r="F722" s="9"/>
      <c r="H722" s="9"/>
      <c r="M722" s="9"/>
      <c r="N722" s="9"/>
      <c r="O722" s="9"/>
      <c r="P722" s="9"/>
      <c r="Q722" s="9"/>
      <c r="R722" s="9"/>
      <c r="T722" s="1"/>
    </row>
    <row r="723" spans="5:20" ht="15.75" customHeight="1" x14ac:dyDescent="0.3">
      <c r="E723" s="9"/>
      <c r="F723" s="9"/>
      <c r="H723" s="9"/>
      <c r="M723" s="9"/>
      <c r="N723" s="9"/>
      <c r="O723" s="9"/>
      <c r="P723" s="9"/>
      <c r="Q723" s="9"/>
      <c r="R723" s="9"/>
      <c r="T723" s="1"/>
    </row>
    <row r="724" spans="5:20" ht="15.75" customHeight="1" x14ac:dyDescent="0.3">
      <c r="E724" s="9"/>
      <c r="F724" s="9"/>
      <c r="H724" s="9"/>
      <c r="M724" s="9"/>
      <c r="N724" s="9"/>
      <c r="O724" s="9"/>
      <c r="P724" s="9"/>
      <c r="Q724" s="9"/>
      <c r="R724" s="9"/>
      <c r="T724" s="1"/>
    </row>
    <row r="725" spans="5:20" ht="15.75" customHeight="1" x14ac:dyDescent="0.3">
      <c r="E725" s="9"/>
      <c r="F725" s="9"/>
      <c r="H725" s="9"/>
      <c r="M725" s="9"/>
      <c r="N725" s="9"/>
      <c r="O725" s="9"/>
      <c r="P725" s="9"/>
      <c r="Q725" s="9"/>
      <c r="R725" s="9"/>
      <c r="T725" s="1"/>
    </row>
    <row r="726" spans="5:20" ht="15.75" customHeight="1" x14ac:dyDescent="0.3">
      <c r="E726" s="9"/>
      <c r="F726" s="9"/>
      <c r="H726" s="9"/>
      <c r="M726" s="9"/>
      <c r="N726" s="9"/>
      <c r="O726" s="9"/>
      <c r="P726" s="9"/>
      <c r="Q726" s="9"/>
      <c r="R726" s="9"/>
      <c r="T726" s="1"/>
    </row>
    <row r="727" spans="5:20" ht="15.75" customHeight="1" x14ac:dyDescent="0.3">
      <c r="E727" s="9"/>
      <c r="F727" s="9"/>
      <c r="H727" s="9"/>
      <c r="M727" s="9"/>
      <c r="N727" s="9"/>
      <c r="O727" s="9"/>
      <c r="P727" s="9"/>
      <c r="Q727" s="9"/>
      <c r="R727" s="9"/>
      <c r="T727" s="1"/>
    </row>
    <row r="728" spans="5:20" ht="15.75" customHeight="1" x14ac:dyDescent="0.3">
      <c r="E728" s="9"/>
      <c r="F728" s="9"/>
      <c r="H728" s="9"/>
      <c r="M728" s="9"/>
      <c r="N728" s="9"/>
      <c r="O728" s="9"/>
      <c r="P728" s="9"/>
      <c r="Q728" s="9"/>
      <c r="R728" s="9"/>
      <c r="T728" s="1"/>
    </row>
    <row r="729" spans="5:20" ht="15.75" customHeight="1" x14ac:dyDescent="0.3">
      <c r="E729" s="9"/>
      <c r="F729" s="9"/>
      <c r="H729" s="9"/>
      <c r="M729" s="9"/>
      <c r="N729" s="9"/>
      <c r="O729" s="9"/>
      <c r="P729" s="9"/>
      <c r="Q729" s="9"/>
      <c r="R729" s="9"/>
      <c r="T729" s="1"/>
    </row>
    <row r="730" spans="5:20" ht="15.75" customHeight="1" x14ac:dyDescent="0.3">
      <c r="E730" s="9"/>
      <c r="F730" s="9"/>
      <c r="H730" s="9"/>
      <c r="M730" s="9"/>
      <c r="N730" s="9"/>
      <c r="O730" s="9"/>
      <c r="P730" s="9"/>
      <c r="Q730" s="9"/>
      <c r="R730" s="9"/>
      <c r="T730" s="1"/>
    </row>
    <row r="731" spans="5:20" ht="15.75" customHeight="1" x14ac:dyDescent="0.3">
      <c r="E731" s="9"/>
      <c r="F731" s="9"/>
      <c r="H731" s="9"/>
      <c r="M731" s="9"/>
      <c r="N731" s="9"/>
      <c r="O731" s="9"/>
      <c r="P731" s="9"/>
      <c r="Q731" s="9"/>
      <c r="R731" s="9"/>
      <c r="T731" s="1"/>
    </row>
    <row r="732" spans="5:20" ht="15.75" customHeight="1" x14ac:dyDescent="0.3">
      <c r="E732" s="9"/>
      <c r="F732" s="9"/>
      <c r="H732" s="9"/>
      <c r="M732" s="9"/>
      <c r="N732" s="9"/>
      <c r="O732" s="9"/>
      <c r="P732" s="9"/>
      <c r="Q732" s="9"/>
      <c r="R732" s="9"/>
      <c r="T732" s="1"/>
    </row>
    <row r="733" spans="5:20" ht="15.75" customHeight="1" x14ac:dyDescent="0.3">
      <c r="E733" s="9"/>
      <c r="F733" s="9"/>
      <c r="H733" s="9"/>
      <c r="M733" s="9"/>
      <c r="N733" s="9"/>
      <c r="O733" s="9"/>
      <c r="P733" s="9"/>
      <c r="Q733" s="9"/>
      <c r="R733" s="9"/>
      <c r="T733" s="1"/>
    </row>
    <row r="734" spans="5:20" ht="15.75" customHeight="1" x14ac:dyDescent="0.3">
      <c r="E734" s="9"/>
      <c r="F734" s="9"/>
      <c r="H734" s="9"/>
      <c r="M734" s="9"/>
      <c r="N734" s="9"/>
      <c r="O734" s="9"/>
      <c r="P734" s="9"/>
      <c r="Q734" s="9"/>
      <c r="R734" s="9"/>
      <c r="T734" s="1"/>
    </row>
    <row r="735" spans="5:20" ht="15.75" customHeight="1" x14ac:dyDescent="0.3">
      <c r="E735" s="9"/>
      <c r="F735" s="9"/>
      <c r="H735" s="9"/>
      <c r="M735" s="9"/>
      <c r="N735" s="9"/>
      <c r="O735" s="9"/>
      <c r="P735" s="9"/>
      <c r="Q735" s="9"/>
      <c r="R735" s="9"/>
      <c r="T735" s="1"/>
    </row>
    <row r="736" spans="5:20" ht="15.75" customHeight="1" x14ac:dyDescent="0.3">
      <c r="E736" s="9"/>
      <c r="F736" s="9"/>
      <c r="H736" s="9"/>
      <c r="M736" s="9"/>
      <c r="N736" s="9"/>
      <c r="O736" s="9"/>
      <c r="P736" s="9"/>
      <c r="Q736" s="9"/>
      <c r="R736" s="9"/>
      <c r="T736" s="1"/>
    </row>
    <row r="737" spans="5:20" ht="15.75" customHeight="1" x14ac:dyDescent="0.3">
      <c r="E737" s="9"/>
      <c r="F737" s="9"/>
      <c r="H737" s="9"/>
      <c r="M737" s="9"/>
      <c r="N737" s="9"/>
      <c r="O737" s="9"/>
      <c r="P737" s="9"/>
      <c r="Q737" s="9"/>
      <c r="R737" s="9"/>
      <c r="T737" s="1"/>
    </row>
    <row r="738" spans="5:20" ht="15.75" customHeight="1" x14ac:dyDescent="0.3">
      <c r="E738" s="9"/>
      <c r="F738" s="9"/>
      <c r="H738" s="9"/>
      <c r="M738" s="9"/>
      <c r="N738" s="9"/>
      <c r="O738" s="9"/>
      <c r="P738" s="9"/>
      <c r="Q738" s="9"/>
      <c r="R738" s="9"/>
      <c r="T738" s="1"/>
    </row>
    <row r="739" spans="5:20" ht="15.75" customHeight="1" x14ac:dyDescent="0.3">
      <c r="E739" s="9"/>
      <c r="F739" s="9"/>
      <c r="H739" s="9"/>
      <c r="M739" s="9"/>
      <c r="N739" s="9"/>
      <c r="O739" s="9"/>
      <c r="P739" s="9"/>
      <c r="Q739" s="9"/>
      <c r="R739" s="9"/>
      <c r="T739" s="1"/>
    </row>
    <row r="740" spans="5:20" ht="15.75" customHeight="1" x14ac:dyDescent="0.3">
      <c r="E740" s="9"/>
      <c r="F740" s="9"/>
      <c r="H740" s="9"/>
      <c r="M740" s="9"/>
      <c r="N740" s="9"/>
      <c r="O740" s="9"/>
      <c r="P740" s="9"/>
      <c r="Q740" s="9"/>
      <c r="R740" s="9"/>
      <c r="T740" s="1"/>
    </row>
    <row r="741" spans="5:20" ht="15.75" customHeight="1" x14ac:dyDescent="0.3">
      <c r="E741" s="9"/>
      <c r="F741" s="9"/>
      <c r="H741" s="9"/>
      <c r="M741" s="9"/>
      <c r="N741" s="9"/>
      <c r="O741" s="9"/>
      <c r="P741" s="9"/>
      <c r="Q741" s="9"/>
      <c r="R741" s="9"/>
      <c r="T741" s="1"/>
    </row>
    <row r="742" spans="5:20" ht="15.75" customHeight="1" x14ac:dyDescent="0.3">
      <c r="E742" s="9"/>
      <c r="F742" s="9"/>
      <c r="H742" s="9"/>
      <c r="M742" s="9"/>
      <c r="N742" s="9"/>
      <c r="O742" s="9"/>
      <c r="P742" s="9"/>
      <c r="Q742" s="9"/>
      <c r="R742" s="9"/>
      <c r="T742" s="1"/>
    </row>
    <row r="743" spans="5:20" ht="15.75" customHeight="1" x14ac:dyDescent="0.3">
      <c r="E743" s="9"/>
      <c r="F743" s="9"/>
      <c r="H743" s="9"/>
      <c r="M743" s="9"/>
      <c r="N743" s="9"/>
      <c r="O743" s="9"/>
      <c r="P743" s="9"/>
      <c r="Q743" s="9"/>
      <c r="R743" s="9"/>
      <c r="T743" s="1"/>
    </row>
    <row r="744" spans="5:20" ht="15.75" customHeight="1" x14ac:dyDescent="0.3">
      <c r="E744" s="9"/>
      <c r="F744" s="9"/>
      <c r="H744" s="9"/>
      <c r="M744" s="9"/>
      <c r="N744" s="9"/>
      <c r="O744" s="9"/>
      <c r="P744" s="9"/>
      <c r="Q744" s="9"/>
      <c r="R744" s="9"/>
      <c r="T744" s="1"/>
    </row>
    <row r="745" spans="5:20" ht="15.75" customHeight="1" x14ac:dyDescent="0.3">
      <c r="E745" s="9"/>
      <c r="F745" s="9"/>
      <c r="H745" s="9"/>
      <c r="M745" s="9"/>
      <c r="N745" s="9"/>
      <c r="O745" s="9"/>
      <c r="P745" s="9"/>
      <c r="Q745" s="9"/>
      <c r="R745" s="9"/>
      <c r="T745" s="1"/>
    </row>
    <row r="746" spans="5:20" ht="15.75" customHeight="1" x14ac:dyDescent="0.3">
      <c r="E746" s="9"/>
      <c r="F746" s="9"/>
      <c r="H746" s="9"/>
      <c r="M746" s="9"/>
      <c r="N746" s="9"/>
      <c r="O746" s="9"/>
      <c r="P746" s="9"/>
      <c r="Q746" s="9"/>
      <c r="R746" s="9"/>
      <c r="T746" s="1"/>
    </row>
    <row r="747" spans="5:20" ht="15.75" customHeight="1" x14ac:dyDescent="0.3">
      <c r="E747" s="9"/>
      <c r="F747" s="9"/>
      <c r="H747" s="9"/>
      <c r="M747" s="9"/>
      <c r="N747" s="9"/>
      <c r="O747" s="9"/>
      <c r="P747" s="9"/>
      <c r="Q747" s="9"/>
      <c r="R747" s="9"/>
      <c r="T747" s="1"/>
    </row>
    <row r="748" spans="5:20" ht="15.75" customHeight="1" x14ac:dyDescent="0.3">
      <c r="E748" s="9"/>
      <c r="F748" s="9"/>
      <c r="H748" s="9"/>
      <c r="M748" s="9"/>
      <c r="N748" s="9"/>
      <c r="O748" s="9"/>
      <c r="P748" s="9"/>
      <c r="Q748" s="9"/>
      <c r="R748" s="9"/>
      <c r="T748" s="1"/>
    </row>
    <row r="749" spans="5:20" ht="15.75" customHeight="1" x14ac:dyDescent="0.3">
      <c r="E749" s="9"/>
      <c r="F749" s="9"/>
      <c r="H749" s="9"/>
      <c r="M749" s="9"/>
      <c r="N749" s="9"/>
      <c r="O749" s="9"/>
      <c r="P749" s="9"/>
      <c r="Q749" s="9"/>
      <c r="R749" s="9"/>
      <c r="T749" s="1"/>
    </row>
    <row r="750" spans="5:20" ht="15.75" customHeight="1" x14ac:dyDescent="0.3">
      <c r="E750" s="9"/>
      <c r="F750" s="9"/>
      <c r="H750" s="9"/>
      <c r="M750" s="9"/>
      <c r="N750" s="9"/>
      <c r="O750" s="9"/>
      <c r="P750" s="9"/>
      <c r="Q750" s="9"/>
      <c r="R750" s="9"/>
      <c r="T750" s="1"/>
    </row>
    <row r="751" spans="5:20" ht="15.75" customHeight="1" x14ac:dyDescent="0.3">
      <c r="E751" s="9"/>
      <c r="F751" s="9"/>
      <c r="H751" s="9"/>
      <c r="M751" s="9"/>
      <c r="N751" s="9"/>
      <c r="O751" s="9"/>
      <c r="P751" s="9"/>
      <c r="Q751" s="9"/>
      <c r="R751" s="9"/>
      <c r="T751" s="1"/>
    </row>
    <row r="752" spans="5:20" ht="15.75" customHeight="1" x14ac:dyDescent="0.3">
      <c r="E752" s="9"/>
      <c r="F752" s="9"/>
      <c r="H752" s="9"/>
      <c r="M752" s="9"/>
      <c r="N752" s="9"/>
      <c r="O752" s="9"/>
      <c r="P752" s="9"/>
      <c r="Q752" s="9"/>
      <c r="R752" s="9"/>
      <c r="T752" s="1"/>
    </row>
    <row r="753" spans="5:20" ht="15.75" customHeight="1" x14ac:dyDescent="0.3">
      <c r="E753" s="9"/>
      <c r="F753" s="9"/>
      <c r="H753" s="9"/>
      <c r="M753" s="9"/>
      <c r="N753" s="9"/>
      <c r="O753" s="9"/>
      <c r="P753" s="9"/>
      <c r="Q753" s="9"/>
      <c r="R753" s="9"/>
      <c r="T753" s="1"/>
    </row>
    <row r="754" spans="5:20" ht="15.75" customHeight="1" x14ac:dyDescent="0.3">
      <c r="E754" s="9"/>
      <c r="F754" s="9"/>
      <c r="H754" s="9"/>
      <c r="M754" s="9"/>
      <c r="N754" s="9"/>
      <c r="O754" s="9"/>
      <c r="P754" s="9"/>
      <c r="Q754" s="9"/>
      <c r="R754" s="9"/>
      <c r="T754" s="1"/>
    </row>
    <row r="755" spans="5:20" ht="15.75" customHeight="1" x14ac:dyDescent="0.3">
      <c r="E755" s="9"/>
      <c r="F755" s="9"/>
      <c r="H755" s="9"/>
      <c r="M755" s="9"/>
      <c r="N755" s="9"/>
      <c r="O755" s="9"/>
      <c r="P755" s="9"/>
      <c r="Q755" s="9"/>
      <c r="R755" s="9"/>
      <c r="T755" s="1"/>
    </row>
    <row r="756" spans="5:20" ht="15.75" customHeight="1" x14ac:dyDescent="0.3">
      <c r="E756" s="9"/>
      <c r="F756" s="9"/>
      <c r="H756" s="9"/>
      <c r="M756" s="9"/>
      <c r="N756" s="9"/>
      <c r="O756" s="9"/>
      <c r="P756" s="9"/>
      <c r="Q756" s="9"/>
      <c r="R756" s="9"/>
      <c r="T756" s="1"/>
    </row>
    <row r="757" spans="5:20" ht="15.75" customHeight="1" x14ac:dyDescent="0.3">
      <c r="E757" s="9"/>
      <c r="F757" s="9"/>
      <c r="H757" s="9"/>
      <c r="M757" s="9"/>
      <c r="N757" s="9"/>
      <c r="O757" s="9"/>
      <c r="P757" s="9"/>
      <c r="Q757" s="9"/>
      <c r="R757" s="9"/>
      <c r="T757" s="1"/>
    </row>
    <row r="758" spans="5:20" ht="15.75" customHeight="1" x14ac:dyDescent="0.3">
      <c r="E758" s="9"/>
      <c r="F758" s="9"/>
      <c r="H758" s="9"/>
      <c r="M758" s="9"/>
      <c r="N758" s="9"/>
      <c r="O758" s="9"/>
      <c r="P758" s="9"/>
      <c r="Q758" s="9"/>
      <c r="R758" s="9"/>
      <c r="T758" s="1"/>
    </row>
    <row r="759" spans="5:20" ht="15.75" customHeight="1" x14ac:dyDescent="0.3">
      <c r="E759" s="9"/>
      <c r="F759" s="9"/>
      <c r="H759" s="9"/>
      <c r="M759" s="9"/>
      <c r="N759" s="9"/>
      <c r="O759" s="9"/>
      <c r="P759" s="9"/>
      <c r="Q759" s="9"/>
      <c r="R759" s="9"/>
      <c r="T759" s="1"/>
    </row>
    <row r="760" spans="5:20" ht="15.75" customHeight="1" x14ac:dyDescent="0.3">
      <c r="E760" s="9"/>
      <c r="F760" s="9"/>
      <c r="H760" s="9"/>
      <c r="M760" s="9"/>
      <c r="N760" s="9"/>
      <c r="O760" s="9"/>
      <c r="P760" s="9"/>
      <c r="Q760" s="9"/>
      <c r="R760" s="9"/>
      <c r="T760" s="1"/>
    </row>
    <row r="761" spans="5:20" ht="15.75" customHeight="1" x14ac:dyDescent="0.3">
      <c r="E761" s="9"/>
      <c r="F761" s="9"/>
      <c r="H761" s="9"/>
      <c r="M761" s="9"/>
      <c r="N761" s="9"/>
      <c r="O761" s="9"/>
      <c r="P761" s="9"/>
      <c r="Q761" s="9"/>
      <c r="R761" s="9"/>
      <c r="T761" s="1"/>
    </row>
    <row r="762" spans="5:20" ht="15.75" customHeight="1" x14ac:dyDescent="0.3">
      <c r="E762" s="9"/>
      <c r="F762" s="9"/>
      <c r="H762" s="9"/>
      <c r="M762" s="9"/>
      <c r="N762" s="9"/>
      <c r="O762" s="9"/>
      <c r="P762" s="9"/>
      <c r="Q762" s="9"/>
      <c r="R762" s="9"/>
      <c r="T762" s="1"/>
    </row>
    <row r="763" spans="5:20" ht="15.75" customHeight="1" x14ac:dyDescent="0.3">
      <c r="E763" s="9"/>
      <c r="F763" s="9"/>
      <c r="H763" s="9"/>
      <c r="M763" s="9"/>
      <c r="N763" s="9"/>
      <c r="O763" s="9"/>
      <c r="P763" s="9"/>
      <c r="Q763" s="9"/>
      <c r="R763" s="9"/>
      <c r="T763" s="1"/>
    </row>
    <row r="764" spans="5:20" ht="15.75" customHeight="1" x14ac:dyDescent="0.3">
      <c r="E764" s="9"/>
      <c r="F764" s="9"/>
      <c r="H764" s="9"/>
      <c r="M764" s="9"/>
      <c r="N764" s="9"/>
      <c r="O764" s="9"/>
      <c r="P764" s="9"/>
      <c r="Q764" s="9"/>
      <c r="R764" s="9"/>
      <c r="T764" s="1"/>
    </row>
    <row r="765" spans="5:20" ht="15.75" customHeight="1" x14ac:dyDescent="0.3">
      <c r="E765" s="9"/>
      <c r="F765" s="9"/>
      <c r="H765" s="9"/>
      <c r="M765" s="9"/>
      <c r="N765" s="9"/>
      <c r="O765" s="9"/>
      <c r="P765" s="9"/>
      <c r="Q765" s="9"/>
      <c r="R765" s="9"/>
      <c r="T765" s="1"/>
    </row>
    <row r="766" spans="5:20" ht="15.75" customHeight="1" x14ac:dyDescent="0.3">
      <c r="E766" s="9"/>
      <c r="F766" s="9"/>
      <c r="H766" s="9"/>
      <c r="M766" s="9"/>
      <c r="N766" s="9"/>
      <c r="O766" s="9"/>
      <c r="P766" s="9"/>
      <c r="Q766" s="9"/>
      <c r="R766" s="9"/>
      <c r="T766" s="1"/>
    </row>
    <row r="767" spans="5:20" ht="15.75" customHeight="1" x14ac:dyDescent="0.3">
      <c r="E767" s="9"/>
      <c r="F767" s="9"/>
      <c r="H767" s="9"/>
      <c r="M767" s="9"/>
      <c r="N767" s="9"/>
      <c r="O767" s="9"/>
      <c r="P767" s="9"/>
      <c r="Q767" s="9"/>
      <c r="R767" s="9"/>
      <c r="T767" s="1"/>
    </row>
    <row r="768" spans="5:20" ht="15.75" customHeight="1" x14ac:dyDescent="0.3">
      <c r="E768" s="9"/>
      <c r="F768" s="9"/>
      <c r="H768" s="9"/>
      <c r="M768" s="9"/>
      <c r="N768" s="9"/>
      <c r="O768" s="9"/>
      <c r="P768" s="9"/>
      <c r="Q768" s="9"/>
      <c r="R768" s="9"/>
      <c r="T768" s="1"/>
    </row>
    <row r="769" spans="5:20" ht="15.75" customHeight="1" x14ac:dyDescent="0.3">
      <c r="E769" s="9"/>
      <c r="F769" s="9"/>
      <c r="H769" s="9"/>
      <c r="M769" s="9"/>
      <c r="N769" s="9"/>
      <c r="O769" s="9"/>
      <c r="P769" s="9"/>
      <c r="Q769" s="9"/>
      <c r="R769" s="9"/>
      <c r="T769" s="1"/>
    </row>
    <row r="770" spans="5:20" ht="15.75" customHeight="1" x14ac:dyDescent="0.3">
      <c r="E770" s="9"/>
      <c r="F770" s="9"/>
      <c r="H770" s="9"/>
      <c r="M770" s="9"/>
      <c r="N770" s="9"/>
      <c r="O770" s="9"/>
      <c r="P770" s="9"/>
      <c r="Q770" s="9"/>
      <c r="R770" s="9"/>
      <c r="T770" s="1"/>
    </row>
    <row r="771" spans="5:20" ht="15.75" customHeight="1" x14ac:dyDescent="0.3">
      <c r="E771" s="9"/>
      <c r="F771" s="9"/>
      <c r="H771" s="9"/>
      <c r="M771" s="9"/>
      <c r="N771" s="9"/>
      <c r="O771" s="9"/>
      <c r="P771" s="9"/>
      <c r="Q771" s="9"/>
      <c r="R771" s="9"/>
      <c r="T771" s="1"/>
    </row>
    <row r="772" spans="5:20" ht="15.75" customHeight="1" x14ac:dyDescent="0.3">
      <c r="E772" s="9"/>
      <c r="F772" s="9"/>
      <c r="H772" s="9"/>
      <c r="M772" s="9"/>
      <c r="N772" s="9"/>
      <c r="O772" s="9"/>
      <c r="P772" s="9"/>
      <c r="Q772" s="9"/>
      <c r="R772" s="9"/>
      <c r="T772" s="1"/>
    </row>
    <row r="773" spans="5:20" ht="15.75" customHeight="1" x14ac:dyDescent="0.3">
      <c r="E773" s="9"/>
      <c r="F773" s="9"/>
      <c r="H773" s="9"/>
      <c r="M773" s="9"/>
      <c r="N773" s="9"/>
      <c r="O773" s="9"/>
      <c r="P773" s="9"/>
      <c r="Q773" s="9"/>
      <c r="R773" s="9"/>
      <c r="T773" s="1"/>
    </row>
    <row r="774" spans="5:20" ht="15.75" customHeight="1" x14ac:dyDescent="0.3">
      <c r="E774" s="9"/>
      <c r="F774" s="9"/>
      <c r="H774" s="9"/>
      <c r="M774" s="9"/>
      <c r="N774" s="9"/>
      <c r="O774" s="9"/>
      <c r="P774" s="9"/>
      <c r="Q774" s="9"/>
      <c r="R774" s="9"/>
      <c r="T774" s="1"/>
    </row>
    <row r="775" spans="5:20" ht="15.75" customHeight="1" x14ac:dyDescent="0.3">
      <c r="E775" s="9"/>
      <c r="F775" s="9"/>
      <c r="H775" s="9"/>
      <c r="M775" s="9"/>
      <c r="N775" s="9"/>
      <c r="O775" s="9"/>
      <c r="P775" s="9"/>
      <c r="Q775" s="9"/>
      <c r="R775" s="9"/>
      <c r="T775" s="1"/>
    </row>
    <row r="776" spans="5:20" ht="15.75" customHeight="1" x14ac:dyDescent="0.3">
      <c r="E776" s="9"/>
      <c r="F776" s="9"/>
      <c r="H776" s="9"/>
      <c r="M776" s="9"/>
      <c r="N776" s="9"/>
      <c r="O776" s="9"/>
      <c r="P776" s="9"/>
      <c r="Q776" s="9"/>
      <c r="R776" s="9"/>
      <c r="T776" s="1"/>
    </row>
    <row r="777" spans="5:20" ht="15.75" customHeight="1" x14ac:dyDescent="0.3">
      <c r="E777" s="9"/>
      <c r="F777" s="9"/>
      <c r="H777" s="9"/>
      <c r="M777" s="9"/>
      <c r="N777" s="9"/>
      <c r="O777" s="9"/>
      <c r="P777" s="9"/>
      <c r="Q777" s="9"/>
      <c r="R777" s="9"/>
      <c r="T777" s="1"/>
    </row>
    <row r="778" spans="5:20" ht="15.75" customHeight="1" x14ac:dyDescent="0.3">
      <c r="E778" s="9"/>
      <c r="F778" s="9"/>
      <c r="H778" s="9"/>
      <c r="M778" s="9"/>
      <c r="N778" s="9"/>
      <c r="O778" s="9"/>
      <c r="P778" s="9"/>
      <c r="Q778" s="9"/>
      <c r="R778" s="9"/>
      <c r="T778" s="1"/>
    </row>
    <row r="779" spans="5:20" ht="15.75" customHeight="1" x14ac:dyDescent="0.3">
      <c r="E779" s="9"/>
      <c r="F779" s="9"/>
      <c r="H779" s="9"/>
      <c r="M779" s="9"/>
      <c r="N779" s="9"/>
      <c r="O779" s="9"/>
      <c r="P779" s="9"/>
      <c r="Q779" s="9"/>
      <c r="R779" s="9"/>
      <c r="T779" s="1"/>
    </row>
    <row r="780" spans="5:20" ht="15.75" customHeight="1" x14ac:dyDescent="0.3">
      <c r="E780" s="9"/>
      <c r="F780" s="9"/>
      <c r="H780" s="9"/>
      <c r="M780" s="9"/>
      <c r="N780" s="9"/>
      <c r="O780" s="9"/>
      <c r="P780" s="9"/>
      <c r="Q780" s="9"/>
      <c r="R780" s="9"/>
      <c r="T780" s="1"/>
    </row>
    <row r="781" spans="5:20" ht="15.75" customHeight="1" x14ac:dyDescent="0.3">
      <c r="E781" s="9"/>
      <c r="F781" s="9"/>
      <c r="H781" s="9"/>
      <c r="M781" s="9"/>
      <c r="N781" s="9"/>
      <c r="O781" s="9"/>
      <c r="P781" s="9"/>
      <c r="Q781" s="9"/>
      <c r="R781" s="9"/>
      <c r="T781" s="1"/>
    </row>
    <row r="782" spans="5:20" ht="15.75" customHeight="1" x14ac:dyDescent="0.3">
      <c r="E782" s="9"/>
      <c r="F782" s="9"/>
      <c r="H782" s="9"/>
      <c r="M782" s="9"/>
      <c r="N782" s="9"/>
      <c r="O782" s="9"/>
      <c r="P782" s="9"/>
      <c r="Q782" s="9"/>
      <c r="R782" s="9"/>
      <c r="T782" s="1"/>
    </row>
    <row r="783" spans="5:20" ht="15.75" customHeight="1" x14ac:dyDescent="0.3">
      <c r="E783" s="9"/>
      <c r="F783" s="9"/>
      <c r="H783" s="9"/>
      <c r="M783" s="9"/>
      <c r="N783" s="9"/>
      <c r="O783" s="9"/>
      <c r="P783" s="9"/>
      <c r="Q783" s="9"/>
      <c r="R783" s="9"/>
      <c r="T783" s="1"/>
    </row>
    <row r="784" spans="5:20" ht="15.75" customHeight="1" x14ac:dyDescent="0.3">
      <c r="E784" s="9"/>
      <c r="F784" s="9"/>
      <c r="H784" s="9"/>
      <c r="M784" s="9"/>
      <c r="N784" s="9"/>
      <c r="O784" s="9"/>
      <c r="P784" s="9"/>
      <c r="Q784" s="9"/>
      <c r="R784" s="9"/>
      <c r="T784" s="1"/>
    </row>
    <row r="785" spans="5:20" ht="15.75" customHeight="1" x14ac:dyDescent="0.3">
      <c r="E785" s="9"/>
      <c r="F785" s="9"/>
      <c r="H785" s="9"/>
      <c r="M785" s="9"/>
      <c r="N785" s="9"/>
      <c r="O785" s="9"/>
      <c r="P785" s="9"/>
      <c r="Q785" s="9"/>
      <c r="R785" s="9"/>
      <c r="T785" s="1"/>
    </row>
    <row r="786" spans="5:20" ht="15.75" customHeight="1" x14ac:dyDescent="0.3">
      <c r="E786" s="9"/>
      <c r="F786" s="9"/>
      <c r="H786" s="9"/>
      <c r="M786" s="9"/>
      <c r="N786" s="9"/>
      <c r="O786" s="9"/>
      <c r="P786" s="9"/>
      <c r="Q786" s="9"/>
      <c r="R786" s="9"/>
      <c r="T786" s="1"/>
    </row>
    <row r="787" spans="5:20" ht="15.75" customHeight="1" x14ac:dyDescent="0.3">
      <c r="E787" s="9"/>
      <c r="F787" s="9"/>
      <c r="H787" s="9"/>
      <c r="M787" s="9"/>
      <c r="N787" s="9"/>
      <c r="O787" s="9"/>
      <c r="P787" s="9"/>
      <c r="Q787" s="9"/>
      <c r="R787" s="9"/>
      <c r="T787" s="1"/>
    </row>
    <row r="788" spans="5:20" ht="15.75" customHeight="1" x14ac:dyDescent="0.3">
      <c r="E788" s="9"/>
      <c r="F788" s="9"/>
      <c r="H788" s="9"/>
      <c r="M788" s="9"/>
      <c r="N788" s="9"/>
      <c r="O788" s="9"/>
      <c r="P788" s="9"/>
      <c r="Q788" s="9"/>
      <c r="R788" s="9"/>
      <c r="T788" s="1"/>
    </row>
    <row r="789" spans="5:20" ht="15.75" customHeight="1" x14ac:dyDescent="0.3">
      <c r="E789" s="9"/>
      <c r="F789" s="9"/>
      <c r="H789" s="9"/>
      <c r="M789" s="9"/>
      <c r="N789" s="9"/>
      <c r="O789" s="9"/>
      <c r="P789" s="9"/>
      <c r="Q789" s="9"/>
      <c r="R789" s="9"/>
      <c r="T789" s="1"/>
    </row>
    <row r="790" spans="5:20" ht="15.75" customHeight="1" x14ac:dyDescent="0.3">
      <c r="E790" s="9"/>
      <c r="F790" s="9"/>
      <c r="H790" s="9"/>
      <c r="M790" s="9"/>
      <c r="N790" s="9"/>
      <c r="O790" s="9"/>
      <c r="P790" s="9"/>
      <c r="Q790" s="9"/>
      <c r="R790" s="9"/>
      <c r="T790" s="1"/>
    </row>
    <row r="791" spans="5:20" ht="15.75" customHeight="1" x14ac:dyDescent="0.3">
      <c r="E791" s="9"/>
      <c r="F791" s="9"/>
      <c r="H791" s="9"/>
      <c r="M791" s="9"/>
      <c r="N791" s="9"/>
      <c r="O791" s="9"/>
      <c r="P791" s="9"/>
      <c r="Q791" s="9"/>
      <c r="R791" s="9"/>
      <c r="T791" s="1"/>
    </row>
    <row r="792" spans="5:20" ht="15.75" customHeight="1" x14ac:dyDescent="0.3">
      <c r="E792" s="9"/>
      <c r="F792" s="9"/>
      <c r="H792" s="9"/>
      <c r="M792" s="9"/>
      <c r="N792" s="9"/>
      <c r="O792" s="9"/>
      <c r="P792" s="9"/>
      <c r="Q792" s="9"/>
      <c r="R792" s="9"/>
      <c r="T792" s="1"/>
    </row>
    <row r="793" spans="5:20" ht="15.75" customHeight="1" x14ac:dyDescent="0.3">
      <c r="E793" s="9"/>
      <c r="F793" s="9"/>
      <c r="H793" s="9"/>
      <c r="M793" s="9"/>
      <c r="N793" s="9"/>
      <c r="O793" s="9"/>
      <c r="P793" s="9"/>
      <c r="Q793" s="9"/>
      <c r="R793" s="9"/>
      <c r="T793" s="1"/>
    </row>
    <row r="794" spans="5:20" ht="15.75" customHeight="1" x14ac:dyDescent="0.3">
      <c r="E794" s="9"/>
      <c r="F794" s="9"/>
      <c r="H794" s="9"/>
      <c r="M794" s="9"/>
      <c r="N794" s="9"/>
      <c r="O794" s="9"/>
      <c r="P794" s="9"/>
      <c r="Q794" s="9"/>
      <c r="R794" s="9"/>
      <c r="T794" s="1"/>
    </row>
    <row r="795" spans="5:20" ht="15.75" customHeight="1" x14ac:dyDescent="0.3">
      <c r="E795" s="9"/>
      <c r="F795" s="9"/>
      <c r="H795" s="9"/>
      <c r="M795" s="9"/>
      <c r="N795" s="9"/>
      <c r="O795" s="9"/>
      <c r="P795" s="9"/>
      <c r="Q795" s="9"/>
      <c r="R795" s="9"/>
      <c r="T795" s="1"/>
    </row>
    <row r="796" spans="5:20" ht="15.75" customHeight="1" x14ac:dyDescent="0.3">
      <c r="E796" s="9"/>
      <c r="F796" s="9"/>
      <c r="H796" s="9"/>
      <c r="M796" s="9"/>
      <c r="N796" s="9"/>
      <c r="O796" s="9"/>
      <c r="P796" s="9"/>
      <c r="Q796" s="9"/>
      <c r="R796" s="9"/>
      <c r="T796" s="1"/>
    </row>
    <row r="797" spans="5:20" ht="15.75" customHeight="1" x14ac:dyDescent="0.3">
      <c r="E797" s="9"/>
      <c r="F797" s="9"/>
      <c r="H797" s="9"/>
      <c r="M797" s="9"/>
      <c r="N797" s="9"/>
      <c r="O797" s="9"/>
      <c r="P797" s="9"/>
      <c r="Q797" s="9"/>
      <c r="R797" s="9"/>
      <c r="T797" s="1"/>
    </row>
    <row r="798" spans="5:20" ht="15.75" customHeight="1" x14ac:dyDescent="0.3">
      <c r="E798" s="9"/>
      <c r="F798" s="9"/>
      <c r="H798" s="9"/>
      <c r="M798" s="9"/>
      <c r="N798" s="9"/>
      <c r="O798" s="9"/>
      <c r="P798" s="9"/>
      <c r="Q798" s="9"/>
      <c r="R798" s="9"/>
      <c r="T798" s="1"/>
    </row>
    <row r="799" spans="5:20" ht="15.75" customHeight="1" x14ac:dyDescent="0.3">
      <c r="E799" s="9"/>
      <c r="F799" s="9"/>
      <c r="H799" s="9"/>
      <c r="M799" s="9"/>
      <c r="N799" s="9"/>
      <c r="O799" s="9"/>
      <c r="P799" s="9"/>
      <c r="Q799" s="9"/>
      <c r="R799" s="9"/>
      <c r="T799" s="1"/>
    </row>
    <row r="800" spans="5:20" ht="15.75" customHeight="1" x14ac:dyDescent="0.3">
      <c r="E800" s="9"/>
      <c r="F800" s="9"/>
      <c r="H800" s="9"/>
      <c r="M800" s="9"/>
      <c r="N800" s="9"/>
      <c r="O800" s="9"/>
      <c r="P800" s="9"/>
      <c r="Q800" s="9"/>
      <c r="R800" s="9"/>
      <c r="T800" s="1"/>
    </row>
    <row r="801" spans="5:20" ht="15.75" customHeight="1" x14ac:dyDescent="0.3">
      <c r="E801" s="9"/>
      <c r="F801" s="9"/>
      <c r="H801" s="9"/>
      <c r="M801" s="9"/>
      <c r="N801" s="9"/>
      <c r="O801" s="9"/>
      <c r="P801" s="9"/>
      <c r="Q801" s="9"/>
      <c r="R801" s="9"/>
      <c r="T801" s="1"/>
    </row>
    <row r="802" spans="5:20" ht="15.75" customHeight="1" x14ac:dyDescent="0.3">
      <c r="E802" s="9"/>
      <c r="F802" s="9"/>
      <c r="H802" s="9"/>
      <c r="M802" s="9"/>
      <c r="N802" s="9"/>
      <c r="O802" s="9"/>
      <c r="P802" s="9"/>
      <c r="Q802" s="9"/>
      <c r="R802" s="9"/>
      <c r="T802" s="1"/>
    </row>
    <row r="803" spans="5:20" ht="15.75" customHeight="1" x14ac:dyDescent="0.3">
      <c r="E803" s="9"/>
      <c r="F803" s="9"/>
      <c r="H803" s="9"/>
      <c r="M803" s="9"/>
      <c r="N803" s="9"/>
      <c r="O803" s="9"/>
      <c r="P803" s="9"/>
      <c r="Q803" s="9"/>
      <c r="R803" s="9"/>
      <c r="T803" s="1"/>
    </row>
    <row r="804" spans="5:20" ht="15.75" customHeight="1" x14ac:dyDescent="0.3">
      <c r="E804" s="9"/>
      <c r="F804" s="9"/>
      <c r="H804" s="9"/>
      <c r="M804" s="9"/>
      <c r="N804" s="9"/>
      <c r="O804" s="9"/>
      <c r="P804" s="9"/>
      <c r="Q804" s="9"/>
      <c r="R804" s="9"/>
      <c r="T804" s="1"/>
    </row>
    <row r="805" spans="5:20" ht="15.75" customHeight="1" x14ac:dyDescent="0.3">
      <c r="E805" s="9"/>
      <c r="F805" s="9"/>
      <c r="H805" s="9"/>
      <c r="M805" s="9"/>
      <c r="N805" s="9"/>
      <c r="O805" s="9"/>
      <c r="P805" s="9"/>
      <c r="Q805" s="9"/>
      <c r="R805" s="9"/>
      <c r="T805" s="1"/>
    </row>
    <row r="806" spans="5:20" ht="15.75" customHeight="1" x14ac:dyDescent="0.3">
      <c r="E806" s="9"/>
      <c r="F806" s="9"/>
      <c r="H806" s="9"/>
      <c r="M806" s="9"/>
      <c r="N806" s="9"/>
      <c r="O806" s="9"/>
      <c r="P806" s="9"/>
      <c r="Q806" s="9"/>
      <c r="R806" s="9"/>
      <c r="T806" s="1"/>
    </row>
    <row r="807" spans="5:20" ht="15.75" customHeight="1" x14ac:dyDescent="0.3">
      <c r="E807" s="9"/>
      <c r="F807" s="9"/>
      <c r="H807" s="9"/>
      <c r="M807" s="9"/>
      <c r="N807" s="9"/>
      <c r="O807" s="9"/>
      <c r="P807" s="9"/>
      <c r="Q807" s="9"/>
      <c r="R807" s="9"/>
      <c r="T807" s="1"/>
    </row>
    <row r="808" spans="5:20" ht="15.75" customHeight="1" x14ac:dyDescent="0.3">
      <c r="E808" s="9"/>
      <c r="F808" s="9"/>
      <c r="H808" s="9"/>
      <c r="M808" s="9"/>
      <c r="N808" s="9"/>
      <c r="O808" s="9"/>
      <c r="P808" s="9"/>
      <c r="Q808" s="9"/>
      <c r="R808" s="9"/>
      <c r="T808" s="1"/>
    </row>
    <row r="809" spans="5:20" ht="15.75" customHeight="1" x14ac:dyDescent="0.3">
      <c r="E809" s="9"/>
      <c r="F809" s="9"/>
      <c r="H809" s="9"/>
      <c r="M809" s="9"/>
      <c r="N809" s="9"/>
      <c r="O809" s="9"/>
      <c r="P809" s="9"/>
      <c r="Q809" s="9"/>
      <c r="R809" s="9"/>
      <c r="T809" s="1"/>
    </row>
    <row r="810" spans="5:20" ht="15.75" customHeight="1" x14ac:dyDescent="0.3">
      <c r="E810" s="9"/>
      <c r="F810" s="9"/>
      <c r="H810" s="9"/>
      <c r="M810" s="9"/>
      <c r="N810" s="9"/>
      <c r="O810" s="9"/>
      <c r="P810" s="9"/>
      <c r="Q810" s="9"/>
      <c r="R810" s="9"/>
      <c r="T810" s="1"/>
    </row>
    <row r="811" spans="5:20" ht="15.75" customHeight="1" x14ac:dyDescent="0.3">
      <c r="E811" s="9"/>
      <c r="F811" s="9"/>
      <c r="H811" s="9"/>
      <c r="M811" s="9"/>
      <c r="N811" s="9"/>
      <c r="O811" s="9"/>
      <c r="P811" s="9"/>
      <c r="Q811" s="9"/>
      <c r="R811" s="9"/>
      <c r="T811" s="1"/>
    </row>
    <row r="812" spans="5:20" ht="15.75" customHeight="1" x14ac:dyDescent="0.3">
      <c r="E812" s="9"/>
      <c r="F812" s="9"/>
      <c r="H812" s="9"/>
      <c r="M812" s="9"/>
      <c r="N812" s="9"/>
      <c r="O812" s="9"/>
      <c r="P812" s="9"/>
      <c r="Q812" s="9"/>
      <c r="R812" s="9"/>
      <c r="T812" s="1"/>
    </row>
    <row r="813" spans="5:20" ht="15.75" customHeight="1" x14ac:dyDescent="0.3">
      <c r="E813" s="9"/>
      <c r="F813" s="9"/>
      <c r="H813" s="9"/>
      <c r="M813" s="9"/>
      <c r="N813" s="9"/>
      <c r="O813" s="9"/>
      <c r="P813" s="9"/>
      <c r="Q813" s="9"/>
      <c r="R813" s="9"/>
      <c r="T813" s="1"/>
    </row>
    <row r="814" spans="5:20" ht="15.75" customHeight="1" x14ac:dyDescent="0.3">
      <c r="E814" s="9"/>
      <c r="F814" s="9"/>
      <c r="H814" s="9"/>
      <c r="M814" s="9"/>
      <c r="N814" s="9"/>
      <c r="O814" s="9"/>
      <c r="P814" s="9"/>
      <c r="Q814" s="9"/>
      <c r="R814" s="9"/>
      <c r="T814" s="1"/>
    </row>
    <row r="815" spans="5:20" ht="15.75" customHeight="1" x14ac:dyDescent="0.3">
      <c r="E815" s="9"/>
      <c r="F815" s="9"/>
      <c r="H815" s="9"/>
      <c r="M815" s="9"/>
      <c r="N815" s="9"/>
      <c r="O815" s="9"/>
      <c r="P815" s="9"/>
      <c r="Q815" s="9"/>
      <c r="R815" s="9"/>
      <c r="T815" s="1"/>
    </row>
    <row r="816" spans="5:20" ht="15.75" customHeight="1" x14ac:dyDescent="0.3">
      <c r="E816" s="9"/>
      <c r="F816" s="9"/>
      <c r="H816" s="9"/>
      <c r="M816" s="9"/>
      <c r="N816" s="9"/>
      <c r="O816" s="9"/>
      <c r="P816" s="9"/>
      <c r="Q816" s="9"/>
      <c r="R816" s="9"/>
      <c r="T816" s="1"/>
    </row>
    <row r="817" spans="5:20" ht="15.75" customHeight="1" x14ac:dyDescent="0.3">
      <c r="E817" s="9"/>
      <c r="F817" s="9"/>
      <c r="H817" s="9"/>
      <c r="M817" s="9"/>
      <c r="N817" s="9"/>
      <c r="O817" s="9"/>
      <c r="P817" s="9"/>
      <c r="Q817" s="9"/>
      <c r="R817" s="9"/>
      <c r="T817" s="1"/>
    </row>
    <row r="818" spans="5:20" ht="15.75" customHeight="1" x14ac:dyDescent="0.3">
      <c r="E818" s="9"/>
      <c r="F818" s="9"/>
      <c r="H818" s="9"/>
      <c r="M818" s="9"/>
      <c r="N818" s="9"/>
      <c r="O818" s="9"/>
      <c r="P818" s="9"/>
      <c r="Q818" s="9"/>
      <c r="R818" s="9"/>
      <c r="T818" s="1"/>
    </row>
    <row r="819" spans="5:20" ht="15.75" customHeight="1" x14ac:dyDescent="0.3">
      <c r="E819" s="9"/>
      <c r="F819" s="9"/>
      <c r="H819" s="9"/>
      <c r="M819" s="9"/>
      <c r="N819" s="9"/>
      <c r="O819" s="9"/>
      <c r="P819" s="9"/>
      <c r="Q819" s="9"/>
      <c r="R819" s="9"/>
      <c r="T819" s="1"/>
    </row>
    <row r="820" spans="5:20" ht="15.75" customHeight="1" x14ac:dyDescent="0.3">
      <c r="E820" s="9"/>
      <c r="F820" s="9"/>
      <c r="H820" s="9"/>
      <c r="M820" s="9"/>
      <c r="N820" s="9"/>
      <c r="O820" s="9"/>
      <c r="P820" s="9"/>
      <c r="Q820" s="9"/>
      <c r="R820" s="9"/>
      <c r="T820" s="1"/>
    </row>
    <row r="821" spans="5:20" ht="15.75" customHeight="1" x14ac:dyDescent="0.3">
      <c r="E821" s="9"/>
      <c r="F821" s="9"/>
      <c r="H821" s="9"/>
      <c r="M821" s="9"/>
      <c r="N821" s="9"/>
      <c r="O821" s="9"/>
      <c r="P821" s="9"/>
      <c r="Q821" s="9"/>
      <c r="R821" s="9"/>
      <c r="T821" s="1"/>
    </row>
    <row r="822" spans="5:20" ht="15.75" customHeight="1" x14ac:dyDescent="0.3">
      <c r="E822" s="9"/>
      <c r="F822" s="9"/>
      <c r="H822" s="9"/>
      <c r="M822" s="9"/>
      <c r="N822" s="9"/>
      <c r="O822" s="9"/>
      <c r="P822" s="9"/>
      <c r="Q822" s="9"/>
      <c r="R822" s="9"/>
      <c r="T822" s="1"/>
    </row>
    <row r="823" spans="5:20" ht="15.75" customHeight="1" x14ac:dyDescent="0.3">
      <c r="E823" s="9"/>
      <c r="F823" s="9"/>
      <c r="H823" s="9"/>
      <c r="M823" s="9"/>
      <c r="N823" s="9"/>
      <c r="O823" s="9"/>
      <c r="P823" s="9"/>
      <c r="Q823" s="9"/>
      <c r="R823" s="9"/>
      <c r="T823" s="1"/>
    </row>
    <row r="824" spans="5:20" ht="15.75" customHeight="1" x14ac:dyDescent="0.3">
      <c r="E824" s="9"/>
      <c r="F824" s="9"/>
      <c r="H824" s="9"/>
      <c r="M824" s="9"/>
      <c r="N824" s="9"/>
      <c r="O824" s="9"/>
      <c r="P824" s="9"/>
      <c r="Q824" s="9"/>
      <c r="R824" s="9"/>
      <c r="T824" s="1"/>
    </row>
    <row r="825" spans="5:20" ht="15.75" customHeight="1" x14ac:dyDescent="0.3">
      <c r="E825" s="9"/>
      <c r="F825" s="9"/>
      <c r="H825" s="9"/>
      <c r="M825" s="9"/>
      <c r="N825" s="9"/>
      <c r="O825" s="9"/>
      <c r="P825" s="9"/>
      <c r="Q825" s="9"/>
      <c r="R825" s="9"/>
      <c r="T825" s="1"/>
    </row>
    <row r="826" spans="5:20" ht="15.75" customHeight="1" x14ac:dyDescent="0.3">
      <c r="E826" s="9"/>
      <c r="F826" s="9"/>
      <c r="H826" s="9"/>
      <c r="M826" s="9"/>
      <c r="N826" s="9"/>
      <c r="O826" s="9"/>
      <c r="P826" s="9"/>
      <c r="Q826" s="9"/>
      <c r="R826" s="9"/>
      <c r="T826" s="1"/>
    </row>
    <row r="827" spans="5:20" ht="15.75" customHeight="1" x14ac:dyDescent="0.3">
      <c r="E827" s="9"/>
      <c r="F827" s="9"/>
      <c r="H827" s="9"/>
      <c r="M827" s="9"/>
      <c r="N827" s="9"/>
      <c r="O827" s="9"/>
      <c r="P827" s="9"/>
      <c r="Q827" s="9"/>
      <c r="R827" s="9"/>
      <c r="T827" s="1"/>
    </row>
    <row r="828" spans="5:20" ht="15.75" customHeight="1" x14ac:dyDescent="0.3">
      <c r="E828" s="9"/>
      <c r="F828" s="9"/>
      <c r="H828" s="9"/>
      <c r="M828" s="9"/>
      <c r="N828" s="9"/>
      <c r="O828" s="9"/>
      <c r="P828" s="9"/>
      <c r="Q828" s="9"/>
      <c r="R828" s="9"/>
      <c r="T828" s="1"/>
    </row>
    <row r="829" spans="5:20" ht="15.75" customHeight="1" x14ac:dyDescent="0.3">
      <c r="E829" s="9"/>
      <c r="F829" s="9"/>
      <c r="H829" s="9"/>
      <c r="M829" s="9"/>
      <c r="N829" s="9"/>
      <c r="O829" s="9"/>
      <c r="P829" s="9"/>
      <c r="Q829" s="9"/>
      <c r="R829" s="9"/>
      <c r="T829" s="1"/>
    </row>
    <row r="830" spans="5:20" ht="15.75" customHeight="1" x14ac:dyDescent="0.3">
      <c r="E830" s="9"/>
      <c r="F830" s="9"/>
      <c r="H830" s="9"/>
      <c r="M830" s="9"/>
      <c r="N830" s="9"/>
      <c r="O830" s="9"/>
      <c r="P830" s="9"/>
      <c r="Q830" s="9"/>
      <c r="R830" s="9"/>
      <c r="T830" s="1"/>
    </row>
    <row r="831" spans="5:20" ht="15.75" customHeight="1" x14ac:dyDescent="0.3">
      <c r="E831" s="9"/>
      <c r="F831" s="9"/>
      <c r="H831" s="9"/>
      <c r="M831" s="9"/>
      <c r="N831" s="9"/>
      <c r="O831" s="9"/>
      <c r="P831" s="9"/>
      <c r="Q831" s="9"/>
      <c r="R831" s="9"/>
      <c r="T831" s="1"/>
    </row>
    <row r="832" spans="5:20" ht="15.75" customHeight="1" x14ac:dyDescent="0.3">
      <c r="E832" s="9"/>
      <c r="F832" s="9"/>
      <c r="H832" s="9"/>
      <c r="M832" s="9"/>
      <c r="N832" s="9"/>
      <c r="O832" s="9"/>
      <c r="P832" s="9"/>
      <c r="Q832" s="9"/>
      <c r="R832" s="9"/>
      <c r="T832" s="1"/>
    </row>
    <row r="833" spans="5:20" ht="15.75" customHeight="1" x14ac:dyDescent="0.3">
      <c r="E833" s="9"/>
      <c r="F833" s="9"/>
      <c r="H833" s="9"/>
      <c r="M833" s="9"/>
      <c r="N833" s="9"/>
      <c r="O833" s="9"/>
      <c r="P833" s="9"/>
      <c r="Q833" s="9"/>
      <c r="R833" s="9"/>
      <c r="T833" s="1"/>
    </row>
    <row r="834" spans="5:20" ht="15.75" customHeight="1" x14ac:dyDescent="0.3">
      <c r="E834" s="9"/>
      <c r="F834" s="9"/>
      <c r="H834" s="9"/>
      <c r="M834" s="9"/>
      <c r="N834" s="9"/>
      <c r="O834" s="9"/>
      <c r="P834" s="9"/>
      <c r="Q834" s="9"/>
      <c r="R834" s="9"/>
      <c r="T834" s="1"/>
    </row>
    <row r="835" spans="5:20" ht="15.75" customHeight="1" x14ac:dyDescent="0.3">
      <c r="E835" s="9"/>
      <c r="F835" s="9"/>
      <c r="H835" s="9"/>
      <c r="M835" s="9"/>
      <c r="N835" s="9"/>
      <c r="O835" s="9"/>
      <c r="P835" s="9"/>
      <c r="Q835" s="9"/>
      <c r="R835" s="9"/>
      <c r="T835" s="1"/>
    </row>
    <row r="836" spans="5:20" ht="15.75" customHeight="1" x14ac:dyDescent="0.3">
      <c r="E836" s="9"/>
      <c r="F836" s="9"/>
      <c r="H836" s="9"/>
      <c r="M836" s="9"/>
      <c r="N836" s="9"/>
      <c r="O836" s="9"/>
      <c r="P836" s="9"/>
      <c r="Q836" s="9"/>
      <c r="R836" s="9"/>
      <c r="T836" s="1"/>
    </row>
    <row r="837" spans="5:20" ht="15.75" customHeight="1" x14ac:dyDescent="0.3">
      <c r="E837" s="9"/>
      <c r="F837" s="9"/>
      <c r="H837" s="9"/>
      <c r="M837" s="9"/>
      <c r="N837" s="9"/>
      <c r="O837" s="9"/>
      <c r="P837" s="9"/>
      <c r="Q837" s="9"/>
      <c r="R837" s="9"/>
      <c r="T837" s="1"/>
    </row>
    <row r="838" spans="5:20" ht="15.75" customHeight="1" x14ac:dyDescent="0.3">
      <c r="E838" s="9"/>
      <c r="F838" s="9"/>
      <c r="H838" s="9"/>
      <c r="M838" s="9"/>
      <c r="N838" s="9"/>
      <c r="O838" s="9"/>
      <c r="P838" s="9"/>
      <c r="Q838" s="9"/>
      <c r="R838" s="9"/>
      <c r="T838" s="1"/>
    </row>
    <row r="839" spans="5:20" ht="15.75" customHeight="1" x14ac:dyDescent="0.3">
      <c r="E839" s="9"/>
      <c r="F839" s="9"/>
      <c r="H839" s="9"/>
      <c r="M839" s="9"/>
      <c r="N839" s="9"/>
      <c r="O839" s="9"/>
      <c r="P839" s="9"/>
      <c r="Q839" s="9"/>
      <c r="R839" s="9"/>
      <c r="T839" s="1"/>
    </row>
    <row r="840" spans="5:20" ht="15.75" customHeight="1" x14ac:dyDescent="0.3">
      <c r="E840" s="9"/>
      <c r="F840" s="9"/>
      <c r="H840" s="9"/>
      <c r="M840" s="9"/>
      <c r="N840" s="9"/>
      <c r="O840" s="9"/>
      <c r="P840" s="9"/>
      <c r="Q840" s="9"/>
      <c r="R840" s="9"/>
      <c r="T840" s="1"/>
    </row>
    <row r="841" spans="5:20" ht="15.75" customHeight="1" x14ac:dyDescent="0.3">
      <c r="E841" s="9"/>
      <c r="F841" s="9"/>
      <c r="H841" s="9"/>
      <c r="M841" s="9"/>
      <c r="N841" s="9"/>
      <c r="O841" s="9"/>
      <c r="P841" s="9"/>
      <c r="Q841" s="9"/>
      <c r="R841" s="9"/>
      <c r="T841" s="1"/>
    </row>
    <row r="842" spans="5:20" ht="15.75" customHeight="1" x14ac:dyDescent="0.3">
      <c r="E842" s="9"/>
      <c r="F842" s="9"/>
      <c r="H842" s="9"/>
      <c r="M842" s="9"/>
      <c r="N842" s="9"/>
      <c r="O842" s="9"/>
      <c r="P842" s="9"/>
      <c r="Q842" s="9"/>
      <c r="R842" s="9"/>
      <c r="T842" s="1"/>
    </row>
    <row r="843" spans="5:20" ht="15.75" customHeight="1" x14ac:dyDescent="0.3">
      <c r="E843" s="9"/>
      <c r="F843" s="9"/>
      <c r="H843" s="9"/>
      <c r="M843" s="9"/>
      <c r="N843" s="9"/>
      <c r="O843" s="9"/>
      <c r="P843" s="9"/>
      <c r="Q843" s="9"/>
      <c r="R843" s="9"/>
      <c r="T843" s="1"/>
    </row>
    <row r="844" spans="5:20" ht="15.75" customHeight="1" x14ac:dyDescent="0.3">
      <c r="E844" s="9"/>
      <c r="F844" s="9"/>
      <c r="H844" s="9"/>
      <c r="M844" s="9"/>
      <c r="N844" s="9"/>
      <c r="O844" s="9"/>
      <c r="P844" s="9"/>
      <c r="Q844" s="9"/>
      <c r="R844" s="9"/>
      <c r="T844" s="1"/>
    </row>
    <row r="845" spans="5:20" ht="15.75" customHeight="1" x14ac:dyDescent="0.3">
      <c r="E845" s="9"/>
      <c r="F845" s="9"/>
      <c r="H845" s="9"/>
      <c r="M845" s="9"/>
      <c r="N845" s="9"/>
      <c r="O845" s="9"/>
      <c r="P845" s="9"/>
      <c r="Q845" s="9"/>
      <c r="R845" s="9"/>
      <c r="T845" s="1"/>
    </row>
    <row r="846" spans="5:20" ht="15.75" customHeight="1" x14ac:dyDescent="0.3">
      <c r="E846" s="9"/>
      <c r="F846" s="9"/>
      <c r="H846" s="9"/>
      <c r="M846" s="9"/>
      <c r="N846" s="9"/>
      <c r="O846" s="9"/>
      <c r="P846" s="9"/>
      <c r="Q846" s="9"/>
      <c r="R846" s="9"/>
      <c r="T846" s="1"/>
    </row>
    <row r="847" spans="5:20" ht="15.75" customHeight="1" x14ac:dyDescent="0.3">
      <c r="E847" s="9"/>
      <c r="F847" s="9"/>
      <c r="H847" s="9"/>
      <c r="M847" s="9"/>
      <c r="N847" s="9"/>
      <c r="O847" s="9"/>
      <c r="P847" s="9"/>
      <c r="Q847" s="9"/>
      <c r="R847" s="9"/>
      <c r="T847" s="1"/>
    </row>
    <row r="848" spans="5:20" ht="15.75" customHeight="1" x14ac:dyDescent="0.3">
      <c r="E848" s="9"/>
      <c r="F848" s="9"/>
      <c r="H848" s="9"/>
      <c r="M848" s="9"/>
      <c r="N848" s="9"/>
      <c r="O848" s="9"/>
      <c r="P848" s="9"/>
      <c r="Q848" s="9"/>
      <c r="R848" s="9"/>
      <c r="T848" s="1"/>
    </row>
    <row r="849" spans="5:20" ht="15.75" customHeight="1" x14ac:dyDescent="0.3">
      <c r="E849" s="9"/>
      <c r="F849" s="9"/>
      <c r="H849" s="9"/>
      <c r="M849" s="9"/>
      <c r="N849" s="9"/>
      <c r="O849" s="9"/>
      <c r="P849" s="9"/>
      <c r="Q849" s="9"/>
      <c r="R849" s="9"/>
      <c r="T849" s="1"/>
    </row>
    <row r="850" spans="5:20" ht="15.75" customHeight="1" x14ac:dyDescent="0.3">
      <c r="E850" s="9"/>
      <c r="F850" s="9"/>
      <c r="H850" s="9"/>
      <c r="M850" s="9"/>
      <c r="N850" s="9"/>
      <c r="O850" s="9"/>
      <c r="P850" s="9"/>
      <c r="Q850" s="9"/>
      <c r="R850" s="9"/>
      <c r="T850" s="1"/>
    </row>
    <row r="851" spans="5:20" ht="15.75" customHeight="1" x14ac:dyDescent="0.3">
      <c r="E851" s="9"/>
      <c r="F851" s="9"/>
      <c r="H851" s="9"/>
      <c r="M851" s="9"/>
      <c r="N851" s="9"/>
      <c r="O851" s="9"/>
      <c r="P851" s="9"/>
      <c r="Q851" s="9"/>
      <c r="R851" s="9"/>
      <c r="T851" s="1"/>
    </row>
    <row r="852" spans="5:20" ht="15.75" customHeight="1" x14ac:dyDescent="0.3">
      <c r="E852" s="9"/>
      <c r="F852" s="9"/>
      <c r="H852" s="9"/>
      <c r="M852" s="9"/>
      <c r="N852" s="9"/>
      <c r="O852" s="9"/>
      <c r="P852" s="9"/>
      <c r="Q852" s="9"/>
      <c r="R852" s="9"/>
      <c r="T852" s="1"/>
    </row>
    <row r="853" spans="5:20" ht="15.75" customHeight="1" x14ac:dyDescent="0.3">
      <c r="E853" s="9"/>
      <c r="F853" s="9"/>
      <c r="H853" s="9"/>
      <c r="M853" s="9"/>
      <c r="N853" s="9"/>
      <c r="O853" s="9"/>
      <c r="P853" s="9"/>
      <c r="Q853" s="9"/>
      <c r="R853" s="9"/>
      <c r="T853" s="1"/>
    </row>
    <row r="854" spans="5:20" ht="15.75" customHeight="1" x14ac:dyDescent="0.3">
      <c r="E854" s="9"/>
      <c r="F854" s="9"/>
      <c r="H854" s="9"/>
      <c r="M854" s="9"/>
      <c r="N854" s="9"/>
      <c r="O854" s="9"/>
      <c r="P854" s="9"/>
      <c r="Q854" s="9"/>
      <c r="R854" s="9"/>
      <c r="T854" s="1"/>
    </row>
    <row r="855" spans="5:20" ht="15.75" customHeight="1" x14ac:dyDescent="0.3">
      <c r="E855" s="9"/>
      <c r="F855" s="9"/>
      <c r="H855" s="9"/>
      <c r="M855" s="9"/>
      <c r="N855" s="9"/>
      <c r="O855" s="9"/>
      <c r="P855" s="9"/>
      <c r="Q855" s="9"/>
      <c r="R855" s="9"/>
      <c r="T855" s="1"/>
    </row>
    <row r="856" spans="5:20" ht="15.75" customHeight="1" x14ac:dyDescent="0.3">
      <c r="E856" s="9"/>
      <c r="F856" s="9"/>
      <c r="H856" s="9"/>
      <c r="M856" s="9"/>
      <c r="N856" s="9"/>
      <c r="O856" s="9"/>
      <c r="P856" s="9"/>
      <c r="Q856" s="9"/>
      <c r="R856" s="9"/>
      <c r="T856" s="1"/>
    </row>
    <row r="857" spans="5:20" ht="15.75" customHeight="1" x14ac:dyDescent="0.3">
      <c r="E857" s="9"/>
      <c r="F857" s="9"/>
      <c r="H857" s="9"/>
      <c r="M857" s="9"/>
      <c r="N857" s="9"/>
      <c r="O857" s="9"/>
      <c r="P857" s="9"/>
      <c r="Q857" s="9"/>
      <c r="R857" s="9"/>
      <c r="T857" s="1"/>
    </row>
    <row r="858" spans="5:20" ht="15.75" customHeight="1" x14ac:dyDescent="0.3">
      <c r="E858" s="9"/>
      <c r="F858" s="9"/>
      <c r="H858" s="9"/>
      <c r="M858" s="9"/>
      <c r="N858" s="9"/>
      <c r="O858" s="9"/>
      <c r="P858" s="9"/>
      <c r="Q858" s="9"/>
      <c r="R858" s="9"/>
      <c r="T858" s="1"/>
    </row>
    <row r="859" spans="5:20" ht="15.75" customHeight="1" x14ac:dyDescent="0.3">
      <c r="E859" s="9"/>
      <c r="F859" s="9"/>
      <c r="H859" s="9"/>
      <c r="M859" s="9"/>
      <c r="N859" s="9"/>
      <c r="O859" s="9"/>
      <c r="P859" s="9"/>
      <c r="Q859" s="9"/>
      <c r="R859" s="9"/>
      <c r="T859" s="1"/>
    </row>
    <row r="860" spans="5:20" ht="15.75" customHeight="1" x14ac:dyDescent="0.3">
      <c r="E860" s="9"/>
      <c r="F860" s="9"/>
      <c r="H860" s="9"/>
      <c r="M860" s="9"/>
      <c r="N860" s="9"/>
      <c r="O860" s="9"/>
      <c r="P860" s="9"/>
      <c r="Q860" s="9"/>
      <c r="R860" s="9"/>
      <c r="T860" s="1"/>
    </row>
    <row r="861" spans="5:20" ht="15.75" customHeight="1" x14ac:dyDescent="0.3">
      <c r="E861" s="9"/>
      <c r="F861" s="9"/>
      <c r="H861" s="9"/>
      <c r="M861" s="9"/>
      <c r="N861" s="9"/>
      <c r="O861" s="9"/>
      <c r="P861" s="9"/>
      <c r="Q861" s="9"/>
      <c r="R861" s="9"/>
      <c r="T861" s="1"/>
    </row>
    <row r="862" spans="5:20" ht="15.75" customHeight="1" x14ac:dyDescent="0.3">
      <c r="E862" s="9"/>
      <c r="F862" s="9"/>
      <c r="H862" s="9"/>
      <c r="M862" s="9"/>
      <c r="N862" s="9"/>
      <c r="O862" s="9"/>
      <c r="P862" s="9"/>
      <c r="Q862" s="9"/>
      <c r="R862" s="9"/>
      <c r="T862" s="1"/>
    </row>
    <row r="863" spans="5:20" ht="15.75" customHeight="1" x14ac:dyDescent="0.3">
      <c r="E863" s="9"/>
      <c r="F863" s="9"/>
      <c r="H863" s="9"/>
      <c r="M863" s="9"/>
      <c r="N863" s="9"/>
      <c r="O863" s="9"/>
      <c r="P863" s="9"/>
      <c r="Q863" s="9"/>
      <c r="R863" s="9"/>
      <c r="T863" s="1"/>
    </row>
    <row r="864" spans="5:20" ht="15.75" customHeight="1" x14ac:dyDescent="0.3">
      <c r="E864" s="9"/>
      <c r="F864" s="9"/>
      <c r="H864" s="9"/>
      <c r="M864" s="9"/>
      <c r="N864" s="9"/>
      <c r="O864" s="9"/>
      <c r="P864" s="9"/>
      <c r="Q864" s="9"/>
      <c r="R864" s="9"/>
      <c r="T864" s="1"/>
    </row>
    <row r="865" spans="5:20" ht="15.75" customHeight="1" x14ac:dyDescent="0.3">
      <c r="E865" s="9"/>
      <c r="F865" s="9"/>
      <c r="H865" s="9"/>
      <c r="M865" s="9"/>
      <c r="N865" s="9"/>
      <c r="O865" s="9"/>
      <c r="P865" s="9"/>
      <c r="Q865" s="9"/>
      <c r="R865" s="9"/>
      <c r="T865" s="1"/>
    </row>
    <row r="866" spans="5:20" ht="15.75" customHeight="1" x14ac:dyDescent="0.3">
      <c r="E866" s="9"/>
      <c r="F866" s="9"/>
      <c r="H866" s="9"/>
      <c r="M866" s="9"/>
      <c r="N866" s="9"/>
      <c r="O866" s="9"/>
      <c r="P866" s="9"/>
      <c r="Q866" s="9"/>
      <c r="R866" s="9"/>
      <c r="T866" s="1"/>
    </row>
    <row r="867" spans="5:20" ht="15.75" customHeight="1" x14ac:dyDescent="0.3">
      <c r="E867" s="9"/>
      <c r="F867" s="9"/>
      <c r="H867" s="9"/>
      <c r="M867" s="9"/>
      <c r="N867" s="9"/>
      <c r="O867" s="9"/>
      <c r="P867" s="9"/>
      <c r="Q867" s="9"/>
      <c r="R867" s="9"/>
      <c r="T867" s="1"/>
    </row>
    <row r="868" spans="5:20" ht="15.75" customHeight="1" x14ac:dyDescent="0.3">
      <c r="E868" s="9"/>
      <c r="F868" s="9"/>
      <c r="H868" s="9"/>
      <c r="M868" s="9"/>
      <c r="N868" s="9"/>
      <c r="O868" s="9"/>
      <c r="P868" s="9"/>
      <c r="Q868" s="9"/>
      <c r="R868" s="9"/>
      <c r="T868" s="1"/>
    </row>
    <row r="869" spans="5:20" ht="15.75" customHeight="1" x14ac:dyDescent="0.3">
      <c r="E869" s="9"/>
      <c r="F869" s="9"/>
      <c r="H869" s="9"/>
      <c r="M869" s="9"/>
      <c r="N869" s="9"/>
      <c r="O869" s="9"/>
      <c r="P869" s="9"/>
      <c r="Q869" s="9"/>
      <c r="R869" s="9"/>
      <c r="T869" s="1"/>
    </row>
    <row r="870" spans="5:20" ht="15.75" customHeight="1" x14ac:dyDescent="0.3">
      <c r="E870" s="9"/>
      <c r="F870" s="9"/>
      <c r="H870" s="9"/>
      <c r="M870" s="9"/>
      <c r="N870" s="9"/>
      <c r="O870" s="9"/>
      <c r="P870" s="9"/>
      <c r="Q870" s="9"/>
      <c r="R870" s="9"/>
      <c r="T870" s="1"/>
    </row>
    <row r="871" spans="5:20" ht="15.75" customHeight="1" x14ac:dyDescent="0.3">
      <c r="E871" s="9"/>
      <c r="F871" s="9"/>
      <c r="H871" s="9"/>
      <c r="M871" s="9"/>
      <c r="N871" s="9"/>
      <c r="O871" s="9"/>
      <c r="P871" s="9"/>
      <c r="Q871" s="9"/>
      <c r="R871" s="9"/>
      <c r="T871" s="1"/>
    </row>
    <row r="872" spans="5:20" ht="15.75" customHeight="1" x14ac:dyDescent="0.3">
      <c r="E872" s="9"/>
      <c r="F872" s="9"/>
      <c r="H872" s="9"/>
      <c r="M872" s="9"/>
      <c r="N872" s="9"/>
      <c r="O872" s="9"/>
      <c r="P872" s="9"/>
      <c r="Q872" s="9"/>
      <c r="R872" s="9"/>
      <c r="T872" s="1"/>
    </row>
    <row r="873" spans="5:20" ht="15.75" customHeight="1" x14ac:dyDescent="0.3">
      <c r="E873" s="9"/>
      <c r="F873" s="9"/>
      <c r="H873" s="9"/>
      <c r="M873" s="9"/>
      <c r="N873" s="9"/>
      <c r="O873" s="9"/>
      <c r="P873" s="9"/>
      <c r="Q873" s="9"/>
      <c r="R873" s="9"/>
      <c r="T873" s="1"/>
    </row>
    <row r="874" spans="5:20" ht="15.75" customHeight="1" x14ac:dyDescent="0.3">
      <c r="E874" s="9"/>
      <c r="F874" s="9"/>
      <c r="H874" s="9"/>
      <c r="M874" s="9"/>
      <c r="N874" s="9"/>
      <c r="O874" s="9"/>
      <c r="P874" s="9"/>
      <c r="Q874" s="9"/>
      <c r="R874" s="9"/>
      <c r="T874" s="1"/>
    </row>
    <row r="875" spans="5:20" ht="15.75" customHeight="1" x14ac:dyDescent="0.3">
      <c r="E875" s="9"/>
      <c r="F875" s="9"/>
      <c r="H875" s="9"/>
      <c r="M875" s="9"/>
      <c r="N875" s="9"/>
      <c r="O875" s="9"/>
      <c r="P875" s="9"/>
      <c r="Q875" s="9"/>
      <c r="R875" s="9"/>
      <c r="T875" s="1"/>
    </row>
    <row r="876" spans="5:20" ht="15.75" customHeight="1" x14ac:dyDescent="0.3">
      <c r="E876" s="9"/>
      <c r="F876" s="9"/>
      <c r="H876" s="9"/>
      <c r="M876" s="9"/>
      <c r="N876" s="9"/>
      <c r="O876" s="9"/>
      <c r="P876" s="9"/>
      <c r="Q876" s="9"/>
      <c r="R876" s="9"/>
      <c r="T876" s="1"/>
    </row>
    <row r="877" spans="5:20" ht="15.75" customHeight="1" x14ac:dyDescent="0.3">
      <c r="E877" s="9"/>
      <c r="F877" s="9"/>
      <c r="H877" s="9"/>
      <c r="M877" s="9"/>
      <c r="N877" s="9"/>
      <c r="O877" s="9"/>
      <c r="P877" s="9"/>
      <c r="Q877" s="9"/>
      <c r="R877" s="9"/>
      <c r="T877" s="1"/>
    </row>
    <row r="878" spans="5:20" ht="15.75" customHeight="1" x14ac:dyDescent="0.3">
      <c r="E878" s="9"/>
      <c r="F878" s="9"/>
      <c r="H878" s="9"/>
      <c r="M878" s="9"/>
      <c r="N878" s="9"/>
      <c r="O878" s="9"/>
      <c r="P878" s="9"/>
      <c r="Q878" s="9"/>
      <c r="R878" s="9"/>
      <c r="T878" s="1"/>
    </row>
    <row r="879" spans="5:20" ht="15.75" customHeight="1" x14ac:dyDescent="0.3">
      <c r="E879" s="9"/>
      <c r="F879" s="9"/>
      <c r="H879" s="9"/>
      <c r="M879" s="9"/>
      <c r="N879" s="9"/>
      <c r="O879" s="9"/>
      <c r="P879" s="9"/>
      <c r="Q879" s="9"/>
      <c r="R879" s="9"/>
      <c r="T879" s="1"/>
    </row>
    <row r="880" spans="5:20" ht="15.75" customHeight="1" x14ac:dyDescent="0.3">
      <c r="E880" s="9"/>
      <c r="F880" s="9"/>
      <c r="H880" s="9"/>
      <c r="M880" s="9"/>
      <c r="N880" s="9"/>
      <c r="O880" s="9"/>
      <c r="P880" s="9"/>
      <c r="Q880" s="9"/>
      <c r="R880" s="9"/>
      <c r="T880" s="1"/>
    </row>
    <row r="881" spans="5:20" ht="15.75" customHeight="1" x14ac:dyDescent="0.3">
      <c r="E881" s="9"/>
      <c r="F881" s="9"/>
      <c r="H881" s="9"/>
      <c r="M881" s="9"/>
      <c r="N881" s="9"/>
      <c r="O881" s="9"/>
      <c r="P881" s="9"/>
      <c r="Q881" s="9"/>
      <c r="R881" s="9"/>
      <c r="T881" s="1"/>
    </row>
    <row r="882" spans="5:20" ht="15.75" customHeight="1" x14ac:dyDescent="0.3">
      <c r="E882" s="9"/>
      <c r="F882" s="9"/>
      <c r="H882" s="9"/>
      <c r="M882" s="9"/>
      <c r="N882" s="9"/>
      <c r="O882" s="9"/>
      <c r="P882" s="9"/>
      <c r="Q882" s="9"/>
      <c r="R882" s="9"/>
      <c r="T882" s="1"/>
    </row>
    <row r="883" spans="5:20" ht="15.75" customHeight="1" x14ac:dyDescent="0.3">
      <c r="E883" s="9"/>
      <c r="F883" s="9"/>
      <c r="H883" s="9"/>
      <c r="M883" s="9"/>
      <c r="N883" s="9"/>
      <c r="O883" s="9"/>
      <c r="P883" s="9"/>
      <c r="Q883" s="9"/>
      <c r="R883" s="9"/>
      <c r="T883" s="1"/>
    </row>
    <row r="884" spans="5:20" ht="15.75" customHeight="1" x14ac:dyDescent="0.3">
      <c r="E884" s="9"/>
      <c r="F884" s="9"/>
      <c r="H884" s="9"/>
      <c r="M884" s="9"/>
      <c r="N884" s="9"/>
      <c r="O884" s="9"/>
      <c r="P884" s="9"/>
      <c r="Q884" s="9"/>
      <c r="R884" s="9"/>
      <c r="T884" s="1"/>
    </row>
    <row r="885" spans="5:20" ht="15.75" customHeight="1" x14ac:dyDescent="0.3">
      <c r="E885" s="9"/>
      <c r="F885" s="9"/>
      <c r="H885" s="9"/>
      <c r="M885" s="9"/>
      <c r="N885" s="9"/>
      <c r="O885" s="9"/>
      <c r="P885" s="9"/>
      <c r="Q885" s="9"/>
      <c r="R885" s="9"/>
      <c r="T885" s="1"/>
    </row>
    <row r="886" spans="5:20" ht="15.75" customHeight="1" x14ac:dyDescent="0.3">
      <c r="E886" s="9"/>
      <c r="F886" s="9"/>
      <c r="H886" s="9"/>
      <c r="M886" s="9"/>
      <c r="N886" s="9"/>
      <c r="O886" s="9"/>
      <c r="P886" s="9"/>
      <c r="Q886" s="9"/>
      <c r="R886" s="9"/>
      <c r="T886" s="1"/>
    </row>
    <row r="887" spans="5:20" ht="15.75" customHeight="1" x14ac:dyDescent="0.3">
      <c r="E887" s="9"/>
      <c r="F887" s="9"/>
      <c r="H887" s="9"/>
      <c r="M887" s="9"/>
      <c r="N887" s="9"/>
      <c r="O887" s="9"/>
      <c r="P887" s="9"/>
      <c r="Q887" s="9"/>
      <c r="R887" s="9"/>
      <c r="T887" s="1"/>
    </row>
    <row r="888" spans="5:20" ht="15.75" customHeight="1" x14ac:dyDescent="0.3">
      <c r="E888" s="9"/>
      <c r="F888" s="9"/>
      <c r="H888" s="9"/>
      <c r="M888" s="9"/>
      <c r="N888" s="9"/>
      <c r="O888" s="9"/>
      <c r="P888" s="9"/>
      <c r="Q888" s="9"/>
      <c r="R888" s="9"/>
      <c r="T888" s="1"/>
    </row>
    <row r="889" spans="5:20" ht="15.75" customHeight="1" x14ac:dyDescent="0.3">
      <c r="E889" s="9"/>
      <c r="F889" s="9"/>
      <c r="H889" s="9"/>
      <c r="M889" s="9"/>
      <c r="N889" s="9"/>
      <c r="O889" s="9"/>
      <c r="P889" s="9"/>
      <c r="Q889" s="9"/>
      <c r="R889" s="9"/>
      <c r="T889" s="1"/>
    </row>
    <row r="890" spans="5:20" ht="15.75" customHeight="1" x14ac:dyDescent="0.3">
      <c r="E890" s="9"/>
      <c r="F890" s="9"/>
      <c r="H890" s="9"/>
      <c r="M890" s="9"/>
      <c r="N890" s="9"/>
      <c r="O890" s="9"/>
      <c r="P890" s="9"/>
      <c r="Q890" s="9"/>
      <c r="R890" s="9"/>
      <c r="T890" s="1"/>
    </row>
    <row r="891" spans="5:20" ht="15.75" customHeight="1" x14ac:dyDescent="0.3">
      <c r="E891" s="9"/>
      <c r="F891" s="9"/>
      <c r="H891" s="9"/>
      <c r="M891" s="9"/>
      <c r="N891" s="9"/>
      <c r="O891" s="9"/>
      <c r="P891" s="9"/>
      <c r="Q891" s="9"/>
      <c r="R891" s="9"/>
      <c r="T891" s="1"/>
    </row>
    <row r="892" spans="5:20" ht="15.75" customHeight="1" x14ac:dyDescent="0.3">
      <c r="E892" s="9"/>
      <c r="F892" s="9"/>
      <c r="H892" s="9"/>
      <c r="M892" s="9"/>
      <c r="N892" s="9"/>
      <c r="O892" s="9"/>
      <c r="P892" s="9"/>
      <c r="Q892" s="9"/>
      <c r="R892" s="9"/>
      <c r="T892" s="1"/>
    </row>
    <row r="893" spans="5:20" ht="15.75" customHeight="1" x14ac:dyDescent="0.3">
      <c r="E893" s="9"/>
      <c r="F893" s="9"/>
      <c r="H893" s="9"/>
      <c r="M893" s="9"/>
      <c r="N893" s="9"/>
      <c r="O893" s="9"/>
      <c r="P893" s="9"/>
      <c r="Q893" s="9"/>
      <c r="R893" s="9"/>
      <c r="T893" s="1"/>
    </row>
    <row r="894" spans="5:20" ht="15.75" customHeight="1" x14ac:dyDescent="0.3">
      <c r="E894" s="9"/>
      <c r="F894" s="9"/>
      <c r="H894" s="9"/>
      <c r="M894" s="9"/>
      <c r="N894" s="9"/>
      <c r="O894" s="9"/>
      <c r="P894" s="9"/>
      <c r="Q894" s="9"/>
      <c r="R894" s="9"/>
      <c r="T894" s="1"/>
    </row>
    <row r="895" spans="5:20" ht="15.75" customHeight="1" x14ac:dyDescent="0.3">
      <c r="E895" s="9"/>
      <c r="F895" s="9"/>
      <c r="H895" s="9"/>
      <c r="M895" s="9"/>
      <c r="N895" s="9"/>
      <c r="O895" s="9"/>
      <c r="P895" s="9"/>
      <c r="Q895" s="9"/>
      <c r="R895" s="9"/>
      <c r="T895" s="1"/>
    </row>
    <row r="896" spans="5:20" ht="15.75" customHeight="1" x14ac:dyDescent="0.3">
      <c r="E896" s="9"/>
      <c r="F896" s="9"/>
      <c r="H896" s="9"/>
      <c r="M896" s="9"/>
      <c r="N896" s="9"/>
      <c r="O896" s="9"/>
      <c r="P896" s="9"/>
      <c r="Q896" s="9"/>
      <c r="R896" s="9"/>
      <c r="T896" s="1"/>
    </row>
    <row r="897" spans="5:20" ht="15.75" customHeight="1" x14ac:dyDescent="0.3">
      <c r="E897" s="9"/>
      <c r="F897" s="9"/>
      <c r="H897" s="9"/>
      <c r="M897" s="9"/>
      <c r="N897" s="9"/>
      <c r="O897" s="9"/>
      <c r="P897" s="9"/>
      <c r="Q897" s="9"/>
      <c r="R897" s="9"/>
      <c r="T897" s="1"/>
    </row>
    <row r="898" spans="5:20" ht="15.75" customHeight="1" x14ac:dyDescent="0.3">
      <c r="E898" s="9"/>
      <c r="F898" s="9"/>
      <c r="H898" s="9"/>
      <c r="M898" s="9"/>
      <c r="N898" s="9"/>
      <c r="O898" s="9"/>
      <c r="P898" s="9"/>
      <c r="Q898" s="9"/>
      <c r="R898" s="9"/>
      <c r="T898" s="1"/>
    </row>
    <row r="899" spans="5:20" ht="15.75" customHeight="1" x14ac:dyDescent="0.3">
      <c r="E899" s="9"/>
      <c r="F899" s="9"/>
      <c r="H899" s="9"/>
      <c r="M899" s="9"/>
      <c r="N899" s="9"/>
      <c r="O899" s="9"/>
      <c r="P899" s="9"/>
      <c r="Q899" s="9"/>
      <c r="R899" s="9"/>
      <c r="T899" s="1"/>
    </row>
    <row r="900" spans="5:20" ht="15.75" customHeight="1" x14ac:dyDescent="0.3">
      <c r="E900" s="9"/>
      <c r="F900" s="9"/>
      <c r="H900" s="9"/>
      <c r="M900" s="9"/>
      <c r="N900" s="9"/>
      <c r="O900" s="9"/>
      <c r="P900" s="9"/>
      <c r="Q900" s="9"/>
      <c r="R900" s="9"/>
      <c r="T900" s="1"/>
    </row>
    <row r="901" spans="5:20" ht="15.75" customHeight="1" x14ac:dyDescent="0.3">
      <c r="E901" s="9"/>
      <c r="F901" s="9"/>
      <c r="H901" s="9"/>
      <c r="M901" s="9"/>
      <c r="N901" s="9"/>
      <c r="O901" s="9"/>
      <c r="P901" s="9"/>
      <c r="Q901" s="9"/>
      <c r="R901" s="9"/>
      <c r="T901" s="1"/>
    </row>
    <row r="902" spans="5:20" ht="15.75" customHeight="1" x14ac:dyDescent="0.3">
      <c r="E902" s="9"/>
      <c r="F902" s="9"/>
      <c r="H902" s="9"/>
      <c r="M902" s="9"/>
      <c r="N902" s="9"/>
      <c r="O902" s="9"/>
      <c r="P902" s="9"/>
      <c r="Q902" s="9"/>
      <c r="R902" s="9"/>
      <c r="T902" s="1"/>
    </row>
    <row r="903" spans="5:20" ht="15.75" customHeight="1" x14ac:dyDescent="0.3">
      <c r="E903" s="9"/>
      <c r="F903" s="9"/>
      <c r="H903" s="9"/>
      <c r="M903" s="9"/>
      <c r="N903" s="9"/>
      <c r="O903" s="9"/>
      <c r="P903" s="9"/>
      <c r="Q903" s="9"/>
      <c r="R903" s="9"/>
      <c r="T903" s="1"/>
    </row>
    <row r="904" spans="5:20" ht="15.75" customHeight="1" x14ac:dyDescent="0.3">
      <c r="E904" s="9"/>
      <c r="F904" s="9"/>
      <c r="H904" s="9"/>
      <c r="M904" s="9"/>
      <c r="N904" s="9"/>
      <c r="O904" s="9"/>
      <c r="P904" s="9"/>
      <c r="Q904" s="9"/>
      <c r="R904" s="9"/>
      <c r="T904" s="1"/>
    </row>
    <row r="905" spans="5:20" ht="15.75" customHeight="1" x14ac:dyDescent="0.3">
      <c r="E905" s="9"/>
      <c r="F905" s="9"/>
      <c r="H905" s="9"/>
      <c r="M905" s="9"/>
      <c r="N905" s="9"/>
      <c r="O905" s="9"/>
      <c r="P905" s="9"/>
      <c r="Q905" s="9"/>
      <c r="R905" s="9"/>
      <c r="T905" s="1"/>
    </row>
    <row r="906" spans="5:20" ht="15.75" customHeight="1" x14ac:dyDescent="0.3">
      <c r="E906" s="9"/>
      <c r="F906" s="9"/>
      <c r="H906" s="9"/>
      <c r="M906" s="9"/>
      <c r="N906" s="9"/>
      <c r="O906" s="9"/>
      <c r="P906" s="9"/>
      <c r="Q906" s="9"/>
      <c r="R906" s="9"/>
      <c r="T906" s="1"/>
    </row>
    <row r="907" spans="5:20" ht="15.75" customHeight="1" x14ac:dyDescent="0.3">
      <c r="E907" s="9"/>
      <c r="F907" s="9"/>
      <c r="H907" s="9"/>
      <c r="M907" s="9"/>
      <c r="N907" s="9"/>
      <c r="O907" s="9"/>
      <c r="P907" s="9"/>
      <c r="Q907" s="9"/>
      <c r="R907" s="9"/>
      <c r="T907" s="1"/>
    </row>
    <row r="908" spans="5:20" ht="15.75" customHeight="1" x14ac:dyDescent="0.3">
      <c r="E908" s="9"/>
      <c r="F908" s="9"/>
      <c r="H908" s="9"/>
      <c r="M908" s="9"/>
      <c r="N908" s="9"/>
      <c r="O908" s="9"/>
      <c r="P908" s="9"/>
      <c r="Q908" s="9"/>
      <c r="R908" s="9"/>
      <c r="T908" s="1"/>
    </row>
    <row r="909" spans="5:20" ht="15.75" customHeight="1" x14ac:dyDescent="0.3">
      <c r="E909" s="9"/>
      <c r="F909" s="9"/>
      <c r="H909" s="9"/>
      <c r="M909" s="9"/>
      <c r="N909" s="9"/>
      <c r="O909" s="9"/>
      <c r="P909" s="9"/>
      <c r="Q909" s="9"/>
      <c r="R909" s="9"/>
      <c r="T909" s="1"/>
    </row>
    <row r="910" spans="5:20" ht="15.75" customHeight="1" x14ac:dyDescent="0.3">
      <c r="E910" s="9"/>
      <c r="F910" s="9"/>
      <c r="H910" s="9"/>
      <c r="M910" s="9"/>
      <c r="N910" s="9"/>
      <c r="O910" s="9"/>
      <c r="P910" s="9"/>
      <c r="Q910" s="9"/>
      <c r="R910" s="9"/>
      <c r="T910" s="1"/>
    </row>
    <row r="911" spans="5:20" ht="15.75" customHeight="1" x14ac:dyDescent="0.3">
      <c r="E911" s="9"/>
      <c r="F911" s="9"/>
      <c r="H911" s="9"/>
      <c r="M911" s="9"/>
      <c r="N911" s="9"/>
      <c r="O911" s="9"/>
      <c r="P911" s="9"/>
      <c r="Q911" s="9"/>
      <c r="R911" s="9"/>
      <c r="T911" s="1"/>
    </row>
    <row r="912" spans="5:20" ht="15.75" customHeight="1" x14ac:dyDescent="0.3">
      <c r="E912" s="9"/>
      <c r="F912" s="9"/>
      <c r="H912" s="9"/>
      <c r="M912" s="9"/>
      <c r="N912" s="9"/>
      <c r="O912" s="9"/>
      <c r="P912" s="9"/>
      <c r="Q912" s="9"/>
      <c r="R912" s="9"/>
      <c r="T912" s="1"/>
    </row>
    <row r="913" spans="5:20" ht="15.75" customHeight="1" x14ac:dyDescent="0.3">
      <c r="E913" s="9"/>
      <c r="F913" s="9"/>
      <c r="H913" s="9"/>
      <c r="M913" s="9"/>
      <c r="N913" s="9"/>
      <c r="O913" s="9"/>
      <c r="P913" s="9"/>
      <c r="Q913" s="9"/>
      <c r="R913" s="9"/>
      <c r="T913" s="1"/>
    </row>
    <row r="914" spans="5:20" ht="15.75" customHeight="1" x14ac:dyDescent="0.3">
      <c r="E914" s="9"/>
      <c r="F914" s="9"/>
      <c r="H914" s="9"/>
      <c r="M914" s="9"/>
      <c r="N914" s="9"/>
      <c r="O914" s="9"/>
      <c r="P914" s="9"/>
      <c r="Q914" s="9"/>
      <c r="R914" s="9"/>
      <c r="T914" s="1"/>
    </row>
    <row r="915" spans="5:20" ht="15.75" customHeight="1" x14ac:dyDescent="0.3">
      <c r="E915" s="9"/>
      <c r="F915" s="9"/>
      <c r="H915" s="9"/>
      <c r="M915" s="9"/>
      <c r="N915" s="9"/>
      <c r="O915" s="9"/>
      <c r="P915" s="9"/>
      <c r="Q915" s="9"/>
      <c r="R915" s="9"/>
      <c r="T915" s="1"/>
    </row>
    <row r="916" spans="5:20" ht="15.75" customHeight="1" x14ac:dyDescent="0.3">
      <c r="E916" s="9"/>
      <c r="F916" s="9"/>
      <c r="H916" s="9"/>
      <c r="M916" s="9"/>
      <c r="N916" s="9"/>
      <c r="O916" s="9"/>
      <c r="P916" s="9"/>
      <c r="Q916" s="9"/>
      <c r="R916" s="9"/>
      <c r="T916" s="1"/>
    </row>
    <row r="917" spans="5:20" ht="15.75" customHeight="1" x14ac:dyDescent="0.3">
      <c r="E917" s="9"/>
      <c r="F917" s="9"/>
      <c r="H917" s="9"/>
      <c r="M917" s="9"/>
      <c r="N917" s="9"/>
      <c r="O917" s="9"/>
      <c r="P917" s="9"/>
      <c r="Q917" s="9"/>
      <c r="R917" s="9"/>
      <c r="T917" s="1"/>
    </row>
    <row r="918" spans="5:20" ht="15.75" customHeight="1" x14ac:dyDescent="0.3">
      <c r="E918" s="9"/>
      <c r="F918" s="9"/>
      <c r="H918" s="9"/>
      <c r="M918" s="9"/>
      <c r="N918" s="9"/>
      <c r="O918" s="9"/>
      <c r="P918" s="9"/>
      <c r="Q918" s="9"/>
      <c r="R918" s="9"/>
      <c r="T918" s="1"/>
    </row>
    <row r="919" spans="5:20" ht="15.75" customHeight="1" x14ac:dyDescent="0.3">
      <c r="E919" s="9"/>
      <c r="F919" s="9"/>
      <c r="H919" s="9"/>
      <c r="M919" s="9"/>
      <c r="N919" s="9"/>
      <c r="O919" s="9"/>
      <c r="P919" s="9"/>
      <c r="Q919" s="9"/>
      <c r="R919" s="9"/>
      <c r="T919" s="1"/>
    </row>
    <row r="920" spans="5:20" ht="15.75" customHeight="1" x14ac:dyDescent="0.3">
      <c r="E920" s="9"/>
      <c r="F920" s="9"/>
      <c r="H920" s="9"/>
      <c r="M920" s="9"/>
      <c r="N920" s="9"/>
      <c r="O920" s="9"/>
      <c r="P920" s="9"/>
      <c r="Q920" s="9"/>
      <c r="R920" s="9"/>
      <c r="T920" s="1"/>
    </row>
    <row r="921" spans="5:20" ht="15.75" customHeight="1" x14ac:dyDescent="0.3">
      <c r="E921" s="9"/>
      <c r="F921" s="9"/>
      <c r="H921" s="9"/>
      <c r="M921" s="9"/>
      <c r="N921" s="9"/>
      <c r="O921" s="9"/>
      <c r="P921" s="9"/>
      <c r="Q921" s="9"/>
      <c r="R921" s="9"/>
      <c r="T921" s="1"/>
    </row>
    <row r="922" spans="5:20" ht="15.75" customHeight="1" x14ac:dyDescent="0.3">
      <c r="E922" s="9"/>
      <c r="F922" s="9"/>
      <c r="H922" s="9"/>
      <c r="M922" s="9"/>
      <c r="N922" s="9"/>
      <c r="O922" s="9"/>
      <c r="P922" s="9"/>
      <c r="Q922" s="9"/>
      <c r="R922" s="9"/>
      <c r="T922" s="1"/>
    </row>
    <row r="923" spans="5:20" ht="15.75" customHeight="1" x14ac:dyDescent="0.3">
      <c r="E923" s="9"/>
      <c r="F923" s="9"/>
      <c r="H923" s="9"/>
      <c r="M923" s="9"/>
      <c r="N923" s="9"/>
      <c r="O923" s="9"/>
      <c r="P923" s="9"/>
      <c r="Q923" s="9"/>
      <c r="R923" s="9"/>
      <c r="T923" s="1"/>
    </row>
    <row r="924" spans="5:20" ht="15.75" customHeight="1" x14ac:dyDescent="0.3">
      <c r="E924" s="9"/>
      <c r="F924" s="9"/>
      <c r="H924" s="9"/>
      <c r="M924" s="9"/>
      <c r="N924" s="9"/>
      <c r="O924" s="9"/>
      <c r="P924" s="9"/>
      <c r="Q924" s="9"/>
      <c r="R924" s="9"/>
      <c r="T924" s="1"/>
    </row>
    <row r="925" spans="5:20" ht="15.75" customHeight="1" x14ac:dyDescent="0.3">
      <c r="E925" s="9"/>
      <c r="F925" s="9"/>
      <c r="H925" s="9"/>
      <c r="M925" s="9"/>
      <c r="N925" s="9"/>
      <c r="O925" s="9"/>
      <c r="P925" s="9"/>
      <c r="Q925" s="9"/>
      <c r="R925" s="9"/>
      <c r="T925" s="1"/>
    </row>
    <row r="926" spans="5:20" ht="15.75" customHeight="1" x14ac:dyDescent="0.3">
      <c r="E926" s="9"/>
      <c r="F926" s="9"/>
      <c r="H926" s="9"/>
      <c r="M926" s="9"/>
      <c r="N926" s="9"/>
      <c r="O926" s="9"/>
      <c r="P926" s="9"/>
      <c r="Q926" s="9"/>
      <c r="R926" s="9"/>
      <c r="T926" s="1"/>
    </row>
    <row r="927" spans="5:20" ht="15.75" customHeight="1" x14ac:dyDescent="0.3">
      <c r="E927" s="9"/>
      <c r="F927" s="9"/>
      <c r="H927" s="9"/>
      <c r="M927" s="9"/>
      <c r="N927" s="9"/>
      <c r="O927" s="9"/>
      <c r="P927" s="9"/>
      <c r="Q927" s="9"/>
      <c r="R927" s="9"/>
      <c r="T927" s="1"/>
    </row>
    <row r="928" spans="5:20" ht="15.75" customHeight="1" x14ac:dyDescent="0.3">
      <c r="E928" s="9"/>
      <c r="F928" s="9"/>
      <c r="H928" s="9"/>
      <c r="M928" s="9"/>
      <c r="N928" s="9"/>
      <c r="O928" s="9"/>
      <c r="P928" s="9"/>
      <c r="Q928" s="9"/>
      <c r="R928" s="9"/>
      <c r="T928" s="1"/>
    </row>
    <row r="929" spans="5:20" ht="15.75" customHeight="1" x14ac:dyDescent="0.3">
      <c r="E929" s="9"/>
      <c r="F929" s="9"/>
      <c r="H929" s="9"/>
      <c r="M929" s="9"/>
      <c r="N929" s="9"/>
      <c r="O929" s="9"/>
      <c r="P929" s="9"/>
      <c r="Q929" s="9"/>
      <c r="R929" s="9"/>
      <c r="T929" s="1"/>
    </row>
    <row r="930" spans="5:20" ht="15.75" customHeight="1" x14ac:dyDescent="0.3">
      <c r="E930" s="9"/>
      <c r="F930" s="9"/>
      <c r="H930" s="9"/>
      <c r="M930" s="9"/>
      <c r="N930" s="9"/>
      <c r="O930" s="9"/>
      <c r="P930" s="9"/>
      <c r="Q930" s="9"/>
      <c r="R930" s="9"/>
      <c r="T930" s="1"/>
    </row>
    <row r="931" spans="5:20" ht="15.75" customHeight="1" x14ac:dyDescent="0.3">
      <c r="E931" s="9"/>
      <c r="F931" s="9"/>
      <c r="H931" s="9"/>
      <c r="M931" s="9"/>
      <c r="N931" s="9"/>
      <c r="O931" s="9"/>
      <c r="P931" s="9"/>
      <c r="Q931" s="9"/>
      <c r="R931" s="9"/>
      <c r="T931" s="1"/>
    </row>
    <row r="932" spans="5:20" ht="15.75" customHeight="1" x14ac:dyDescent="0.3">
      <c r="E932" s="9"/>
      <c r="F932" s="9"/>
      <c r="H932" s="9"/>
      <c r="M932" s="9"/>
      <c r="N932" s="9"/>
      <c r="O932" s="9"/>
      <c r="P932" s="9"/>
      <c r="Q932" s="9"/>
      <c r="R932" s="9"/>
      <c r="T932" s="1"/>
    </row>
    <row r="933" spans="5:20" ht="15.75" customHeight="1" x14ac:dyDescent="0.3">
      <c r="E933" s="9"/>
      <c r="F933" s="9"/>
      <c r="H933" s="9"/>
      <c r="M933" s="9"/>
      <c r="N933" s="9"/>
      <c r="O933" s="9"/>
      <c r="P933" s="9"/>
      <c r="Q933" s="9"/>
      <c r="R933" s="9"/>
      <c r="T933" s="1"/>
    </row>
    <row r="934" spans="5:20" ht="15.75" customHeight="1" x14ac:dyDescent="0.3">
      <c r="E934" s="9"/>
      <c r="F934" s="9"/>
      <c r="H934" s="9"/>
      <c r="M934" s="9"/>
      <c r="N934" s="9"/>
      <c r="O934" s="9"/>
      <c r="P934" s="9"/>
      <c r="Q934" s="9"/>
      <c r="R934" s="9"/>
      <c r="T934" s="1"/>
    </row>
    <row r="935" spans="5:20" ht="15.75" customHeight="1" x14ac:dyDescent="0.3">
      <c r="E935" s="9"/>
      <c r="F935" s="9"/>
      <c r="H935" s="9"/>
      <c r="M935" s="9"/>
      <c r="N935" s="9"/>
      <c r="O935" s="9"/>
      <c r="P935" s="9"/>
      <c r="Q935" s="9"/>
      <c r="R935" s="9"/>
      <c r="T935" s="1"/>
    </row>
    <row r="936" spans="5:20" ht="15.75" customHeight="1" x14ac:dyDescent="0.3">
      <c r="E936" s="9"/>
      <c r="F936" s="9"/>
      <c r="H936" s="9"/>
      <c r="M936" s="9"/>
      <c r="N936" s="9"/>
      <c r="O936" s="9"/>
      <c r="P936" s="9"/>
      <c r="Q936" s="9"/>
      <c r="R936" s="9"/>
      <c r="T936" s="1"/>
    </row>
    <row r="937" spans="5:20" ht="15.75" customHeight="1" x14ac:dyDescent="0.3">
      <c r="E937" s="9"/>
      <c r="F937" s="9"/>
      <c r="H937" s="9"/>
      <c r="M937" s="9"/>
      <c r="N937" s="9"/>
      <c r="O937" s="9"/>
      <c r="P937" s="9"/>
      <c r="Q937" s="9"/>
      <c r="R937" s="9"/>
      <c r="T937" s="1"/>
    </row>
    <row r="938" spans="5:20" ht="15.75" customHeight="1" x14ac:dyDescent="0.3">
      <c r="E938" s="9"/>
      <c r="F938" s="9"/>
      <c r="H938" s="9"/>
      <c r="M938" s="9"/>
      <c r="N938" s="9"/>
      <c r="O938" s="9"/>
      <c r="P938" s="9"/>
      <c r="Q938" s="9"/>
      <c r="R938" s="9"/>
      <c r="T938" s="1"/>
    </row>
    <row r="939" spans="5:20" ht="15.75" customHeight="1" x14ac:dyDescent="0.3">
      <c r="E939" s="9"/>
      <c r="F939" s="9"/>
      <c r="H939" s="9"/>
      <c r="M939" s="9"/>
      <c r="N939" s="9"/>
      <c r="O939" s="9"/>
      <c r="P939" s="9"/>
      <c r="Q939" s="9"/>
      <c r="R939" s="9"/>
      <c r="T939" s="1"/>
    </row>
    <row r="940" spans="5:20" ht="15.75" customHeight="1" x14ac:dyDescent="0.3">
      <c r="E940" s="9"/>
      <c r="F940" s="9"/>
      <c r="H940" s="9"/>
      <c r="M940" s="9"/>
      <c r="N940" s="9"/>
      <c r="O940" s="9"/>
      <c r="P940" s="9"/>
      <c r="Q940" s="9"/>
      <c r="R940" s="9"/>
      <c r="T940" s="1"/>
    </row>
    <row r="941" spans="5:20" ht="15.75" customHeight="1" x14ac:dyDescent="0.3">
      <c r="E941" s="9"/>
      <c r="F941" s="9"/>
      <c r="H941" s="9"/>
      <c r="M941" s="9"/>
      <c r="N941" s="9"/>
      <c r="O941" s="9"/>
      <c r="P941" s="9"/>
      <c r="Q941" s="9"/>
      <c r="R941" s="9"/>
      <c r="T941" s="1"/>
    </row>
    <row r="942" spans="5:20" ht="15.75" customHeight="1" x14ac:dyDescent="0.3">
      <c r="E942" s="9"/>
      <c r="F942" s="9"/>
      <c r="H942" s="9"/>
      <c r="M942" s="9"/>
      <c r="N942" s="9"/>
      <c r="O942" s="9"/>
      <c r="P942" s="9"/>
      <c r="Q942" s="9"/>
      <c r="R942" s="9"/>
      <c r="T942" s="1"/>
    </row>
    <row r="943" spans="5:20" ht="15.75" customHeight="1" x14ac:dyDescent="0.3">
      <c r="E943" s="9"/>
      <c r="F943" s="9"/>
      <c r="H943" s="9"/>
      <c r="M943" s="9"/>
      <c r="N943" s="9"/>
      <c r="O943" s="9"/>
      <c r="P943" s="9"/>
      <c r="Q943" s="9"/>
      <c r="R943" s="9"/>
      <c r="T943" s="1"/>
    </row>
    <row r="944" spans="5:20" ht="15.75" customHeight="1" x14ac:dyDescent="0.3">
      <c r="E944" s="9"/>
      <c r="F944" s="9"/>
      <c r="H944" s="9"/>
      <c r="M944" s="9"/>
      <c r="N944" s="9"/>
      <c r="O944" s="9"/>
      <c r="P944" s="9"/>
      <c r="Q944" s="9"/>
      <c r="R944" s="9"/>
      <c r="T944" s="1"/>
    </row>
    <row r="945" spans="5:20" ht="15.75" customHeight="1" x14ac:dyDescent="0.3">
      <c r="E945" s="9"/>
      <c r="F945" s="9"/>
      <c r="H945" s="9"/>
      <c r="M945" s="9"/>
      <c r="N945" s="9"/>
      <c r="O945" s="9"/>
      <c r="P945" s="9"/>
      <c r="Q945" s="9"/>
      <c r="R945" s="9"/>
      <c r="T945" s="1"/>
    </row>
    <row r="946" spans="5:20" ht="15.75" customHeight="1" x14ac:dyDescent="0.3">
      <c r="E946" s="9"/>
      <c r="F946" s="9"/>
      <c r="H946" s="9"/>
      <c r="M946" s="9"/>
      <c r="N946" s="9"/>
      <c r="O946" s="9"/>
      <c r="P946" s="9"/>
      <c r="Q946" s="9"/>
      <c r="R946" s="9"/>
      <c r="T946" s="1"/>
    </row>
    <row r="947" spans="5:20" ht="15.75" customHeight="1" x14ac:dyDescent="0.3">
      <c r="E947" s="9"/>
      <c r="F947" s="9"/>
      <c r="H947" s="9"/>
      <c r="M947" s="9"/>
      <c r="N947" s="9"/>
      <c r="O947" s="9"/>
      <c r="P947" s="9"/>
      <c r="Q947" s="9"/>
      <c r="R947" s="9"/>
      <c r="T947" s="1"/>
    </row>
    <row r="948" spans="5:20" ht="15.75" customHeight="1" x14ac:dyDescent="0.3">
      <c r="E948" s="9"/>
      <c r="F948" s="9"/>
      <c r="H948" s="9"/>
      <c r="M948" s="9"/>
      <c r="N948" s="9"/>
      <c r="O948" s="9"/>
      <c r="P948" s="9"/>
      <c r="Q948" s="9"/>
      <c r="R948" s="9"/>
      <c r="T948" s="1"/>
    </row>
    <row r="949" spans="5:20" ht="15.75" customHeight="1" x14ac:dyDescent="0.3">
      <c r="E949" s="9"/>
      <c r="F949" s="9"/>
      <c r="H949" s="9"/>
      <c r="M949" s="9"/>
      <c r="N949" s="9"/>
      <c r="O949" s="9"/>
      <c r="P949" s="9"/>
      <c r="Q949" s="9"/>
      <c r="R949" s="9"/>
      <c r="T949" s="1"/>
    </row>
    <row r="950" spans="5:20" ht="15.75" customHeight="1" x14ac:dyDescent="0.3">
      <c r="E950" s="9"/>
      <c r="F950" s="9"/>
      <c r="H950" s="9"/>
      <c r="M950" s="9"/>
      <c r="N950" s="9"/>
      <c r="O950" s="9"/>
      <c r="P950" s="9"/>
      <c r="Q950" s="9"/>
      <c r="R950" s="9"/>
      <c r="T950" s="1"/>
    </row>
    <row r="951" spans="5:20" ht="15.75" customHeight="1" x14ac:dyDescent="0.3">
      <c r="E951" s="9"/>
      <c r="F951" s="9"/>
      <c r="H951" s="9"/>
      <c r="M951" s="9"/>
      <c r="N951" s="9"/>
      <c r="O951" s="9"/>
      <c r="P951" s="9"/>
      <c r="Q951" s="9"/>
      <c r="R951" s="9"/>
      <c r="T951" s="1"/>
    </row>
    <row r="952" spans="5:20" ht="15.75" customHeight="1" x14ac:dyDescent="0.3">
      <c r="E952" s="9"/>
      <c r="F952" s="9"/>
      <c r="H952" s="9"/>
      <c r="M952" s="9"/>
      <c r="N952" s="9"/>
      <c r="O952" s="9"/>
      <c r="P952" s="9"/>
      <c r="Q952" s="9"/>
      <c r="R952" s="9"/>
      <c r="T952" s="1"/>
    </row>
    <row r="953" spans="5:20" ht="15.75" customHeight="1" x14ac:dyDescent="0.3">
      <c r="E953" s="9"/>
      <c r="F953" s="9"/>
      <c r="H953" s="9"/>
      <c r="M953" s="9"/>
      <c r="N953" s="9"/>
      <c r="O953" s="9"/>
      <c r="P953" s="9"/>
      <c r="Q953" s="9"/>
      <c r="R953" s="9"/>
      <c r="T953" s="1"/>
    </row>
    <row r="954" spans="5:20" ht="15.75" customHeight="1" x14ac:dyDescent="0.3">
      <c r="E954" s="9"/>
      <c r="F954" s="9"/>
      <c r="H954" s="9"/>
      <c r="M954" s="9"/>
      <c r="N954" s="9"/>
      <c r="O954" s="9"/>
      <c r="P954" s="9"/>
      <c r="Q954" s="9"/>
      <c r="R954" s="9"/>
      <c r="T954" s="1"/>
    </row>
    <row r="955" spans="5:20" ht="15.75" customHeight="1" x14ac:dyDescent="0.3">
      <c r="E955" s="9"/>
      <c r="F955" s="9"/>
      <c r="H955" s="9"/>
      <c r="M955" s="9"/>
      <c r="N955" s="9"/>
      <c r="O955" s="9"/>
      <c r="P955" s="9"/>
      <c r="Q955" s="9"/>
      <c r="R955" s="9"/>
      <c r="T955" s="1"/>
    </row>
    <row r="956" spans="5:20" ht="15.75" customHeight="1" x14ac:dyDescent="0.3">
      <c r="E956" s="9"/>
      <c r="F956" s="9"/>
      <c r="H956" s="9"/>
      <c r="M956" s="9"/>
      <c r="N956" s="9"/>
      <c r="O956" s="9"/>
      <c r="P956" s="9"/>
      <c r="Q956" s="9"/>
      <c r="R956" s="9"/>
      <c r="T956" s="1"/>
    </row>
    <row r="957" spans="5:20" ht="15.75" customHeight="1" x14ac:dyDescent="0.3">
      <c r="E957" s="9"/>
      <c r="F957" s="9"/>
      <c r="H957" s="9"/>
      <c r="M957" s="9"/>
      <c r="N957" s="9"/>
      <c r="O957" s="9"/>
      <c r="P957" s="9"/>
      <c r="Q957" s="9"/>
      <c r="R957" s="9"/>
      <c r="T957" s="1"/>
    </row>
    <row r="958" spans="5:20" ht="15.75" customHeight="1" x14ac:dyDescent="0.3">
      <c r="E958" s="9"/>
      <c r="F958" s="9"/>
      <c r="H958" s="9"/>
      <c r="M958" s="9"/>
      <c r="N958" s="9"/>
      <c r="O958" s="9"/>
      <c r="P958" s="9"/>
      <c r="Q958" s="9"/>
      <c r="R958" s="9"/>
      <c r="T958" s="1"/>
    </row>
    <row r="959" spans="5:20" ht="15.75" customHeight="1" x14ac:dyDescent="0.3">
      <c r="E959" s="9"/>
      <c r="F959" s="9"/>
      <c r="H959" s="9"/>
      <c r="M959" s="9"/>
      <c r="N959" s="9"/>
      <c r="O959" s="9"/>
      <c r="P959" s="9"/>
      <c r="Q959" s="9"/>
      <c r="R959" s="9"/>
      <c r="T959" s="1"/>
    </row>
    <row r="960" spans="5:20" ht="15.75" customHeight="1" x14ac:dyDescent="0.3">
      <c r="E960" s="9"/>
      <c r="F960" s="9"/>
      <c r="H960" s="9"/>
      <c r="M960" s="9"/>
      <c r="N960" s="9"/>
      <c r="O960" s="9"/>
      <c r="P960" s="9"/>
      <c r="Q960" s="9"/>
      <c r="R960" s="9"/>
      <c r="T960" s="1"/>
    </row>
    <row r="961" spans="5:20" ht="15.75" customHeight="1" x14ac:dyDescent="0.3">
      <c r="E961" s="9"/>
      <c r="F961" s="9"/>
      <c r="H961" s="9"/>
      <c r="M961" s="9"/>
      <c r="N961" s="9"/>
      <c r="O961" s="9"/>
      <c r="P961" s="9"/>
      <c r="Q961" s="9"/>
      <c r="R961" s="9"/>
      <c r="T961" s="1"/>
    </row>
    <row r="962" spans="5:20" ht="15.75" customHeight="1" x14ac:dyDescent="0.3">
      <c r="E962" s="9"/>
      <c r="F962" s="9"/>
      <c r="H962" s="9"/>
      <c r="M962" s="9"/>
      <c r="N962" s="9"/>
      <c r="O962" s="9"/>
      <c r="P962" s="9"/>
      <c r="Q962" s="9"/>
      <c r="R962" s="9"/>
      <c r="T962" s="1"/>
    </row>
    <row r="963" spans="5:20" ht="15.75" customHeight="1" x14ac:dyDescent="0.3">
      <c r="E963" s="9"/>
      <c r="F963" s="9"/>
      <c r="H963" s="9"/>
      <c r="M963" s="9"/>
      <c r="N963" s="9"/>
      <c r="O963" s="9"/>
      <c r="P963" s="9"/>
      <c r="Q963" s="9"/>
      <c r="R963" s="9"/>
      <c r="T963" s="1"/>
    </row>
    <row r="964" spans="5:20" ht="15.75" customHeight="1" x14ac:dyDescent="0.3">
      <c r="E964" s="9"/>
      <c r="F964" s="9"/>
      <c r="H964" s="9"/>
      <c r="M964" s="9"/>
      <c r="N964" s="9"/>
      <c r="O964" s="9"/>
      <c r="P964" s="9"/>
      <c r="Q964" s="9"/>
      <c r="R964" s="9"/>
      <c r="T964" s="1"/>
    </row>
    <row r="965" spans="5:20" ht="15.75" customHeight="1" x14ac:dyDescent="0.3">
      <c r="E965" s="9"/>
      <c r="F965" s="9"/>
      <c r="H965" s="9"/>
      <c r="M965" s="9"/>
      <c r="N965" s="9"/>
      <c r="O965" s="9"/>
      <c r="P965" s="9"/>
      <c r="Q965" s="9"/>
      <c r="R965" s="9"/>
      <c r="T965" s="1"/>
    </row>
    <row r="966" spans="5:20" ht="15.75" customHeight="1" x14ac:dyDescent="0.3">
      <c r="E966" s="9"/>
      <c r="F966" s="9"/>
      <c r="H966" s="9"/>
      <c r="M966" s="9"/>
      <c r="N966" s="9"/>
      <c r="O966" s="9"/>
      <c r="P966" s="9"/>
      <c r="Q966" s="9"/>
      <c r="R966" s="9"/>
      <c r="T966" s="1"/>
    </row>
    <row r="967" spans="5:20" ht="15.75" customHeight="1" x14ac:dyDescent="0.3">
      <c r="E967" s="9"/>
      <c r="F967" s="9"/>
      <c r="H967" s="9"/>
      <c r="M967" s="9"/>
      <c r="N967" s="9"/>
      <c r="O967" s="9"/>
      <c r="P967" s="9"/>
      <c r="Q967" s="9"/>
      <c r="R967" s="9"/>
      <c r="T967" s="1"/>
    </row>
    <row r="968" spans="5:20" ht="15.75" customHeight="1" x14ac:dyDescent="0.3">
      <c r="E968" s="9"/>
      <c r="F968" s="9"/>
      <c r="H968" s="9"/>
      <c r="M968" s="9"/>
      <c r="N968" s="9"/>
      <c r="O968" s="9"/>
      <c r="P968" s="9"/>
      <c r="Q968" s="9"/>
      <c r="R968" s="9"/>
      <c r="T968" s="1"/>
    </row>
    <row r="969" spans="5:20" ht="15.75" customHeight="1" x14ac:dyDescent="0.3">
      <c r="E969" s="9"/>
      <c r="F969" s="9"/>
      <c r="H969" s="9"/>
      <c r="M969" s="9"/>
      <c r="N969" s="9"/>
      <c r="O969" s="9"/>
      <c r="P969" s="9"/>
      <c r="Q969" s="9"/>
      <c r="R969" s="9"/>
      <c r="T969" s="1"/>
    </row>
    <row r="970" spans="5:20" ht="15.75" customHeight="1" x14ac:dyDescent="0.3">
      <c r="E970" s="9"/>
      <c r="F970" s="9"/>
      <c r="H970" s="9"/>
      <c r="M970" s="9"/>
      <c r="N970" s="9"/>
      <c r="O970" s="9"/>
      <c r="P970" s="9"/>
      <c r="Q970" s="9"/>
      <c r="R970" s="9"/>
      <c r="T970" s="1"/>
    </row>
    <row r="971" spans="5:20" ht="15.75" customHeight="1" x14ac:dyDescent="0.3">
      <c r="E971" s="9"/>
      <c r="F971" s="9"/>
      <c r="H971" s="9"/>
      <c r="M971" s="9"/>
      <c r="N971" s="9"/>
      <c r="O971" s="9"/>
      <c r="P971" s="9"/>
      <c r="Q971" s="9"/>
      <c r="R971" s="9"/>
      <c r="T971" s="1"/>
    </row>
    <row r="972" spans="5:20" ht="15.75" customHeight="1" x14ac:dyDescent="0.3">
      <c r="E972" s="9"/>
      <c r="F972" s="9"/>
      <c r="H972" s="9"/>
      <c r="M972" s="9"/>
      <c r="N972" s="9"/>
      <c r="O972" s="9"/>
      <c r="P972" s="9"/>
      <c r="Q972" s="9"/>
      <c r="R972" s="9"/>
      <c r="T972" s="1"/>
    </row>
    <row r="973" spans="5:20" ht="15.75" customHeight="1" x14ac:dyDescent="0.3">
      <c r="E973" s="9"/>
      <c r="F973" s="9"/>
      <c r="H973" s="9"/>
      <c r="M973" s="9"/>
      <c r="N973" s="9"/>
      <c r="O973" s="9"/>
      <c r="P973" s="9"/>
      <c r="Q973" s="9"/>
      <c r="R973" s="9"/>
      <c r="T973" s="1"/>
    </row>
    <row r="974" spans="5:20" ht="15.75" customHeight="1" x14ac:dyDescent="0.3">
      <c r="E974" s="9"/>
      <c r="F974" s="9"/>
      <c r="H974" s="9"/>
      <c r="M974" s="9"/>
      <c r="N974" s="9"/>
      <c r="O974" s="9"/>
      <c r="P974" s="9"/>
      <c r="Q974" s="9"/>
      <c r="R974" s="9"/>
      <c r="T974" s="1"/>
    </row>
    <row r="975" spans="5:20" ht="15.75" customHeight="1" x14ac:dyDescent="0.3">
      <c r="E975" s="9"/>
      <c r="F975" s="9"/>
      <c r="H975" s="9"/>
      <c r="M975" s="9"/>
      <c r="N975" s="9"/>
      <c r="O975" s="9"/>
      <c r="P975" s="9"/>
      <c r="Q975" s="9"/>
      <c r="R975" s="9"/>
      <c r="T975" s="1"/>
    </row>
    <row r="976" spans="5:20" ht="15.75" customHeight="1" x14ac:dyDescent="0.3">
      <c r="E976" s="9"/>
      <c r="F976" s="9"/>
      <c r="H976" s="9"/>
      <c r="M976" s="9"/>
      <c r="N976" s="9"/>
      <c r="O976" s="9"/>
      <c r="P976" s="9"/>
      <c r="Q976" s="9"/>
      <c r="R976" s="9"/>
      <c r="T976" s="1"/>
    </row>
    <row r="977" spans="5:20" ht="15.75" customHeight="1" x14ac:dyDescent="0.3">
      <c r="E977" s="9"/>
      <c r="F977" s="9"/>
      <c r="H977" s="9"/>
      <c r="M977" s="9"/>
      <c r="N977" s="9"/>
      <c r="O977" s="9"/>
      <c r="P977" s="9"/>
      <c r="Q977" s="9"/>
      <c r="R977" s="9"/>
      <c r="T977" s="1"/>
    </row>
    <row r="978" spans="5:20" ht="15.75" customHeight="1" x14ac:dyDescent="0.3">
      <c r="E978" s="9"/>
      <c r="F978" s="9"/>
      <c r="H978" s="9"/>
      <c r="M978" s="9"/>
      <c r="N978" s="9"/>
      <c r="O978" s="9"/>
      <c r="P978" s="9"/>
      <c r="Q978" s="9"/>
      <c r="R978" s="9"/>
      <c r="T978" s="1"/>
    </row>
    <row r="979" spans="5:20" ht="15.75" customHeight="1" x14ac:dyDescent="0.3">
      <c r="E979" s="9"/>
      <c r="F979" s="9"/>
      <c r="H979" s="9"/>
      <c r="M979" s="9"/>
      <c r="N979" s="9"/>
      <c r="O979" s="9"/>
      <c r="P979" s="9"/>
      <c r="Q979" s="9"/>
      <c r="R979" s="9"/>
      <c r="T979" s="1"/>
    </row>
    <row r="980" spans="5:20" ht="15.75" customHeight="1" x14ac:dyDescent="0.3">
      <c r="E980" s="9"/>
      <c r="F980" s="9"/>
      <c r="H980" s="9"/>
      <c r="M980" s="9"/>
      <c r="N980" s="9"/>
      <c r="O980" s="9"/>
      <c r="P980" s="9"/>
      <c r="Q980" s="9"/>
      <c r="R980" s="9"/>
      <c r="T980" s="1"/>
    </row>
    <row r="981" spans="5:20" ht="15.75" customHeight="1" x14ac:dyDescent="0.3">
      <c r="E981" s="9"/>
      <c r="F981" s="9"/>
      <c r="H981" s="9"/>
      <c r="M981" s="9"/>
      <c r="N981" s="9"/>
      <c r="O981" s="9"/>
      <c r="P981" s="9"/>
      <c r="Q981" s="9"/>
      <c r="R981" s="9"/>
      <c r="T981" s="1"/>
    </row>
    <row r="982" spans="5:20" ht="15.75" customHeight="1" x14ac:dyDescent="0.3">
      <c r="E982" s="9"/>
      <c r="F982" s="9"/>
      <c r="H982" s="9"/>
      <c r="M982" s="9"/>
      <c r="N982" s="9"/>
      <c r="O982" s="9"/>
      <c r="P982" s="9"/>
      <c r="Q982" s="9"/>
      <c r="R982" s="9"/>
      <c r="T982" s="1"/>
    </row>
    <row r="983" spans="5:20" ht="15.75" customHeight="1" x14ac:dyDescent="0.3">
      <c r="E983" s="9"/>
      <c r="F983" s="9"/>
      <c r="H983" s="9"/>
      <c r="M983" s="9"/>
      <c r="N983" s="9"/>
      <c r="O983" s="9"/>
      <c r="P983" s="9"/>
      <c r="Q983" s="9"/>
      <c r="R983" s="9"/>
      <c r="T983" s="1"/>
    </row>
    <row r="984" spans="5:20" ht="15.75" customHeight="1" x14ac:dyDescent="0.3">
      <c r="E984" s="9"/>
      <c r="F984" s="9"/>
      <c r="H984" s="9"/>
      <c r="M984" s="9"/>
      <c r="N984" s="9"/>
      <c r="O984" s="9"/>
      <c r="P984" s="9"/>
      <c r="Q984" s="9"/>
      <c r="R984" s="9"/>
      <c r="T984" s="1"/>
    </row>
    <row r="985" spans="5:20" ht="15.75" customHeight="1" x14ac:dyDescent="0.3">
      <c r="E985" s="9"/>
      <c r="F985" s="9"/>
      <c r="H985" s="9"/>
      <c r="M985" s="9"/>
      <c r="N985" s="9"/>
      <c r="O985" s="9"/>
      <c r="P985" s="9"/>
      <c r="Q985" s="9"/>
      <c r="R985" s="9"/>
      <c r="T985" s="1"/>
    </row>
    <row r="986" spans="5:20" ht="15.75" customHeight="1" x14ac:dyDescent="0.3">
      <c r="E986" s="9"/>
      <c r="F986" s="9"/>
      <c r="H986" s="9"/>
      <c r="M986" s="9"/>
      <c r="N986" s="9"/>
      <c r="O986" s="9"/>
      <c r="P986" s="9"/>
      <c r="Q986" s="9"/>
      <c r="R986" s="9"/>
      <c r="T986" s="1"/>
    </row>
    <row r="987" spans="5:20" ht="15.75" customHeight="1" x14ac:dyDescent="0.3">
      <c r="E987" s="9"/>
      <c r="F987" s="9"/>
      <c r="H987" s="9"/>
      <c r="M987" s="9"/>
      <c r="N987" s="9"/>
      <c r="O987" s="9"/>
      <c r="P987" s="9"/>
      <c r="Q987" s="9"/>
      <c r="R987" s="9"/>
      <c r="T987" s="1"/>
    </row>
    <row r="988" spans="5:20" ht="15.75" customHeight="1" x14ac:dyDescent="0.3">
      <c r="E988" s="9"/>
      <c r="F988" s="9"/>
      <c r="H988" s="9"/>
      <c r="M988" s="9"/>
      <c r="N988" s="9"/>
      <c r="O988" s="9"/>
      <c r="P988" s="9"/>
      <c r="Q988" s="9"/>
      <c r="R988" s="9"/>
      <c r="T988" s="1"/>
    </row>
    <row r="989" spans="5:20" ht="15.75" customHeight="1" x14ac:dyDescent="0.3">
      <c r="E989" s="9"/>
      <c r="F989" s="9"/>
      <c r="H989" s="9"/>
      <c r="M989" s="9"/>
      <c r="N989" s="9"/>
      <c r="O989" s="9"/>
      <c r="P989" s="9"/>
      <c r="Q989" s="9"/>
      <c r="R989" s="9"/>
      <c r="T989" s="1"/>
    </row>
    <row r="990" spans="5:20" ht="15.75" customHeight="1" x14ac:dyDescent="0.3">
      <c r="E990" s="9"/>
      <c r="F990" s="9"/>
      <c r="H990" s="9"/>
      <c r="M990" s="9"/>
      <c r="N990" s="9"/>
      <c r="O990" s="9"/>
      <c r="P990" s="9"/>
      <c r="Q990" s="9"/>
      <c r="R990" s="9"/>
      <c r="T990" s="1"/>
    </row>
    <row r="991" spans="5:20" ht="15.75" customHeight="1" x14ac:dyDescent="0.3">
      <c r="E991" s="9"/>
      <c r="F991" s="9"/>
      <c r="H991" s="9"/>
      <c r="M991" s="9"/>
      <c r="N991" s="9"/>
      <c r="O991" s="9"/>
      <c r="P991" s="9"/>
      <c r="Q991" s="9"/>
      <c r="R991" s="9"/>
      <c r="T991" s="1"/>
    </row>
    <row r="992" spans="5:20" ht="15.75" customHeight="1" x14ac:dyDescent="0.3">
      <c r="E992" s="9"/>
      <c r="F992" s="9"/>
      <c r="H992" s="9"/>
      <c r="M992" s="9"/>
      <c r="N992" s="9"/>
      <c r="O992" s="9"/>
      <c r="P992" s="9"/>
      <c r="Q992" s="9"/>
      <c r="R992" s="9"/>
      <c r="T992" s="1"/>
    </row>
    <row r="993" spans="5:20" ht="15.75" customHeight="1" x14ac:dyDescent="0.3">
      <c r="E993" s="9"/>
      <c r="F993" s="9"/>
      <c r="H993" s="9"/>
      <c r="M993" s="9"/>
      <c r="N993" s="9"/>
      <c r="O993" s="9"/>
      <c r="P993" s="9"/>
      <c r="Q993" s="9"/>
      <c r="R993" s="9"/>
      <c r="T993" s="1"/>
    </row>
    <row r="994" spans="5:20" ht="15.75" customHeight="1" x14ac:dyDescent="0.3">
      <c r="E994" s="9"/>
      <c r="F994" s="9"/>
      <c r="H994" s="9"/>
      <c r="M994" s="9"/>
      <c r="N994" s="9"/>
      <c r="O994" s="9"/>
      <c r="P994" s="9"/>
      <c r="Q994" s="9"/>
      <c r="R994" s="9"/>
      <c r="T994" s="1"/>
    </row>
    <row r="995" spans="5:20" ht="15.75" customHeight="1" x14ac:dyDescent="0.3">
      <c r="E995" s="9"/>
      <c r="F995" s="9"/>
      <c r="H995" s="9"/>
      <c r="M995" s="9"/>
      <c r="N995" s="9"/>
      <c r="O995" s="9"/>
      <c r="P995" s="9"/>
      <c r="Q995" s="9"/>
      <c r="R995" s="9"/>
      <c r="T995" s="1"/>
    </row>
    <row r="996" spans="5:20" ht="15.75" customHeight="1" x14ac:dyDescent="0.3">
      <c r="E996" s="9"/>
      <c r="F996" s="9"/>
      <c r="H996" s="9"/>
      <c r="M996" s="9"/>
      <c r="N996" s="9"/>
      <c r="O996" s="9"/>
      <c r="P996" s="9"/>
      <c r="Q996" s="9"/>
      <c r="R996" s="9"/>
      <c r="T996" s="1"/>
    </row>
    <row r="997" spans="5:20" ht="15.75" customHeight="1" x14ac:dyDescent="0.3">
      <c r="E997" s="9"/>
      <c r="F997" s="9"/>
      <c r="H997" s="9"/>
      <c r="M997" s="9"/>
      <c r="N997" s="9"/>
      <c r="O997" s="9"/>
      <c r="P997" s="9"/>
      <c r="Q997" s="9"/>
      <c r="R997" s="9"/>
      <c r="T997" s="1"/>
    </row>
    <row r="998" spans="5:20" ht="15.75" customHeight="1" x14ac:dyDescent="0.3">
      <c r="E998" s="9"/>
      <c r="F998" s="9"/>
      <c r="H998" s="9"/>
      <c r="M998" s="9"/>
      <c r="N998" s="9"/>
      <c r="O998" s="9"/>
      <c r="P998" s="9"/>
      <c r="Q998" s="9"/>
      <c r="R998" s="9"/>
      <c r="T998" s="1"/>
    </row>
    <row r="999" spans="5:20" ht="15.75" customHeight="1" x14ac:dyDescent="0.3">
      <c r="E999" s="9"/>
      <c r="F999" s="9"/>
      <c r="H999" s="9"/>
      <c r="M999" s="9"/>
      <c r="N999" s="9"/>
      <c r="O999" s="9"/>
      <c r="P999" s="9"/>
      <c r="Q999" s="9"/>
      <c r="R999" s="9"/>
      <c r="T999" s="1"/>
    </row>
    <row r="1000" spans="5:20" ht="15.75" customHeight="1" x14ac:dyDescent="0.3">
      <c r="E1000" s="9"/>
      <c r="F1000" s="9"/>
      <c r="H1000" s="9"/>
      <c r="M1000" s="9"/>
      <c r="N1000" s="9"/>
      <c r="O1000" s="9"/>
      <c r="P1000" s="9"/>
      <c r="Q1000" s="9"/>
      <c r="R1000" s="9"/>
      <c r="T1000" s="1"/>
    </row>
    <row r="1001" spans="5:20" ht="15.75" customHeight="1" x14ac:dyDescent="0.3">
      <c r="E1001" s="9"/>
      <c r="F1001" s="9"/>
      <c r="H1001" s="9"/>
      <c r="M1001" s="9"/>
      <c r="N1001" s="9"/>
      <c r="O1001" s="9"/>
      <c r="P1001" s="9"/>
      <c r="Q1001" s="9"/>
      <c r="R1001" s="9"/>
      <c r="T1001" s="1"/>
    </row>
    <row r="1002" spans="5:20" ht="15.75" customHeight="1" x14ac:dyDescent="0.3">
      <c r="E1002" s="9"/>
      <c r="F1002" s="9"/>
      <c r="H1002" s="9"/>
      <c r="M1002" s="9"/>
      <c r="N1002" s="9"/>
      <c r="O1002" s="9"/>
      <c r="P1002" s="9"/>
      <c r="Q1002" s="9"/>
      <c r="R1002" s="9"/>
      <c r="T1002" s="1"/>
    </row>
    <row r="1003" spans="5:20" ht="15.75" customHeight="1" x14ac:dyDescent="0.3">
      <c r="E1003" s="9"/>
      <c r="F1003" s="9"/>
      <c r="H1003" s="9"/>
      <c r="M1003" s="9"/>
      <c r="N1003" s="9"/>
      <c r="O1003" s="9"/>
      <c r="P1003" s="9"/>
      <c r="Q1003" s="9"/>
      <c r="R1003" s="9"/>
      <c r="T1003" s="1"/>
    </row>
    <row r="1004" spans="5:20" ht="15.75" customHeight="1" x14ac:dyDescent="0.3">
      <c r="E1004" s="9"/>
      <c r="F1004" s="9"/>
      <c r="H1004" s="9"/>
      <c r="M1004" s="9"/>
      <c r="N1004" s="9"/>
      <c r="O1004" s="9"/>
      <c r="P1004" s="9"/>
      <c r="Q1004" s="9"/>
      <c r="R1004" s="9"/>
      <c r="T1004" s="1"/>
    </row>
    <row r="1005" spans="5:20" ht="15.75" customHeight="1" x14ac:dyDescent="0.3">
      <c r="E1005" s="9"/>
      <c r="F1005" s="9"/>
      <c r="H1005" s="9"/>
      <c r="M1005" s="9"/>
      <c r="N1005" s="9"/>
      <c r="O1005" s="9"/>
      <c r="P1005" s="9"/>
      <c r="Q1005" s="9"/>
      <c r="R1005" s="9"/>
      <c r="T1005" s="1"/>
    </row>
    <row r="1006" spans="5:20" ht="15.75" customHeight="1" x14ac:dyDescent="0.3">
      <c r="E1006" s="9"/>
      <c r="F1006" s="9"/>
      <c r="H1006" s="9"/>
      <c r="M1006" s="9"/>
      <c r="N1006" s="9"/>
      <c r="O1006" s="9"/>
      <c r="P1006" s="9"/>
      <c r="Q1006" s="9"/>
      <c r="R1006" s="9"/>
      <c r="T1006" s="1"/>
    </row>
    <row r="1007" spans="5:20" ht="15.75" customHeight="1" x14ac:dyDescent="0.3">
      <c r="E1007" s="9"/>
      <c r="F1007" s="9"/>
      <c r="H1007" s="9"/>
      <c r="M1007" s="9"/>
      <c r="N1007" s="9"/>
      <c r="O1007" s="9"/>
      <c r="P1007" s="9"/>
      <c r="Q1007" s="9"/>
      <c r="R1007" s="9"/>
      <c r="T1007" s="1"/>
    </row>
    <row r="1008" spans="5:20" ht="15.75" customHeight="1" x14ac:dyDescent="0.3">
      <c r="E1008" s="9"/>
      <c r="F1008" s="9"/>
      <c r="H1008" s="9"/>
      <c r="M1008" s="9"/>
      <c r="N1008" s="9"/>
      <c r="O1008" s="9"/>
      <c r="P1008" s="9"/>
      <c r="Q1008" s="9"/>
      <c r="R1008" s="9"/>
      <c r="T1008" s="1"/>
    </row>
    <row r="1009" spans="5:20" ht="15.75" customHeight="1" x14ac:dyDescent="0.3">
      <c r="E1009" s="9"/>
      <c r="F1009" s="9"/>
      <c r="H1009" s="9"/>
      <c r="M1009" s="9"/>
      <c r="N1009" s="9"/>
      <c r="O1009" s="9"/>
      <c r="P1009" s="9"/>
      <c r="Q1009" s="9"/>
      <c r="R1009" s="9"/>
      <c r="T1009" s="1"/>
    </row>
    <row r="1010" spans="5:20" ht="15.75" customHeight="1" x14ac:dyDescent="0.3">
      <c r="E1010" s="9"/>
      <c r="F1010" s="9"/>
      <c r="H1010" s="9"/>
      <c r="M1010" s="9"/>
      <c r="N1010" s="9"/>
      <c r="O1010" s="9"/>
      <c r="P1010" s="9"/>
      <c r="Q1010" s="9"/>
      <c r="R1010" s="9"/>
      <c r="T1010" s="1"/>
    </row>
    <row r="1011" spans="5:20" ht="15.75" customHeight="1" x14ac:dyDescent="0.3">
      <c r="E1011" s="9"/>
      <c r="F1011" s="9"/>
      <c r="H1011" s="9"/>
      <c r="M1011" s="9"/>
      <c r="N1011" s="9"/>
      <c r="O1011" s="9"/>
      <c r="P1011" s="9"/>
      <c r="Q1011" s="9"/>
      <c r="R1011" s="9"/>
      <c r="T1011" s="1"/>
    </row>
    <row r="1012" spans="5:20" ht="15.75" customHeight="1" x14ac:dyDescent="0.3">
      <c r="E1012" s="9"/>
      <c r="F1012" s="9"/>
      <c r="H1012" s="9"/>
      <c r="M1012" s="9"/>
      <c r="N1012" s="9"/>
      <c r="O1012" s="9"/>
      <c r="P1012" s="9"/>
      <c r="Q1012" s="9"/>
      <c r="R1012" s="9"/>
      <c r="T1012" s="1"/>
    </row>
    <row r="1013" spans="5:20" ht="15.75" customHeight="1" x14ac:dyDescent="0.3">
      <c r="E1013" s="9"/>
      <c r="F1013" s="9"/>
      <c r="H1013" s="9"/>
      <c r="M1013" s="9"/>
      <c r="N1013" s="9"/>
      <c r="O1013" s="9"/>
      <c r="P1013" s="9"/>
      <c r="Q1013" s="9"/>
      <c r="R1013" s="9"/>
      <c r="T1013" s="1"/>
    </row>
    <row r="1014" spans="5:20" ht="15.75" customHeight="1" x14ac:dyDescent="0.3">
      <c r="E1014" s="9"/>
      <c r="F1014" s="9"/>
      <c r="H1014" s="9"/>
      <c r="M1014" s="9"/>
      <c r="N1014" s="9"/>
      <c r="O1014" s="9"/>
      <c r="P1014" s="9"/>
      <c r="Q1014" s="9"/>
      <c r="R1014" s="9"/>
      <c r="T1014" s="1"/>
    </row>
    <row r="1015" spans="5:20" ht="15.75" customHeight="1" x14ac:dyDescent="0.3">
      <c r="E1015" s="9"/>
      <c r="F1015" s="9"/>
      <c r="H1015" s="9"/>
      <c r="M1015" s="9"/>
      <c r="N1015" s="9"/>
      <c r="O1015" s="9"/>
      <c r="P1015" s="9"/>
      <c r="Q1015" s="9"/>
      <c r="R1015" s="9"/>
      <c r="T1015" s="1"/>
    </row>
    <row r="1016" spans="5:20" ht="15.75" customHeight="1" x14ac:dyDescent="0.3">
      <c r="E1016" s="9"/>
      <c r="F1016" s="9"/>
      <c r="H1016" s="9"/>
      <c r="M1016" s="9"/>
      <c r="N1016" s="9"/>
      <c r="O1016" s="9"/>
      <c r="P1016" s="9"/>
      <c r="Q1016" s="9"/>
      <c r="R1016" s="9"/>
      <c r="T1016" s="1"/>
    </row>
    <row r="1017" spans="5:20" ht="15.75" customHeight="1" x14ac:dyDescent="0.3">
      <c r="E1017" s="9"/>
      <c r="F1017" s="9"/>
      <c r="H1017" s="9"/>
      <c r="M1017" s="9"/>
      <c r="N1017" s="9"/>
      <c r="O1017" s="9"/>
      <c r="P1017" s="9"/>
      <c r="Q1017" s="9"/>
      <c r="R1017" s="9"/>
      <c r="T1017" s="1"/>
    </row>
    <row r="1018" spans="5:20" ht="15.75" customHeight="1" x14ac:dyDescent="0.3">
      <c r="E1018" s="9"/>
      <c r="F1018" s="9"/>
      <c r="H1018" s="9"/>
      <c r="M1018" s="9"/>
      <c r="N1018" s="9"/>
      <c r="O1018" s="9"/>
      <c r="P1018" s="9"/>
      <c r="Q1018" s="9"/>
      <c r="R1018" s="9"/>
      <c r="T1018" s="1"/>
    </row>
    <row r="1019" spans="5:20" ht="15.75" customHeight="1" x14ac:dyDescent="0.3">
      <c r="E1019" s="9"/>
      <c r="F1019" s="9"/>
      <c r="H1019" s="9"/>
      <c r="M1019" s="9"/>
      <c r="N1019" s="9"/>
      <c r="O1019" s="9"/>
      <c r="P1019" s="9"/>
      <c r="Q1019" s="9"/>
      <c r="R1019" s="9"/>
      <c r="T1019" s="1"/>
    </row>
    <row r="1020" spans="5:20" ht="15.75" customHeight="1" x14ac:dyDescent="0.3">
      <c r="E1020" s="9"/>
      <c r="F1020" s="9"/>
      <c r="H1020" s="9"/>
      <c r="M1020" s="9"/>
      <c r="N1020" s="9"/>
      <c r="O1020" s="9"/>
      <c r="P1020" s="9"/>
      <c r="Q1020" s="9"/>
      <c r="R1020" s="9"/>
      <c r="T1020" s="1"/>
    </row>
    <row r="1021" spans="5:20" ht="15.75" customHeight="1" x14ac:dyDescent="0.3">
      <c r="E1021" s="9"/>
      <c r="F1021" s="9"/>
      <c r="H1021" s="9"/>
      <c r="M1021" s="9"/>
      <c r="N1021" s="9"/>
      <c r="O1021" s="9"/>
      <c r="P1021" s="9"/>
      <c r="Q1021" s="9"/>
      <c r="R1021" s="9"/>
      <c r="T1021" s="1"/>
    </row>
    <row r="1022" spans="5:20" ht="15.75" customHeight="1" x14ac:dyDescent="0.3">
      <c r="E1022" s="9"/>
      <c r="F1022" s="9"/>
      <c r="H1022" s="9"/>
      <c r="M1022" s="9"/>
      <c r="N1022" s="9"/>
      <c r="O1022" s="9"/>
      <c r="P1022" s="9"/>
      <c r="Q1022" s="9"/>
      <c r="R1022" s="9"/>
      <c r="T1022" s="1"/>
    </row>
    <row r="1023" spans="5:20" ht="15.75" customHeight="1" x14ac:dyDescent="0.3">
      <c r="E1023" s="9"/>
      <c r="F1023" s="9"/>
      <c r="H1023" s="9"/>
      <c r="M1023" s="9"/>
      <c r="N1023" s="9"/>
      <c r="O1023" s="9"/>
      <c r="P1023" s="9"/>
      <c r="Q1023" s="9"/>
      <c r="R1023" s="9"/>
      <c r="T1023" s="1"/>
    </row>
    <row r="1024" spans="5:20" ht="15.75" customHeight="1" x14ac:dyDescent="0.3">
      <c r="E1024" s="9"/>
      <c r="F1024" s="9"/>
      <c r="H1024" s="9"/>
      <c r="M1024" s="9"/>
      <c r="N1024" s="9"/>
      <c r="O1024" s="9"/>
      <c r="P1024" s="9"/>
      <c r="Q1024" s="9"/>
      <c r="R1024" s="9"/>
      <c r="T1024" s="1"/>
    </row>
    <row r="1025" spans="5:20" ht="15.75" customHeight="1" x14ac:dyDescent="0.3">
      <c r="E1025" s="9"/>
      <c r="F1025" s="9"/>
      <c r="H1025" s="9"/>
      <c r="M1025" s="9"/>
      <c r="N1025" s="9"/>
      <c r="O1025" s="9"/>
      <c r="P1025" s="9"/>
      <c r="Q1025" s="9"/>
      <c r="R1025" s="9"/>
      <c r="T1025" s="1"/>
    </row>
    <row r="1026" spans="5:20" ht="15.75" customHeight="1" x14ac:dyDescent="0.3">
      <c r="E1026" s="9"/>
      <c r="F1026" s="9"/>
      <c r="H1026" s="9"/>
      <c r="M1026" s="9"/>
      <c r="N1026" s="9"/>
      <c r="O1026" s="9"/>
      <c r="P1026" s="9"/>
      <c r="Q1026" s="9"/>
      <c r="R1026" s="9"/>
      <c r="T1026" s="1"/>
    </row>
    <row r="1027" spans="5:20" ht="15.75" customHeight="1" x14ac:dyDescent="0.3">
      <c r="E1027" s="9"/>
      <c r="F1027" s="9"/>
      <c r="H1027" s="9"/>
      <c r="M1027" s="9"/>
      <c r="N1027" s="9"/>
      <c r="O1027" s="9"/>
      <c r="P1027" s="9"/>
      <c r="Q1027" s="9"/>
      <c r="R1027" s="9"/>
      <c r="T1027" s="1"/>
    </row>
    <row r="1028" spans="5:20" ht="15.75" customHeight="1" x14ac:dyDescent="0.3">
      <c r="E1028" s="9"/>
      <c r="F1028" s="9"/>
      <c r="H1028" s="9"/>
      <c r="M1028" s="9"/>
      <c r="N1028" s="9"/>
      <c r="O1028" s="9"/>
      <c r="P1028" s="9"/>
      <c r="Q1028" s="9"/>
      <c r="R1028" s="9"/>
      <c r="T1028" s="1"/>
    </row>
    <row r="1029" spans="5:20" ht="15.75" customHeight="1" x14ac:dyDescent="0.3">
      <c r="E1029" s="9"/>
      <c r="F1029" s="9"/>
      <c r="H1029" s="9"/>
      <c r="M1029" s="9"/>
      <c r="N1029" s="9"/>
      <c r="O1029" s="9"/>
      <c r="P1029" s="9"/>
      <c r="Q1029" s="9"/>
      <c r="R1029" s="9"/>
      <c r="T1029" s="1"/>
    </row>
    <row r="1030" spans="5:20" ht="15.75" customHeight="1" x14ac:dyDescent="0.3">
      <c r="E1030" s="9"/>
      <c r="F1030" s="9"/>
      <c r="H1030" s="9"/>
      <c r="M1030" s="9"/>
      <c r="N1030" s="9"/>
      <c r="O1030" s="9"/>
      <c r="P1030" s="9"/>
      <c r="Q1030" s="9"/>
      <c r="R1030" s="9"/>
      <c r="T1030" s="1"/>
    </row>
    <row r="1031" spans="5:20" ht="15.75" customHeight="1" x14ac:dyDescent="0.3">
      <c r="E1031" s="9"/>
      <c r="F1031" s="9"/>
      <c r="H1031" s="9"/>
      <c r="M1031" s="9"/>
      <c r="N1031" s="9"/>
      <c r="O1031" s="9"/>
      <c r="P1031" s="9"/>
      <c r="Q1031" s="9"/>
      <c r="R1031" s="9"/>
      <c r="T1031" s="1"/>
    </row>
    <row r="1032" spans="5:20" ht="15.75" customHeight="1" x14ac:dyDescent="0.3">
      <c r="E1032" s="9"/>
      <c r="F1032" s="9"/>
      <c r="H1032" s="9"/>
      <c r="M1032" s="9"/>
      <c r="N1032" s="9"/>
      <c r="O1032" s="9"/>
      <c r="P1032" s="9"/>
      <c r="Q1032" s="9"/>
      <c r="R1032" s="9"/>
      <c r="T1032" s="1"/>
    </row>
    <row r="1033" spans="5:20" ht="15.75" customHeight="1" x14ac:dyDescent="0.3">
      <c r="E1033" s="9"/>
      <c r="F1033" s="9"/>
      <c r="H1033" s="9"/>
      <c r="M1033" s="9"/>
      <c r="N1033" s="9"/>
      <c r="O1033" s="9"/>
      <c r="P1033" s="9"/>
      <c r="Q1033" s="9"/>
      <c r="R1033" s="9"/>
      <c r="T1033" s="1"/>
    </row>
    <row r="1034" spans="5:20" ht="15.75" customHeight="1" x14ac:dyDescent="0.3">
      <c r="E1034" s="9"/>
      <c r="F1034" s="9"/>
      <c r="H1034" s="9"/>
      <c r="M1034" s="9"/>
      <c r="N1034" s="9"/>
      <c r="O1034" s="9"/>
      <c r="P1034" s="9"/>
      <c r="Q1034" s="9"/>
      <c r="R1034" s="9"/>
      <c r="T1034" s="1"/>
    </row>
    <row r="1035" spans="5:20" ht="15.75" customHeight="1" x14ac:dyDescent="0.3">
      <c r="E1035" s="9"/>
      <c r="F1035" s="9"/>
      <c r="H1035" s="9"/>
      <c r="M1035" s="9"/>
      <c r="N1035" s="9"/>
      <c r="O1035" s="9"/>
      <c r="P1035" s="9"/>
      <c r="Q1035" s="9"/>
      <c r="R1035" s="9"/>
      <c r="T1035" s="1"/>
    </row>
    <row r="1036" spans="5:20" ht="15.75" customHeight="1" x14ac:dyDescent="0.3">
      <c r="E1036" s="9"/>
      <c r="F1036" s="9"/>
      <c r="H1036" s="9"/>
      <c r="M1036" s="9"/>
      <c r="N1036" s="9"/>
      <c r="O1036" s="9"/>
      <c r="P1036" s="9"/>
      <c r="Q1036" s="9"/>
      <c r="R1036" s="9"/>
      <c r="T1036" s="1"/>
    </row>
    <row r="1037" spans="5:20" ht="15.75" customHeight="1" x14ac:dyDescent="0.3">
      <c r="E1037" s="9"/>
      <c r="F1037" s="9"/>
      <c r="H1037" s="9"/>
      <c r="M1037" s="9"/>
      <c r="N1037" s="9"/>
      <c r="O1037" s="9"/>
      <c r="P1037" s="9"/>
      <c r="Q1037" s="9"/>
      <c r="R1037" s="9"/>
      <c r="T1037" s="1"/>
    </row>
    <row r="1038" spans="5:20" ht="15.75" customHeight="1" x14ac:dyDescent="0.3">
      <c r="E1038" s="9"/>
      <c r="F1038" s="9"/>
      <c r="H1038" s="9"/>
      <c r="M1038" s="9"/>
      <c r="N1038" s="9"/>
      <c r="O1038" s="9"/>
      <c r="P1038" s="9"/>
      <c r="Q1038" s="9"/>
      <c r="R1038" s="9"/>
      <c r="T1038" s="1"/>
    </row>
    <row r="1039" spans="5:20" ht="15.75" customHeight="1" x14ac:dyDescent="0.3">
      <c r="E1039" s="9"/>
      <c r="F1039" s="9"/>
      <c r="H1039" s="9"/>
      <c r="M1039" s="9"/>
      <c r="N1039" s="9"/>
      <c r="O1039" s="9"/>
      <c r="P1039" s="9"/>
      <c r="Q1039" s="9"/>
      <c r="R1039" s="9"/>
      <c r="T1039" s="1"/>
    </row>
    <row r="1040" spans="5:20" ht="15.75" customHeight="1" x14ac:dyDescent="0.3">
      <c r="E1040" s="9"/>
      <c r="F1040" s="9"/>
      <c r="H1040" s="9"/>
      <c r="M1040" s="9"/>
      <c r="N1040" s="9"/>
      <c r="O1040" s="9"/>
      <c r="P1040" s="9"/>
      <c r="Q1040" s="9"/>
      <c r="R1040" s="9"/>
      <c r="T1040" s="1"/>
    </row>
    <row r="1041" spans="5:20" ht="15.75" customHeight="1" x14ac:dyDescent="0.3">
      <c r="E1041" s="9"/>
      <c r="F1041" s="9"/>
      <c r="H1041" s="9"/>
      <c r="M1041" s="9"/>
      <c r="N1041" s="9"/>
      <c r="O1041" s="9"/>
      <c r="P1041" s="9"/>
      <c r="Q1041" s="9"/>
      <c r="R1041" s="9"/>
      <c r="T1041" s="1"/>
    </row>
    <row r="1042" spans="5:20" ht="15.75" customHeight="1" x14ac:dyDescent="0.3">
      <c r="E1042" s="9"/>
      <c r="F1042" s="9"/>
      <c r="H1042" s="9"/>
      <c r="M1042" s="9"/>
      <c r="N1042" s="9"/>
      <c r="O1042" s="9"/>
      <c r="P1042" s="9"/>
      <c r="Q1042" s="9"/>
      <c r="R1042" s="9"/>
      <c r="T1042" s="1"/>
    </row>
    <row r="1043" spans="5:20" ht="15.75" customHeight="1" x14ac:dyDescent="0.3">
      <c r="E1043" s="9"/>
      <c r="F1043" s="9"/>
      <c r="H1043" s="9"/>
      <c r="M1043" s="9"/>
      <c r="N1043" s="9"/>
      <c r="O1043" s="9"/>
      <c r="P1043" s="9"/>
      <c r="Q1043" s="9"/>
      <c r="R1043" s="9"/>
      <c r="T1043" s="1"/>
    </row>
    <row r="1044" spans="5:20" ht="15.75" customHeight="1" x14ac:dyDescent="0.3">
      <c r="E1044" s="9"/>
      <c r="F1044" s="9"/>
      <c r="H1044" s="9"/>
      <c r="M1044" s="9"/>
      <c r="N1044" s="9"/>
      <c r="O1044" s="9"/>
      <c r="P1044" s="9"/>
      <c r="Q1044" s="9"/>
      <c r="R1044" s="9"/>
      <c r="T1044" s="1"/>
    </row>
    <row r="1045" spans="5:20" ht="15.75" customHeight="1" x14ac:dyDescent="0.3">
      <c r="E1045" s="9"/>
      <c r="F1045" s="9"/>
      <c r="H1045" s="9"/>
      <c r="M1045" s="9"/>
      <c r="N1045" s="9"/>
      <c r="O1045" s="9"/>
      <c r="P1045" s="9"/>
      <c r="Q1045" s="9"/>
      <c r="R1045" s="9"/>
      <c r="T1045" s="1"/>
    </row>
    <row r="1046" spans="5:20" ht="15.75" customHeight="1" x14ac:dyDescent="0.3">
      <c r="E1046" s="9"/>
      <c r="F1046" s="9"/>
      <c r="H1046" s="9"/>
      <c r="M1046" s="9"/>
      <c r="N1046" s="9"/>
      <c r="O1046" s="9"/>
      <c r="P1046" s="9"/>
      <c r="Q1046" s="9"/>
      <c r="R1046" s="9"/>
      <c r="T1046" s="1"/>
    </row>
    <row r="1047" spans="5:20" ht="15.75" customHeight="1" x14ac:dyDescent="0.3">
      <c r="E1047" s="9"/>
      <c r="F1047" s="9"/>
      <c r="H1047" s="9"/>
      <c r="M1047" s="9"/>
      <c r="N1047" s="9"/>
      <c r="O1047" s="9"/>
      <c r="P1047" s="9"/>
      <c r="Q1047" s="9"/>
      <c r="R1047" s="9"/>
      <c r="T1047" s="1"/>
    </row>
    <row r="1048" spans="5:20" ht="15.75" customHeight="1" x14ac:dyDescent="0.3">
      <c r="E1048" s="9"/>
      <c r="F1048" s="9"/>
      <c r="H1048" s="9"/>
      <c r="M1048" s="9"/>
      <c r="N1048" s="9"/>
      <c r="O1048" s="9"/>
      <c r="P1048" s="9"/>
      <c r="Q1048" s="9"/>
      <c r="R1048" s="9"/>
      <c r="T1048" s="1"/>
    </row>
    <row r="1049" spans="5:20" ht="15.75" customHeight="1" x14ac:dyDescent="0.3">
      <c r="E1049" s="9"/>
      <c r="F1049" s="9"/>
      <c r="H1049" s="9"/>
      <c r="M1049" s="9"/>
      <c r="N1049" s="9"/>
      <c r="O1049" s="9"/>
      <c r="P1049" s="9"/>
      <c r="Q1049" s="9"/>
      <c r="R1049" s="9"/>
      <c r="T1049" s="1"/>
    </row>
    <row r="1050" spans="5:20" ht="15.75" customHeight="1" x14ac:dyDescent="0.3">
      <c r="E1050" s="9"/>
      <c r="F1050" s="9"/>
      <c r="H1050" s="9"/>
      <c r="M1050" s="9"/>
      <c r="N1050" s="9"/>
      <c r="O1050" s="9"/>
      <c r="P1050" s="9"/>
      <c r="Q1050" s="9"/>
      <c r="R1050" s="9"/>
      <c r="T1050" s="1"/>
    </row>
    <row r="1051" spans="5:20" ht="15.75" customHeight="1" x14ac:dyDescent="0.3">
      <c r="E1051" s="9"/>
      <c r="F1051" s="9"/>
      <c r="H1051" s="9"/>
      <c r="M1051" s="9"/>
      <c r="N1051" s="9"/>
      <c r="O1051" s="9"/>
      <c r="P1051" s="9"/>
      <c r="Q1051" s="9"/>
      <c r="R1051" s="9"/>
      <c r="T1051" s="1"/>
    </row>
    <row r="1052" spans="5:20" ht="15.75" customHeight="1" x14ac:dyDescent="0.3">
      <c r="E1052" s="9"/>
      <c r="F1052" s="9"/>
      <c r="H1052" s="9"/>
      <c r="M1052" s="9"/>
      <c r="N1052" s="9"/>
      <c r="O1052" s="9"/>
      <c r="P1052" s="9"/>
      <c r="Q1052" s="9"/>
      <c r="R1052" s="9"/>
      <c r="T1052" s="1"/>
    </row>
    <row r="1053" spans="5:20" ht="15.75" customHeight="1" x14ac:dyDescent="0.3">
      <c r="E1053" s="9"/>
      <c r="F1053" s="9"/>
      <c r="H1053" s="9"/>
      <c r="M1053" s="9"/>
      <c r="N1053" s="9"/>
      <c r="O1053" s="9"/>
      <c r="P1053" s="9"/>
      <c r="Q1053" s="9"/>
      <c r="R1053" s="9"/>
      <c r="T1053" s="1"/>
    </row>
    <row r="1054" spans="5:20" ht="15.75" customHeight="1" x14ac:dyDescent="0.3">
      <c r="E1054" s="9"/>
      <c r="F1054" s="9"/>
      <c r="H1054" s="9"/>
      <c r="M1054" s="9"/>
      <c r="N1054" s="9"/>
      <c r="O1054" s="9"/>
      <c r="P1054" s="9"/>
      <c r="Q1054" s="9"/>
      <c r="R1054" s="9"/>
      <c r="T1054" s="1"/>
    </row>
    <row r="1055" spans="5:20" ht="15.75" customHeight="1" x14ac:dyDescent="0.3">
      <c r="E1055" s="9"/>
      <c r="F1055" s="9"/>
      <c r="H1055" s="9"/>
      <c r="M1055" s="9"/>
      <c r="N1055" s="9"/>
      <c r="O1055" s="9"/>
      <c r="P1055" s="9"/>
      <c r="Q1055" s="9"/>
      <c r="R1055" s="9"/>
      <c r="T1055" s="1"/>
    </row>
    <row r="1056" spans="5:20" ht="15.75" customHeight="1" x14ac:dyDescent="0.3">
      <c r="E1056" s="9"/>
      <c r="F1056" s="9"/>
      <c r="H1056" s="9"/>
      <c r="M1056" s="9"/>
      <c r="N1056" s="9"/>
      <c r="O1056" s="9"/>
      <c r="P1056" s="9"/>
      <c r="Q1056" s="9"/>
      <c r="R1056" s="9"/>
      <c r="T1056" s="1"/>
    </row>
    <row r="1057" spans="5:20" ht="15.75" customHeight="1" x14ac:dyDescent="0.3">
      <c r="E1057" s="9"/>
      <c r="F1057" s="9"/>
      <c r="H1057" s="9"/>
      <c r="M1057" s="9"/>
      <c r="N1057" s="9"/>
      <c r="O1057" s="9"/>
      <c r="P1057" s="9"/>
      <c r="Q1057" s="9"/>
      <c r="R1057" s="9"/>
      <c r="T1057" s="1"/>
    </row>
    <row r="1058" spans="5:20" ht="15.75" customHeight="1" x14ac:dyDescent="0.3">
      <c r="E1058" s="9"/>
      <c r="F1058" s="9"/>
      <c r="H1058" s="9"/>
      <c r="M1058" s="9"/>
      <c r="N1058" s="9"/>
      <c r="O1058" s="9"/>
      <c r="P1058" s="9"/>
      <c r="Q1058" s="9"/>
      <c r="R1058" s="9"/>
      <c r="T1058" s="1"/>
    </row>
    <row r="1059" spans="5:20" ht="15.75" customHeight="1" x14ac:dyDescent="0.3">
      <c r="E1059" s="9"/>
      <c r="F1059" s="9"/>
      <c r="H1059" s="9"/>
      <c r="M1059" s="9"/>
      <c r="N1059" s="9"/>
      <c r="O1059" s="9"/>
      <c r="P1059" s="9"/>
      <c r="Q1059" s="9"/>
      <c r="R1059" s="9"/>
      <c r="T1059" s="1"/>
    </row>
    <row r="1060" spans="5:20" ht="15.75" customHeight="1" x14ac:dyDescent="0.3">
      <c r="E1060" s="9"/>
      <c r="F1060" s="9"/>
      <c r="H1060" s="9"/>
      <c r="M1060" s="9"/>
      <c r="N1060" s="9"/>
      <c r="O1060" s="9"/>
      <c r="P1060" s="9"/>
      <c r="Q1060" s="9"/>
      <c r="R1060" s="9"/>
      <c r="T1060" s="1"/>
    </row>
    <row r="1061" spans="5:20" ht="15.75" customHeight="1" x14ac:dyDescent="0.3">
      <c r="E1061" s="9"/>
      <c r="F1061" s="9"/>
      <c r="H1061" s="9"/>
      <c r="M1061" s="9"/>
      <c r="N1061" s="9"/>
      <c r="O1061" s="9"/>
      <c r="P1061" s="9"/>
      <c r="Q1061" s="9"/>
      <c r="R1061" s="9"/>
      <c r="T1061" s="1"/>
    </row>
    <row r="1062" spans="5:20" ht="15.75" customHeight="1" x14ac:dyDescent="0.3">
      <c r="E1062" s="9"/>
      <c r="F1062" s="9"/>
      <c r="H1062" s="9"/>
      <c r="M1062" s="9"/>
      <c r="N1062" s="9"/>
      <c r="O1062" s="9"/>
      <c r="P1062" s="9"/>
      <c r="Q1062" s="9"/>
      <c r="R1062" s="9"/>
      <c r="T1062" s="1"/>
    </row>
    <row r="1063" spans="5:20" ht="15.75" customHeight="1" x14ac:dyDescent="0.3">
      <c r="E1063" s="9"/>
      <c r="F1063" s="9"/>
      <c r="H1063" s="9"/>
      <c r="M1063" s="9"/>
      <c r="N1063" s="9"/>
      <c r="O1063" s="9"/>
      <c r="P1063" s="9"/>
      <c r="Q1063" s="9"/>
      <c r="R1063" s="9"/>
      <c r="T1063" s="1"/>
    </row>
    <row r="1064" spans="5:20" ht="15.75" customHeight="1" x14ac:dyDescent="0.3">
      <c r="E1064" s="9"/>
      <c r="F1064" s="9"/>
      <c r="H1064" s="9"/>
      <c r="M1064" s="9"/>
      <c r="N1064" s="9"/>
      <c r="O1064" s="9"/>
      <c r="P1064" s="9"/>
      <c r="Q1064" s="9"/>
      <c r="R1064" s="9"/>
      <c r="T1064" s="1"/>
    </row>
  </sheetData>
  <dataValidations count="1">
    <dataValidation type="list" allowBlank="1" showErrorMessage="1" sqref="K2:K95" xr:uid="{00000000-0002-0000-0100-000000000000}">
      <formula1>"C7 Management,Car Park,C7 Brokering"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 x14ac:dyDescent="0.3"/>
  <cols>
    <col min="1" max="1" width="13.44140625" customWidth="1"/>
    <col min="2" max="2" width="63.88671875" customWidth="1"/>
    <col min="3" max="3" width="21.5546875" customWidth="1"/>
    <col min="4" max="4" width="15.44140625" customWidth="1"/>
    <col min="5" max="5" width="15.6640625" customWidth="1"/>
    <col min="6" max="6" width="14.6640625" customWidth="1"/>
    <col min="7" max="7" width="18.44140625" customWidth="1"/>
    <col min="8" max="8" width="19.109375" customWidth="1"/>
    <col min="9" max="9" width="19.44140625" customWidth="1"/>
    <col min="10" max="10" width="17.109375" customWidth="1"/>
    <col min="11" max="11" width="15.44140625" customWidth="1"/>
    <col min="12" max="12" width="11.88671875" customWidth="1"/>
    <col min="13" max="13" width="15.88671875" customWidth="1"/>
    <col min="14" max="14" width="13.88671875" customWidth="1"/>
    <col min="15" max="15" width="14.44140625" customWidth="1"/>
    <col min="16" max="16" width="15" customWidth="1"/>
    <col min="17" max="17" width="15.88671875" customWidth="1"/>
    <col min="18" max="18" width="16.109375" customWidth="1"/>
    <col min="19" max="19" width="13.88671875" customWidth="1"/>
    <col min="20" max="25" width="8.88671875" customWidth="1"/>
  </cols>
  <sheetData>
    <row r="1" spans="1:25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/>
      <c r="T1" s="3"/>
      <c r="U1" s="3"/>
      <c r="V1" s="3"/>
      <c r="W1" s="3"/>
      <c r="X1" s="3"/>
      <c r="Y1" s="3"/>
    </row>
    <row r="2" spans="1:25" ht="14.4" x14ac:dyDescent="0.3">
      <c r="A2" s="6">
        <v>45664</v>
      </c>
      <c r="B2" s="2" t="s">
        <v>187</v>
      </c>
      <c r="C2" s="7" t="s">
        <v>20</v>
      </c>
      <c r="D2" s="8" t="s">
        <v>188</v>
      </c>
      <c r="E2" s="9">
        <v>100000</v>
      </c>
      <c r="F2" s="6">
        <v>45664</v>
      </c>
      <c r="G2" s="10">
        <v>45751</v>
      </c>
      <c r="H2" s="9">
        <v>100000</v>
      </c>
      <c r="I2" s="9">
        <f t="shared" ref="I2:I92" si="0">E2-H2</f>
        <v>0</v>
      </c>
      <c r="J2" s="2" t="s">
        <v>189</v>
      </c>
      <c r="K2" s="2" t="s">
        <v>22</v>
      </c>
      <c r="L2" s="11">
        <v>45659</v>
      </c>
      <c r="M2" s="9">
        <v>100000</v>
      </c>
      <c r="N2" s="9">
        <v>100000</v>
      </c>
      <c r="O2" s="9"/>
      <c r="P2" s="9"/>
      <c r="Q2" s="9"/>
      <c r="R2" s="9"/>
      <c r="S2" s="9">
        <f t="shared" ref="S2:S51" si="1">M2-N2-O2-P2-Q2-R2</f>
        <v>0</v>
      </c>
    </row>
    <row r="3" spans="1:25" ht="14.4" x14ac:dyDescent="0.3">
      <c r="A3" s="6">
        <v>45664</v>
      </c>
      <c r="B3" s="2" t="s">
        <v>190</v>
      </c>
      <c r="C3" s="7" t="s">
        <v>24</v>
      </c>
      <c r="D3" s="8" t="s">
        <v>191</v>
      </c>
      <c r="E3" s="9">
        <f>7000*4</f>
        <v>28000</v>
      </c>
      <c r="F3" s="6">
        <v>45664</v>
      </c>
      <c r="G3" s="10">
        <v>45720</v>
      </c>
      <c r="H3" s="12">
        <v>28000</v>
      </c>
      <c r="I3" s="9">
        <f t="shared" si="0"/>
        <v>0</v>
      </c>
      <c r="J3" s="2" t="s">
        <v>192</v>
      </c>
      <c r="K3" s="2" t="s">
        <v>27</v>
      </c>
      <c r="L3" s="11">
        <v>45659</v>
      </c>
      <c r="M3" s="9"/>
      <c r="N3" s="9"/>
      <c r="O3" s="9"/>
      <c r="P3" s="9"/>
      <c r="Q3" s="9"/>
      <c r="R3" s="9"/>
      <c r="S3" s="9">
        <f t="shared" si="1"/>
        <v>0</v>
      </c>
    </row>
    <row r="4" spans="1:25" ht="14.4" x14ac:dyDescent="0.3">
      <c r="A4" s="6">
        <v>45691</v>
      </c>
      <c r="B4" s="2" t="s">
        <v>193</v>
      </c>
      <c r="C4" s="7" t="s">
        <v>20</v>
      </c>
      <c r="D4" s="8" t="s">
        <v>194</v>
      </c>
      <c r="E4" s="9">
        <v>100000</v>
      </c>
      <c r="F4" s="6">
        <v>45691</v>
      </c>
      <c r="G4" s="10">
        <v>45751</v>
      </c>
      <c r="H4" s="9">
        <v>100000</v>
      </c>
      <c r="I4" s="9">
        <f t="shared" si="0"/>
        <v>0</v>
      </c>
      <c r="J4" s="2" t="s">
        <v>189</v>
      </c>
      <c r="K4" s="2" t="s">
        <v>22</v>
      </c>
      <c r="L4" s="11">
        <v>45690</v>
      </c>
      <c r="M4" s="9">
        <v>100000</v>
      </c>
      <c r="N4" s="9">
        <v>100000</v>
      </c>
      <c r="O4" s="9"/>
      <c r="P4" s="9"/>
      <c r="Q4" s="9"/>
      <c r="R4" s="9"/>
      <c r="S4" s="9">
        <f t="shared" si="1"/>
        <v>0</v>
      </c>
    </row>
    <row r="5" spans="1:25" ht="14.4" x14ac:dyDescent="0.3">
      <c r="A5" s="6">
        <v>45691</v>
      </c>
      <c r="B5" s="2" t="s">
        <v>195</v>
      </c>
      <c r="C5" s="7" t="s">
        <v>24</v>
      </c>
      <c r="D5" s="8" t="s">
        <v>196</v>
      </c>
      <c r="E5" s="9">
        <f>7000*5</f>
        <v>35000</v>
      </c>
      <c r="F5" s="6">
        <v>45691</v>
      </c>
      <c r="G5" s="10">
        <v>45720</v>
      </c>
      <c r="H5" s="9">
        <v>35000</v>
      </c>
      <c r="I5" s="9">
        <f t="shared" si="0"/>
        <v>0</v>
      </c>
      <c r="J5" s="2" t="s">
        <v>192</v>
      </c>
      <c r="K5" s="2" t="s">
        <v>27</v>
      </c>
      <c r="L5" s="11">
        <v>45690</v>
      </c>
      <c r="M5" s="9"/>
      <c r="N5" s="9"/>
      <c r="O5" s="9"/>
      <c r="P5" s="9"/>
      <c r="Q5" s="9"/>
      <c r="R5" s="9"/>
      <c r="S5" s="9">
        <f t="shared" si="1"/>
        <v>0</v>
      </c>
    </row>
    <row r="6" spans="1:25" ht="14.4" x14ac:dyDescent="0.3">
      <c r="A6" s="6">
        <v>45688</v>
      </c>
      <c r="B6" s="2" t="s">
        <v>197</v>
      </c>
      <c r="C6" s="7" t="s">
        <v>198</v>
      </c>
      <c r="D6" s="8" t="s">
        <v>199</v>
      </c>
      <c r="E6" s="9">
        <v>750</v>
      </c>
      <c r="F6" s="6">
        <v>45691</v>
      </c>
      <c r="G6" s="6">
        <v>45698</v>
      </c>
      <c r="H6" s="9">
        <v>750</v>
      </c>
      <c r="I6" s="9">
        <f t="shared" si="0"/>
        <v>0</v>
      </c>
      <c r="J6" s="2" t="s">
        <v>200</v>
      </c>
      <c r="K6" s="2" t="s">
        <v>27</v>
      </c>
      <c r="L6" s="11">
        <v>45659</v>
      </c>
      <c r="M6" s="9"/>
      <c r="N6" s="9"/>
      <c r="O6" s="9"/>
      <c r="P6" s="9"/>
      <c r="Q6" s="9"/>
      <c r="R6" s="9"/>
      <c r="S6" s="9">
        <f t="shared" si="1"/>
        <v>0</v>
      </c>
    </row>
    <row r="7" spans="1:25" ht="14.4" x14ac:dyDescent="0.3">
      <c r="A7" s="6">
        <v>45713</v>
      </c>
      <c r="B7" s="2" t="s">
        <v>201</v>
      </c>
      <c r="C7" s="15" t="s">
        <v>202</v>
      </c>
      <c r="D7" s="8" t="s">
        <v>203</v>
      </c>
      <c r="E7" s="16">
        <v>100000</v>
      </c>
      <c r="F7" s="6">
        <v>45713</v>
      </c>
      <c r="G7" s="6">
        <v>45713</v>
      </c>
      <c r="H7" s="16">
        <v>100000</v>
      </c>
      <c r="I7" s="9">
        <f t="shared" si="0"/>
        <v>0</v>
      </c>
      <c r="J7" s="15" t="s">
        <v>204</v>
      </c>
      <c r="K7" s="2" t="s">
        <v>32</v>
      </c>
      <c r="L7" s="11">
        <v>45690</v>
      </c>
      <c r="M7" s="16">
        <v>100000</v>
      </c>
      <c r="N7" s="16"/>
      <c r="O7" s="16">
        <v>100000</v>
      </c>
      <c r="P7" s="16"/>
      <c r="Q7" s="16"/>
      <c r="R7" s="16"/>
      <c r="S7" s="16">
        <f t="shared" si="1"/>
        <v>0</v>
      </c>
      <c r="T7" s="18"/>
      <c r="U7" s="18"/>
      <c r="V7" s="18"/>
      <c r="W7" s="18"/>
      <c r="X7" s="18"/>
      <c r="Y7" s="18"/>
    </row>
    <row r="8" spans="1:25" ht="14.4" x14ac:dyDescent="0.3">
      <c r="A8" s="6">
        <v>45716</v>
      </c>
      <c r="B8" s="2" t="s">
        <v>205</v>
      </c>
      <c r="C8" s="7" t="s">
        <v>198</v>
      </c>
      <c r="D8" s="8" t="s">
        <v>206</v>
      </c>
      <c r="E8" s="9">
        <v>750</v>
      </c>
      <c r="F8" s="6">
        <v>45720</v>
      </c>
      <c r="G8" s="10">
        <v>45741</v>
      </c>
      <c r="H8" s="9">
        <v>750</v>
      </c>
      <c r="I8" s="9">
        <f t="shared" si="0"/>
        <v>0</v>
      </c>
      <c r="J8" s="2" t="s">
        <v>207</v>
      </c>
      <c r="K8" s="2" t="s">
        <v>27</v>
      </c>
      <c r="L8" s="11">
        <v>45690</v>
      </c>
      <c r="M8" s="9"/>
      <c r="N8" s="9"/>
      <c r="O8" s="9"/>
      <c r="P8" s="9"/>
      <c r="Q8" s="9"/>
      <c r="R8" s="9"/>
      <c r="S8" s="16">
        <f t="shared" si="1"/>
        <v>0</v>
      </c>
    </row>
    <row r="9" spans="1:25" ht="14.4" x14ac:dyDescent="0.3">
      <c r="A9" s="6">
        <v>45720</v>
      </c>
      <c r="B9" s="2" t="s">
        <v>208</v>
      </c>
      <c r="C9" s="7" t="s">
        <v>20</v>
      </c>
      <c r="D9" s="8" t="s">
        <v>209</v>
      </c>
      <c r="E9" s="9">
        <v>100000</v>
      </c>
      <c r="F9" s="6">
        <v>45725</v>
      </c>
      <c r="G9" s="10">
        <v>45751</v>
      </c>
      <c r="H9" s="9">
        <v>100000</v>
      </c>
      <c r="I9" s="9">
        <f t="shared" si="0"/>
        <v>0</v>
      </c>
      <c r="J9" s="2" t="s">
        <v>189</v>
      </c>
      <c r="K9" s="2" t="s">
        <v>22</v>
      </c>
      <c r="L9" s="11">
        <v>45719</v>
      </c>
      <c r="M9" s="16">
        <v>100000</v>
      </c>
      <c r="N9" s="16">
        <v>100000</v>
      </c>
      <c r="O9" s="9"/>
      <c r="P9" s="9"/>
      <c r="Q9" s="9"/>
      <c r="R9" s="9"/>
      <c r="S9" s="16">
        <f t="shared" si="1"/>
        <v>0</v>
      </c>
    </row>
    <row r="10" spans="1:25" ht="14.4" x14ac:dyDescent="0.3">
      <c r="A10" s="6">
        <v>45720</v>
      </c>
      <c r="B10" s="2" t="s">
        <v>210</v>
      </c>
      <c r="C10" s="7" t="s">
        <v>24</v>
      </c>
      <c r="D10" s="8" t="s">
        <v>211</v>
      </c>
      <c r="E10" s="9">
        <v>35000</v>
      </c>
      <c r="F10" s="6">
        <v>45725</v>
      </c>
      <c r="G10" s="10">
        <v>45754</v>
      </c>
      <c r="H10" s="9">
        <v>35000</v>
      </c>
      <c r="I10" s="9">
        <f t="shared" si="0"/>
        <v>0</v>
      </c>
      <c r="J10" s="2" t="s">
        <v>212</v>
      </c>
      <c r="K10" s="2" t="s">
        <v>27</v>
      </c>
      <c r="L10" s="11">
        <v>45719</v>
      </c>
      <c r="M10" s="9"/>
      <c r="N10" s="9"/>
      <c r="O10" s="9"/>
      <c r="P10" s="9"/>
      <c r="Q10" s="9"/>
      <c r="R10" s="9"/>
      <c r="S10" s="9">
        <f t="shared" si="1"/>
        <v>0</v>
      </c>
    </row>
    <row r="11" spans="1:25" ht="14.4" x14ac:dyDescent="0.3">
      <c r="A11" s="6">
        <v>45720</v>
      </c>
      <c r="B11" s="2" t="s">
        <v>213</v>
      </c>
      <c r="C11" s="2" t="s">
        <v>214</v>
      </c>
      <c r="D11" s="8" t="s">
        <v>215</v>
      </c>
      <c r="E11" s="9">
        <v>750000</v>
      </c>
      <c r="F11" s="6">
        <v>45720</v>
      </c>
      <c r="G11" s="10">
        <v>45719</v>
      </c>
      <c r="H11" s="9">
        <v>750000</v>
      </c>
      <c r="I11" s="9">
        <f t="shared" si="0"/>
        <v>0</v>
      </c>
      <c r="J11" s="2" t="s">
        <v>216</v>
      </c>
      <c r="K11" s="2" t="s">
        <v>32</v>
      </c>
      <c r="L11" s="11">
        <v>45690</v>
      </c>
      <c r="M11" s="9">
        <v>750000</v>
      </c>
      <c r="N11" s="9"/>
      <c r="O11" s="9"/>
      <c r="P11" s="9"/>
      <c r="Q11" s="9"/>
      <c r="R11" s="9">
        <v>750000</v>
      </c>
      <c r="S11" s="9">
        <f t="shared" si="1"/>
        <v>0</v>
      </c>
    </row>
    <row r="12" spans="1:25" ht="14.4" x14ac:dyDescent="0.3">
      <c r="A12" s="6">
        <v>45722</v>
      </c>
      <c r="B12" s="2" t="s">
        <v>217</v>
      </c>
      <c r="C12" s="7" t="s">
        <v>218</v>
      </c>
      <c r="D12" s="8" t="s">
        <v>219</v>
      </c>
      <c r="E12" s="9">
        <v>500000</v>
      </c>
      <c r="F12" s="6">
        <v>45722</v>
      </c>
      <c r="G12" s="10">
        <v>45723</v>
      </c>
      <c r="H12" s="9">
        <f>200000+145000+5000+140000+10000</f>
        <v>500000</v>
      </c>
      <c r="I12" s="9">
        <f t="shared" si="0"/>
        <v>0</v>
      </c>
      <c r="J12" s="2" t="s">
        <v>220</v>
      </c>
      <c r="K12" s="2" t="s">
        <v>32</v>
      </c>
      <c r="L12" s="11">
        <v>45719</v>
      </c>
      <c r="M12" s="9">
        <f>H12</f>
        <v>500000</v>
      </c>
      <c r="N12" s="9"/>
      <c r="O12" s="9"/>
      <c r="P12" s="9">
        <f>M12</f>
        <v>500000</v>
      </c>
      <c r="Q12" s="9"/>
      <c r="R12" s="9"/>
      <c r="S12" s="9">
        <f t="shared" si="1"/>
        <v>0</v>
      </c>
    </row>
    <row r="13" spans="1:25" ht="14.4" x14ac:dyDescent="0.3">
      <c r="A13" s="6">
        <v>45729</v>
      </c>
      <c r="B13" s="2" t="s">
        <v>221</v>
      </c>
      <c r="C13" s="7" t="s">
        <v>222</v>
      </c>
      <c r="D13" s="8" t="s">
        <v>223</v>
      </c>
      <c r="E13" s="9">
        <v>600000</v>
      </c>
      <c r="F13" s="6">
        <v>45729</v>
      </c>
      <c r="G13" s="10">
        <v>45744</v>
      </c>
      <c r="H13" s="12">
        <f>500000+100000</f>
        <v>600000</v>
      </c>
      <c r="I13" s="9">
        <f t="shared" si="0"/>
        <v>0</v>
      </c>
      <c r="J13" s="2" t="s">
        <v>224</v>
      </c>
      <c r="K13" s="2" t="s">
        <v>32</v>
      </c>
      <c r="L13" s="11">
        <v>45719</v>
      </c>
      <c r="M13" s="9">
        <f>E13</f>
        <v>600000</v>
      </c>
      <c r="N13" s="9"/>
      <c r="O13" s="9"/>
      <c r="P13" s="9"/>
      <c r="Q13" s="9">
        <v>600000</v>
      </c>
      <c r="R13" s="9"/>
      <c r="S13" s="9">
        <f t="shared" si="1"/>
        <v>0</v>
      </c>
    </row>
    <row r="14" spans="1:25" ht="14.4" x14ac:dyDescent="0.3">
      <c r="A14" s="6">
        <v>45732</v>
      </c>
      <c r="B14" s="2" t="s">
        <v>225</v>
      </c>
      <c r="C14" s="7" t="s">
        <v>226</v>
      </c>
      <c r="D14" s="8" t="s">
        <v>227</v>
      </c>
      <c r="E14" s="9">
        <v>75000</v>
      </c>
      <c r="F14" s="6">
        <v>45732</v>
      </c>
      <c r="G14" s="10">
        <v>45734</v>
      </c>
      <c r="H14" s="9">
        <v>75000</v>
      </c>
      <c r="I14" s="9">
        <f t="shared" si="0"/>
        <v>0</v>
      </c>
      <c r="J14" s="2" t="s">
        <v>228</v>
      </c>
      <c r="K14" s="2" t="s">
        <v>32</v>
      </c>
      <c r="L14" s="11">
        <v>45719</v>
      </c>
      <c r="M14" s="9">
        <v>75000</v>
      </c>
      <c r="N14" s="9"/>
      <c r="O14" s="9">
        <f>M14</f>
        <v>75000</v>
      </c>
      <c r="P14" s="9"/>
      <c r="Q14" s="9"/>
      <c r="R14" s="9"/>
      <c r="S14" s="9">
        <f t="shared" si="1"/>
        <v>0</v>
      </c>
    </row>
    <row r="15" spans="1:25" ht="14.4" x14ac:dyDescent="0.3">
      <c r="A15" s="6">
        <v>45740</v>
      </c>
      <c r="B15" s="2" t="s">
        <v>229</v>
      </c>
      <c r="C15" s="7" t="s">
        <v>230</v>
      </c>
      <c r="D15" s="8" t="s">
        <v>231</v>
      </c>
      <c r="E15" s="9">
        <v>250000</v>
      </c>
      <c r="F15" s="6">
        <v>45740</v>
      </c>
      <c r="G15" s="6">
        <v>45740</v>
      </c>
      <c r="H15" s="9">
        <f>250000</f>
        <v>250000</v>
      </c>
      <c r="I15" s="9">
        <f t="shared" si="0"/>
        <v>0</v>
      </c>
      <c r="J15" s="13" t="s">
        <v>232</v>
      </c>
      <c r="K15" s="7" t="s">
        <v>32</v>
      </c>
      <c r="L15" s="11"/>
      <c r="M15" s="9">
        <f t="shared" ref="M15:M16" si="2">E15</f>
        <v>250000</v>
      </c>
      <c r="N15" s="9"/>
      <c r="O15" s="9"/>
      <c r="P15" s="9"/>
      <c r="Q15" s="9">
        <v>250000</v>
      </c>
      <c r="R15" s="9"/>
      <c r="S15" s="9">
        <f t="shared" si="1"/>
        <v>0</v>
      </c>
    </row>
    <row r="16" spans="1:25" ht="14.4" x14ac:dyDescent="0.3">
      <c r="A16" s="6">
        <v>45744</v>
      </c>
      <c r="B16" s="7" t="s">
        <v>233</v>
      </c>
      <c r="C16" s="7" t="s">
        <v>234</v>
      </c>
      <c r="D16" s="8" t="s">
        <v>235</v>
      </c>
      <c r="E16" s="9">
        <v>187500</v>
      </c>
      <c r="F16" s="10">
        <f t="shared" ref="F16:F19" si="3">A16</f>
        <v>45744</v>
      </c>
      <c r="G16" s="6">
        <v>45744</v>
      </c>
      <c r="H16" s="9">
        <f>E16</f>
        <v>187500</v>
      </c>
      <c r="I16" s="9">
        <f t="shared" si="0"/>
        <v>0</v>
      </c>
      <c r="J16" s="2" t="s">
        <v>236</v>
      </c>
      <c r="K16" s="7" t="s">
        <v>32</v>
      </c>
      <c r="L16" s="11">
        <v>45719</v>
      </c>
      <c r="M16" s="9">
        <f t="shared" si="2"/>
        <v>187500</v>
      </c>
      <c r="N16" s="9"/>
      <c r="O16" s="9">
        <f>H16</f>
        <v>187500</v>
      </c>
      <c r="P16" s="9"/>
      <c r="Q16" s="9"/>
      <c r="R16" s="9"/>
      <c r="S16" s="9">
        <f t="shared" si="1"/>
        <v>0</v>
      </c>
    </row>
    <row r="17" spans="1:25" ht="14.4" x14ac:dyDescent="0.3">
      <c r="A17" s="6">
        <v>45747</v>
      </c>
      <c r="B17" s="2" t="s">
        <v>237</v>
      </c>
      <c r="C17" s="7" t="s">
        <v>198</v>
      </c>
      <c r="D17" s="8" t="s">
        <v>238</v>
      </c>
      <c r="E17" s="9">
        <v>500</v>
      </c>
      <c r="F17" s="10">
        <f t="shared" si="3"/>
        <v>45747</v>
      </c>
      <c r="G17" s="10">
        <v>45741</v>
      </c>
      <c r="H17" s="9">
        <v>500</v>
      </c>
      <c r="I17" s="9">
        <f t="shared" si="0"/>
        <v>0</v>
      </c>
      <c r="J17" s="2" t="s">
        <v>239</v>
      </c>
      <c r="K17" s="2" t="s">
        <v>27</v>
      </c>
      <c r="L17" s="11">
        <v>45719</v>
      </c>
      <c r="M17" s="9"/>
      <c r="N17" s="9"/>
      <c r="O17" s="9"/>
      <c r="P17" s="9"/>
      <c r="Q17" s="9"/>
      <c r="R17" s="9"/>
      <c r="S17" s="9">
        <f t="shared" si="1"/>
        <v>0</v>
      </c>
    </row>
    <row r="18" spans="1:25" ht="14.4" x14ac:dyDescent="0.3">
      <c r="A18" s="6">
        <v>45747</v>
      </c>
      <c r="B18" s="2" t="s">
        <v>240</v>
      </c>
      <c r="C18" s="7" t="s">
        <v>241</v>
      </c>
      <c r="D18" s="8" t="s">
        <v>242</v>
      </c>
      <c r="E18" s="9">
        <v>87500</v>
      </c>
      <c r="F18" s="10">
        <f t="shared" si="3"/>
        <v>45747</v>
      </c>
      <c r="G18" s="10">
        <v>45730</v>
      </c>
      <c r="H18" s="9">
        <v>87500</v>
      </c>
      <c r="I18" s="9">
        <f t="shared" si="0"/>
        <v>0</v>
      </c>
      <c r="J18" s="2" t="s">
        <v>243</v>
      </c>
      <c r="K18" s="7" t="s">
        <v>32</v>
      </c>
      <c r="L18" s="11">
        <v>45719</v>
      </c>
      <c r="M18" s="9">
        <f>H18</f>
        <v>87500</v>
      </c>
      <c r="N18" s="9"/>
      <c r="O18" s="9"/>
      <c r="P18" s="9"/>
      <c r="Q18" s="9"/>
      <c r="R18" s="9">
        <f>H18</f>
        <v>87500</v>
      </c>
      <c r="S18" s="9">
        <f t="shared" si="1"/>
        <v>0</v>
      </c>
    </row>
    <row r="19" spans="1:25" ht="14.4" x14ac:dyDescent="0.3">
      <c r="A19" s="6">
        <v>45748</v>
      </c>
      <c r="B19" s="2" t="s">
        <v>244</v>
      </c>
      <c r="C19" s="7" t="s">
        <v>245</v>
      </c>
      <c r="D19" s="8" t="s">
        <v>246</v>
      </c>
      <c r="E19" s="9">
        <v>160000</v>
      </c>
      <c r="F19" s="10">
        <f t="shared" si="3"/>
        <v>45748</v>
      </c>
      <c r="G19" s="10">
        <v>45750</v>
      </c>
      <c r="H19" s="12">
        <v>160000</v>
      </c>
      <c r="I19" s="9">
        <f t="shared" si="0"/>
        <v>0</v>
      </c>
      <c r="J19" s="2" t="s">
        <v>247</v>
      </c>
      <c r="K19" s="7" t="s">
        <v>32</v>
      </c>
      <c r="L19" s="11">
        <v>45751</v>
      </c>
      <c r="M19" s="9">
        <f>E19</f>
        <v>160000</v>
      </c>
      <c r="N19" s="9"/>
      <c r="O19" s="9"/>
      <c r="P19" s="9"/>
      <c r="Q19" s="9"/>
      <c r="R19" s="9">
        <f>E19</f>
        <v>160000</v>
      </c>
      <c r="S19" s="9">
        <f t="shared" si="1"/>
        <v>0</v>
      </c>
    </row>
    <row r="20" spans="1:25" ht="14.4" x14ac:dyDescent="0.3">
      <c r="A20" s="6">
        <v>45748</v>
      </c>
      <c r="B20" s="2" t="s">
        <v>248</v>
      </c>
      <c r="C20" s="7" t="s">
        <v>20</v>
      </c>
      <c r="D20" s="8" t="s">
        <v>249</v>
      </c>
      <c r="E20" s="9">
        <v>100000</v>
      </c>
      <c r="F20" s="6">
        <v>45752</v>
      </c>
      <c r="G20" s="10">
        <v>45978</v>
      </c>
      <c r="H20" s="9">
        <v>100000</v>
      </c>
      <c r="I20" s="9">
        <f t="shared" si="0"/>
        <v>0</v>
      </c>
      <c r="J20" s="2" t="s">
        <v>250</v>
      </c>
      <c r="K20" s="2" t="s">
        <v>22</v>
      </c>
      <c r="L20" s="11">
        <v>45751</v>
      </c>
      <c r="M20" s="9">
        <v>100000</v>
      </c>
      <c r="N20" s="9">
        <v>100000</v>
      </c>
      <c r="O20" s="9"/>
      <c r="P20" s="9"/>
      <c r="Q20" s="9"/>
      <c r="R20" s="9"/>
      <c r="S20" s="9">
        <f t="shared" si="1"/>
        <v>0</v>
      </c>
    </row>
    <row r="21" spans="1:25" ht="14.4" x14ac:dyDescent="0.3">
      <c r="A21" s="6">
        <v>45748</v>
      </c>
      <c r="B21" s="2" t="s">
        <v>251</v>
      </c>
      <c r="C21" s="7" t="s">
        <v>24</v>
      </c>
      <c r="D21" s="8" t="s">
        <v>252</v>
      </c>
      <c r="E21" s="9">
        <v>35000</v>
      </c>
      <c r="F21" s="6">
        <v>45752</v>
      </c>
      <c r="G21" s="10">
        <v>45770</v>
      </c>
      <c r="H21" s="9">
        <v>35000</v>
      </c>
      <c r="I21" s="9">
        <f t="shared" si="0"/>
        <v>0</v>
      </c>
      <c r="J21" s="2" t="s">
        <v>253</v>
      </c>
      <c r="K21" s="2" t="s">
        <v>27</v>
      </c>
      <c r="L21" s="11">
        <v>45751</v>
      </c>
      <c r="M21" s="9"/>
      <c r="N21" s="9"/>
      <c r="O21" s="9"/>
      <c r="P21" s="9"/>
      <c r="Q21" s="9"/>
      <c r="R21" s="9"/>
      <c r="S21" s="9">
        <f t="shared" si="1"/>
        <v>0</v>
      </c>
    </row>
    <row r="22" spans="1:25" ht="14.4" x14ac:dyDescent="0.3">
      <c r="A22" s="6">
        <v>45750</v>
      </c>
      <c r="B22" s="2" t="s">
        <v>254</v>
      </c>
      <c r="C22" s="7" t="s">
        <v>255</v>
      </c>
      <c r="D22" s="8" t="s">
        <v>256</v>
      </c>
      <c r="E22" s="9">
        <v>100000</v>
      </c>
      <c r="F22" s="10">
        <f t="shared" ref="F22:F25" si="4">A22</f>
        <v>45750</v>
      </c>
      <c r="G22" s="10">
        <v>45751</v>
      </c>
      <c r="H22" s="9">
        <f>50000+50000</f>
        <v>100000</v>
      </c>
      <c r="I22" s="9">
        <f t="shared" si="0"/>
        <v>0</v>
      </c>
      <c r="J22" s="13" t="s">
        <v>257</v>
      </c>
      <c r="K22" s="7" t="s">
        <v>32</v>
      </c>
      <c r="L22" s="11">
        <v>45751</v>
      </c>
      <c r="M22" s="9">
        <v>100000</v>
      </c>
      <c r="N22" s="9"/>
      <c r="O22" s="9">
        <f>H22</f>
        <v>100000</v>
      </c>
      <c r="P22" s="9"/>
      <c r="Q22" s="9"/>
      <c r="R22" s="9"/>
      <c r="S22" s="9">
        <f t="shared" si="1"/>
        <v>0</v>
      </c>
    </row>
    <row r="23" spans="1:25" ht="15.75" customHeight="1" x14ac:dyDescent="0.3">
      <c r="A23" s="6">
        <v>45757</v>
      </c>
      <c r="B23" s="2" t="s">
        <v>258</v>
      </c>
      <c r="C23" s="7" t="s">
        <v>259</v>
      </c>
      <c r="D23" s="8" t="s">
        <v>260</v>
      </c>
      <c r="E23" s="9">
        <v>1000000</v>
      </c>
      <c r="F23" s="10">
        <f t="shared" si="4"/>
        <v>45757</v>
      </c>
      <c r="G23" s="10">
        <v>45758</v>
      </c>
      <c r="H23" s="9">
        <f>200000+200000+200000+200000+195000+5000</f>
        <v>1000000</v>
      </c>
      <c r="I23" s="9">
        <f t="shared" si="0"/>
        <v>0</v>
      </c>
      <c r="J23" s="2" t="s">
        <v>261</v>
      </c>
      <c r="K23" s="7" t="s">
        <v>32</v>
      </c>
      <c r="L23" s="11">
        <v>45751</v>
      </c>
      <c r="M23" s="9">
        <f t="shared" ref="M23:M26" si="5">E23</f>
        <v>1000000</v>
      </c>
      <c r="N23" s="9"/>
      <c r="O23" s="9"/>
      <c r="P23" s="9">
        <f>M23</f>
        <v>1000000</v>
      </c>
      <c r="Q23" s="9"/>
      <c r="R23" s="9"/>
      <c r="S23" s="9">
        <f t="shared" si="1"/>
        <v>0</v>
      </c>
    </row>
    <row r="24" spans="1:25" ht="15.75" customHeight="1" x14ac:dyDescent="0.3">
      <c r="A24" s="6">
        <v>45757</v>
      </c>
      <c r="B24" s="2" t="s">
        <v>262</v>
      </c>
      <c r="C24" s="7" t="s">
        <v>263</v>
      </c>
      <c r="D24" s="34" t="s">
        <v>264</v>
      </c>
      <c r="E24" s="35">
        <v>1200000</v>
      </c>
      <c r="F24" s="10">
        <f t="shared" si="4"/>
        <v>45757</v>
      </c>
      <c r="G24" s="10">
        <v>45758</v>
      </c>
      <c r="H24" s="9">
        <f>200000+200000+200000+200000+200000+200000</f>
        <v>1200000</v>
      </c>
      <c r="I24" s="9">
        <f t="shared" si="0"/>
        <v>0</v>
      </c>
      <c r="J24" s="2" t="s">
        <v>265</v>
      </c>
      <c r="K24" s="7" t="s">
        <v>32</v>
      </c>
      <c r="L24" s="11">
        <v>45751</v>
      </c>
      <c r="M24" s="9">
        <f t="shared" si="5"/>
        <v>1200000</v>
      </c>
      <c r="N24" s="9"/>
      <c r="O24" s="9"/>
      <c r="P24" s="9">
        <f>H24</f>
        <v>1200000</v>
      </c>
      <c r="Q24" s="9"/>
      <c r="R24" s="9">
        <f>I24</f>
        <v>0</v>
      </c>
      <c r="S24" s="9">
        <f t="shared" si="1"/>
        <v>0</v>
      </c>
    </row>
    <row r="25" spans="1:25" ht="15.75" customHeight="1" x14ac:dyDescent="0.3">
      <c r="A25" s="6">
        <v>45769</v>
      </c>
      <c r="B25" s="2" t="s">
        <v>266</v>
      </c>
      <c r="C25" s="7" t="s">
        <v>267</v>
      </c>
      <c r="D25" s="8" t="s">
        <v>268</v>
      </c>
      <c r="E25" s="9">
        <v>930000</v>
      </c>
      <c r="F25" s="10">
        <f t="shared" si="4"/>
        <v>45769</v>
      </c>
      <c r="G25" s="10">
        <v>45777</v>
      </c>
      <c r="H25" s="12">
        <v>930000</v>
      </c>
      <c r="I25" s="9">
        <f t="shared" si="0"/>
        <v>0</v>
      </c>
      <c r="J25" s="2" t="s">
        <v>269</v>
      </c>
      <c r="K25" s="7" t="s">
        <v>32</v>
      </c>
      <c r="L25" s="11">
        <v>45751</v>
      </c>
      <c r="M25" s="9">
        <f t="shared" si="5"/>
        <v>930000</v>
      </c>
      <c r="N25" s="9"/>
      <c r="O25" s="9"/>
      <c r="P25" s="9"/>
      <c r="Q25" s="9">
        <f>M25</f>
        <v>930000</v>
      </c>
      <c r="R25" s="9"/>
      <c r="S25" s="9">
        <f t="shared" si="1"/>
        <v>0</v>
      </c>
    </row>
    <row r="26" spans="1:25" ht="14.4" x14ac:dyDescent="0.3">
      <c r="A26" s="6">
        <v>45781</v>
      </c>
      <c r="B26" s="2" t="s">
        <v>270</v>
      </c>
      <c r="C26" s="7" t="s">
        <v>20</v>
      </c>
      <c r="D26" s="8" t="s">
        <v>271</v>
      </c>
      <c r="E26" s="9">
        <v>100000</v>
      </c>
      <c r="F26" s="6">
        <v>45818</v>
      </c>
      <c r="G26" s="10">
        <v>45978</v>
      </c>
      <c r="H26" s="12">
        <v>100000</v>
      </c>
      <c r="I26" s="9">
        <f t="shared" si="0"/>
        <v>0</v>
      </c>
      <c r="J26" s="2" t="s">
        <v>250</v>
      </c>
      <c r="K26" s="2" t="s">
        <v>22</v>
      </c>
      <c r="L26" s="11">
        <v>45781</v>
      </c>
      <c r="M26" s="9">
        <f t="shared" si="5"/>
        <v>100000</v>
      </c>
      <c r="N26" s="9">
        <f>M26</f>
        <v>100000</v>
      </c>
      <c r="O26" s="9"/>
      <c r="P26" s="9"/>
      <c r="Q26" s="9"/>
      <c r="R26" s="9"/>
      <c r="S26" s="9">
        <f t="shared" si="1"/>
        <v>0</v>
      </c>
    </row>
    <row r="27" spans="1:25" ht="15.75" customHeight="1" x14ac:dyDescent="0.3">
      <c r="A27" s="6">
        <v>45781</v>
      </c>
      <c r="B27" s="2" t="s">
        <v>272</v>
      </c>
      <c r="C27" s="7" t="s">
        <v>24</v>
      </c>
      <c r="D27" s="8" t="s">
        <v>273</v>
      </c>
      <c r="E27" s="9">
        <f>6*7000</f>
        <v>42000</v>
      </c>
      <c r="F27" s="6">
        <v>45782</v>
      </c>
      <c r="G27" s="10">
        <v>45805</v>
      </c>
      <c r="H27" s="12">
        <v>42000</v>
      </c>
      <c r="I27" s="9">
        <f t="shared" si="0"/>
        <v>0</v>
      </c>
      <c r="J27" s="2" t="s">
        <v>274</v>
      </c>
      <c r="K27" s="2" t="s">
        <v>27</v>
      </c>
      <c r="L27" s="11">
        <v>45781</v>
      </c>
      <c r="M27" s="9"/>
      <c r="N27" s="9"/>
      <c r="O27" s="9"/>
      <c r="P27" s="9"/>
      <c r="Q27" s="9"/>
      <c r="R27" s="9"/>
      <c r="S27" s="9">
        <f t="shared" si="1"/>
        <v>0</v>
      </c>
    </row>
    <row r="28" spans="1:25" ht="15.75" customHeight="1" x14ac:dyDescent="0.3">
      <c r="A28" s="6">
        <v>45792</v>
      </c>
      <c r="B28" s="2" t="s">
        <v>275</v>
      </c>
      <c r="C28" s="7" t="s">
        <v>20</v>
      </c>
      <c r="D28" s="8" t="s">
        <v>276</v>
      </c>
      <c r="E28" s="9">
        <v>3838</v>
      </c>
      <c r="F28" s="6">
        <v>45792</v>
      </c>
      <c r="G28" s="6">
        <v>46132</v>
      </c>
      <c r="H28" s="12">
        <v>3838</v>
      </c>
      <c r="I28" s="9">
        <f t="shared" si="0"/>
        <v>0</v>
      </c>
      <c r="J28" s="13" t="s">
        <v>39</v>
      </c>
      <c r="K28" s="7" t="s">
        <v>22</v>
      </c>
      <c r="L28" s="11">
        <v>45751</v>
      </c>
      <c r="M28" s="9">
        <f t="shared" ref="M28:M30" si="6">E28</f>
        <v>3838</v>
      </c>
      <c r="N28" s="9">
        <f>M28</f>
        <v>3838</v>
      </c>
      <c r="O28" s="9"/>
      <c r="P28" s="9"/>
      <c r="Q28" s="9"/>
      <c r="R28" s="9"/>
      <c r="S28" s="9">
        <f t="shared" si="1"/>
        <v>0</v>
      </c>
    </row>
    <row r="29" spans="1:25" ht="15.75" customHeight="1" x14ac:dyDescent="0.3">
      <c r="A29" s="6">
        <v>45805</v>
      </c>
      <c r="B29" s="2" t="s">
        <v>277</v>
      </c>
      <c r="C29" s="7" t="s">
        <v>278</v>
      </c>
      <c r="D29" s="8" t="s">
        <v>279</v>
      </c>
      <c r="E29" s="16">
        <v>50000</v>
      </c>
      <c r="F29" s="36">
        <f>A29</f>
        <v>45805</v>
      </c>
      <c r="G29" s="21">
        <v>45810</v>
      </c>
      <c r="H29" s="14">
        <v>50000</v>
      </c>
      <c r="I29" s="16">
        <f t="shared" si="0"/>
        <v>0</v>
      </c>
      <c r="J29" s="25"/>
      <c r="K29" s="18" t="s">
        <v>22</v>
      </c>
      <c r="L29" s="11">
        <v>45781</v>
      </c>
      <c r="M29" s="16">
        <f t="shared" si="6"/>
        <v>50000</v>
      </c>
      <c r="N29" s="23"/>
      <c r="O29" s="16">
        <f>E29</f>
        <v>50000</v>
      </c>
      <c r="P29" s="23"/>
      <c r="Q29" s="23"/>
      <c r="R29" s="23"/>
      <c r="S29" s="9">
        <f t="shared" si="1"/>
        <v>0</v>
      </c>
      <c r="T29" s="25"/>
      <c r="U29" s="25"/>
      <c r="V29" s="25"/>
      <c r="W29" s="25"/>
      <c r="X29" s="25"/>
      <c r="Y29" s="25"/>
    </row>
    <row r="30" spans="1:25" ht="15.75" customHeight="1" x14ac:dyDescent="0.3">
      <c r="A30" s="6">
        <v>45810</v>
      </c>
      <c r="B30" s="2" t="s">
        <v>280</v>
      </c>
      <c r="C30" s="7" t="s">
        <v>20</v>
      </c>
      <c r="D30" s="8" t="s">
        <v>281</v>
      </c>
      <c r="E30" s="9">
        <v>100000</v>
      </c>
      <c r="F30" s="6">
        <v>45818</v>
      </c>
      <c r="G30" s="10">
        <v>45978</v>
      </c>
      <c r="H30" s="12">
        <v>100000</v>
      </c>
      <c r="I30" s="9">
        <f t="shared" si="0"/>
        <v>0</v>
      </c>
      <c r="J30" s="2" t="s">
        <v>250</v>
      </c>
      <c r="K30" s="2" t="s">
        <v>22</v>
      </c>
      <c r="L30" s="11">
        <v>45812</v>
      </c>
      <c r="M30" s="9">
        <f t="shared" si="6"/>
        <v>100000</v>
      </c>
      <c r="N30" s="9">
        <f>E30</f>
        <v>100000</v>
      </c>
      <c r="O30" s="9"/>
      <c r="P30" s="9"/>
      <c r="Q30" s="9"/>
      <c r="R30" s="9"/>
      <c r="S30" s="9">
        <f t="shared" si="1"/>
        <v>0</v>
      </c>
    </row>
    <row r="31" spans="1:25" ht="15.75" customHeight="1" x14ac:dyDescent="0.3">
      <c r="A31" s="6">
        <v>45810</v>
      </c>
      <c r="B31" s="2" t="s">
        <v>282</v>
      </c>
      <c r="C31" s="7" t="s">
        <v>24</v>
      </c>
      <c r="D31" s="8" t="s">
        <v>283</v>
      </c>
      <c r="E31" s="9">
        <f>6*7000</f>
        <v>42000</v>
      </c>
      <c r="F31" s="6">
        <v>45818</v>
      </c>
      <c r="G31" s="10">
        <v>45847</v>
      </c>
      <c r="H31" s="12">
        <v>42000</v>
      </c>
      <c r="I31" s="9">
        <f t="shared" si="0"/>
        <v>0</v>
      </c>
      <c r="J31" s="2" t="s">
        <v>284</v>
      </c>
      <c r="K31" s="7" t="s">
        <v>27</v>
      </c>
      <c r="L31" s="11">
        <v>45812</v>
      </c>
      <c r="M31" s="9"/>
      <c r="N31" s="9"/>
      <c r="O31" s="9"/>
      <c r="P31" s="9"/>
      <c r="Q31" s="9"/>
      <c r="R31" s="9"/>
      <c r="S31" s="9">
        <f t="shared" si="1"/>
        <v>0</v>
      </c>
    </row>
    <row r="32" spans="1:25" ht="15.75" customHeight="1" x14ac:dyDescent="0.3">
      <c r="A32" s="6">
        <v>45810</v>
      </c>
      <c r="B32" s="2" t="s">
        <v>285</v>
      </c>
      <c r="C32" s="7" t="s">
        <v>20</v>
      </c>
      <c r="D32" s="8" t="s">
        <v>286</v>
      </c>
      <c r="E32" s="9">
        <v>4488</v>
      </c>
      <c r="F32" s="10">
        <f t="shared" ref="F32:F36" si="7">A32</f>
        <v>45810</v>
      </c>
      <c r="G32" s="6">
        <v>46132</v>
      </c>
      <c r="H32" s="12">
        <v>4488</v>
      </c>
      <c r="I32" s="9">
        <f t="shared" si="0"/>
        <v>0</v>
      </c>
      <c r="J32" s="2" t="s">
        <v>39</v>
      </c>
      <c r="K32" s="7" t="s">
        <v>22</v>
      </c>
      <c r="L32" s="11">
        <v>45812</v>
      </c>
      <c r="M32" s="9">
        <v>4488</v>
      </c>
      <c r="N32" s="9">
        <f>M32</f>
        <v>4488</v>
      </c>
      <c r="O32" s="9"/>
      <c r="P32" s="9"/>
      <c r="Q32" s="9"/>
      <c r="R32" s="9"/>
      <c r="S32" s="9">
        <f t="shared" si="1"/>
        <v>0</v>
      </c>
    </row>
    <row r="33" spans="1:25" ht="15.75" customHeight="1" x14ac:dyDescent="0.3">
      <c r="A33" s="6">
        <v>45813</v>
      </c>
      <c r="B33" s="2" t="s">
        <v>287</v>
      </c>
      <c r="C33" s="2" t="s">
        <v>288</v>
      </c>
      <c r="D33" s="8" t="s">
        <v>289</v>
      </c>
      <c r="E33" s="9">
        <f>24500000*2%</f>
        <v>490000</v>
      </c>
      <c r="F33" s="10">
        <f t="shared" si="7"/>
        <v>45813</v>
      </c>
      <c r="G33" s="10">
        <v>45813</v>
      </c>
      <c r="H33" s="12">
        <v>490000</v>
      </c>
      <c r="I33" s="9">
        <f t="shared" si="0"/>
        <v>0</v>
      </c>
      <c r="J33" s="2" t="s">
        <v>290</v>
      </c>
      <c r="K33" s="2" t="s">
        <v>32</v>
      </c>
      <c r="L33" s="11">
        <v>45812</v>
      </c>
      <c r="M33" s="9">
        <v>490000</v>
      </c>
      <c r="N33" s="9"/>
      <c r="O33" s="9"/>
      <c r="P33" s="9"/>
      <c r="Q33" s="9">
        <f>E33</f>
        <v>490000</v>
      </c>
      <c r="R33" s="9"/>
      <c r="S33" s="9">
        <f t="shared" si="1"/>
        <v>0</v>
      </c>
    </row>
    <row r="34" spans="1:25" ht="15.75" customHeight="1" x14ac:dyDescent="0.3">
      <c r="A34" s="6">
        <v>45820</v>
      </c>
      <c r="B34" s="2" t="s">
        <v>291</v>
      </c>
      <c r="C34" s="2" t="s">
        <v>292</v>
      </c>
      <c r="D34" s="8" t="s">
        <v>293</v>
      </c>
      <c r="E34" s="9">
        <v>600000</v>
      </c>
      <c r="F34" s="10">
        <f t="shared" si="7"/>
        <v>45820</v>
      </c>
      <c r="G34" s="10">
        <v>45820</v>
      </c>
      <c r="H34" s="12">
        <v>600000</v>
      </c>
      <c r="I34" s="9">
        <f t="shared" si="0"/>
        <v>0</v>
      </c>
      <c r="J34" s="2" t="s">
        <v>294</v>
      </c>
      <c r="K34" s="2" t="s">
        <v>32</v>
      </c>
      <c r="L34" s="11">
        <v>45812</v>
      </c>
      <c r="M34" s="9">
        <f t="shared" ref="M34:M37" si="8">E34</f>
        <v>600000</v>
      </c>
      <c r="N34" s="9"/>
      <c r="O34" s="9"/>
      <c r="P34" s="9"/>
      <c r="Q34" s="9"/>
      <c r="R34" s="9">
        <f>M34</f>
        <v>600000</v>
      </c>
      <c r="S34" s="9">
        <f t="shared" si="1"/>
        <v>0</v>
      </c>
    </row>
    <row r="35" spans="1:25" ht="15.75" customHeight="1" x14ac:dyDescent="0.3">
      <c r="A35" s="6">
        <v>45838</v>
      </c>
      <c r="B35" s="2" t="s">
        <v>295</v>
      </c>
      <c r="C35" s="7" t="s">
        <v>278</v>
      </c>
      <c r="D35" s="8" t="s">
        <v>296</v>
      </c>
      <c r="E35" s="9">
        <v>50000</v>
      </c>
      <c r="F35" s="10">
        <f t="shared" si="7"/>
        <v>45838</v>
      </c>
      <c r="G35" s="10">
        <v>45894</v>
      </c>
      <c r="H35" s="12">
        <v>50000</v>
      </c>
      <c r="I35" s="9">
        <f t="shared" si="0"/>
        <v>0</v>
      </c>
      <c r="J35" s="2" t="s">
        <v>297</v>
      </c>
      <c r="K35" s="2" t="s">
        <v>22</v>
      </c>
      <c r="L35" s="11">
        <v>45812</v>
      </c>
      <c r="M35" s="9">
        <f t="shared" si="8"/>
        <v>50000</v>
      </c>
      <c r="N35" s="9"/>
      <c r="O35" s="9">
        <f>E35</f>
        <v>50000</v>
      </c>
      <c r="P35" s="9"/>
      <c r="Q35" s="9"/>
      <c r="R35" s="9"/>
      <c r="S35" s="9">
        <f t="shared" si="1"/>
        <v>0</v>
      </c>
    </row>
    <row r="36" spans="1:25" ht="15.75" customHeight="1" x14ac:dyDescent="0.3">
      <c r="A36" s="37">
        <v>45838</v>
      </c>
      <c r="B36" s="13" t="s">
        <v>298</v>
      </c>
      <c r="C36" s="38" t="s">
        <v>20</v>
      </c>
      <c r="D36" s="39" t="s">
        <v>299</v>
      </c>
      <c r="E36" s="12">
        <v>4475</v>
      </c>
      <c r="F36" s="26">
        <f t="shared" si="7"/>
        <v>45838</v>
      </c>
      <c r="G36" s="6">
        <v>46132</v>
      </c>
      <c r="H36" s="12">
        <v>4475</v>
      </c>
      <c r="I36" s="12">
        <f t="shared" si="0"/>
        <v>0</v>
      </c>
      <c r="J36" s="13" t="s">
        <v>39</v>
      </c>
      <c r="K36" s="13" t="s">
        <v>22</v>
      </c>
      <c r="L36" s="40">
        <v>45812</v>
      </c>
      <c r="M36" s="12">
        <f t="shared" si="8"/>
        <v>4475</v>
      </c>
      <c r="N36" s="12">
        <f>M36</f>
        <v>4475</v>
      </c>
      <c r="O36" s="12"/>
      <c r="P36" s="12"/>
      <c r="Q36" s="12"/>
      <c r="R36" s="12"/>
      <c r="S36" s="9">
        <f t="shared" si="1"/>
        <v>0</v>
      </c>
      <c r="T36" s="13"/>
      <c r="U36" s="13"/>
      <c r="V36" s="13"/>
      <c r="W36" s="13"/>
      <c r="X36" s="13"/>
      <c r="Y36" s="13"/>
    </row>
    <row r="37" spans="1:25" ht="15.75" customHeight="1" x14ac:dyDescent="0.3">
      <c r="A37" s="6">
        <v>45839</v>
      </c>
      <c r="B37" s="2" t="s">
        <v>300</v>
      </c>
      <c r="C37" s="7" t="s">
        <v>20</v>
      </c>
      <c r="D37" s="2" t="s">
        <v>301</v>
      </c>
      <c r="E37" s="9">
        <v>100000</v>
      </c>
      <c r="F37" s="6">
        <v>45840</v>
      </c>
      <c r="G37" s="10"/>
      <c r="H37" s="12"/>
      <c r="I37" s="9">
        <f t="shared" si="0"/>
        <v>100000</v>
      </c>
      <c r="K37" s="2" t="s">
        <v>22</v>
      </c>
      <c r="L37" s="11">
        <v>45842</v>
      </c>
      <c r="M37" s="9">
        <f t="shared" si="8"/>
        <v>100000</v>
      </c>
      <c r="N37" s="9">
        <f>E37</f>
        <v>100000</v>
      </c>
      <c r="O37" s="9"/>
      <c r="P37" s="9"/>
      <c r="Q37" s="9"/>
      <c r="R37" s="9"/>
      <c r="S37" s="9">
        <f t="shared" si="1"/>
        <v>0</v>
      </c>
    </row>
    <row r="38" spans="1:25" ht="15.75" customHeight="1" x14ac:dyDescent="0.3">
      <c r="A38" s="6">
        <v>45839</v>
      </c>
      <c r="B38" s="2" t="s">
        <v>302</v>
      </c>
      <c r="C38" s="7" t="s">
        <v>24</v>
      </c>
      <c r="D38" s="2" t="s">
        <v>303</v>
      </c>
      <c r="E38" s="9">
        <f>6*7000</f>
        <v>42000</v>
      </c>
      <c r="F38" s="6">
        <v>45840</v>
      </c>
      <c r="G38" s="10">
        <v>45868</v>
      </c>
      <c r="H38" s="12">
        <v>42000</v>
      </c>
      <c r="I38" s="9">
        <f t="shared" si="0"/>
        <v>0</v>
      </c>
      <c r="J38" s="2" t="s">
        <v>304</v>
      </c>
      <c r="K38" s="2" t="s">
        <v>27</v>
      </c>
      <c r="L38" s="11">
        <v>45842</v>
      </c>
      <c r="M38" s="9"/>
      <c r="N38" s="9"/>
      <c r="O38" s="9"/>
      <c r="P38" s="9"/>
      <c r="Q38" s="9"/>
      <c r="R38" s="9"/>
      <c r="S38" s="9">
        <f t="shared" si="1"/>
        <v>0</v>
      </c>
    </row>
    <row r="39" spans="1:25" ht="15.75" customHeight="1" x14ac:dyDescent="0.3">
      <c r="A39" s="6">
        <v>45846</v>
      </c>
      <c r="B39" s="2" t="s">
        <v>305</v>
      </c>
      <c r="C39" s="2" t="s">
        <v>93</v>
      </c>
      <c r="D39" s="2" t="s">
        <v>306</v>
      </c>
      <c r="E39" s="9">
        <v>4140</v>
      </c>
      <c r="F39" s="10">
        <f t="shared" ref="F39:F52" si="9">A39</f>
        <v>45846</v>
      </c>
      <c r="G39" s="20">
        <v>45853</v>
      </c>
      <c r="H39" s="12">
        <v>4140</v>
      </c>
      <c r="I39" s="9">
        <f t="shared" si="0"/>
        <v>0</v>
      </c>
      <c r="J39" s="2" t="s">
        <v>307</v>
      </c>
      <c r="K39" s="2" t="s">
        <v>22</v>
      </c>
      <c r="L39" s="11">
        <v>45842</v>
      </c>
      <c r="M39" s="9">
        <f t="shared" ref="M39:M41" si="10">H39</f>
        <v>4140</v>
      </c>
      <c r="N39" s="9"/>
      <c r="O39" s="9">
        <f t="shared" ref="O39:O40" si="11">E39</f>
        <v>4140</v>
      </c>
      <c r="P39" s="9"/>
      <c r="Q39" s="9"/>
      <c r="R39" s="9"/>
      <c r="S39" s="9">
        <f t="shared" si="1"/>
        <v>0</v>
      </c>
    </row>
    <row r="40" spans="1:25" ht="15.75" customHeight="1" x14ac:dyDescent="0.3">
      <c r="A40" s="6">
        <v>45851</v>
      </c>
      <c r="B40" s="2" t="s">
        <v>308</v>
      </c>
      <c r="C40" s="2" t="s">
        <v>93</v>
      </c>
      <c r="D40" s="2" t="s">
        <v>309</v>
      </c>
      <c r="E40" s="9">
        <v>6683.4</v>
      </c>
      <c r="F40" s="10">
        <f t="shared" si="9"/>
        <v>45851</v>
      </c>
      <c r="G40" s="20">
        <v>45853</v>
      </c>
      <c r="H40" s="12">
        <v>6683.4</v>
      </c>
      <c r="I40" s="9">
        <f t="shared" si="0"/>
        <v>0</v>
      </c>
      <c r="J40" s="2" t="s">
        <v>310</v>
      </c>
      <c r="K40" s="2" t="s">
        <v>22</v>
      </c>
      <c r="L40" s="11">
        <v>45842</v>
      </c>
      <c r="M40" s="9">
        <f t="shared" si="10"/>
        <v>6683.4</v>
      </c>
      <c r="N40" s="9"/>
      <c r="O40" s="9">
        <f t="shared" si="11"/>
        <v>6683.4</v>
      </c>
      <c r="P40" s="9"/>
      <c r="Q40" s="9"/>
      <c r="R40" s="9"/>
      <c r="S40" s="9">
        <f t="shared" si="1"/>
        <v>0</v>
      </c>
    </row>
    <row r="41" spans="1:25" ht="15.75" customHeight="1" x14ac:dyDescent="0.3">
      <c r="A41" s="6">
        <v>45855</v>
      </c>
      <c r="B41" s="2" t="s">
        <v>311</v>
      </c>
      <c r="C41" s="2" t="s">
        <v>93</v>
      </c>
      <c r="D41" s="2" t="s">
        <v>312</v>
      </c>
      <c r="E41" s="9">
        <v>3300</v>
      </c>
      <c r="F41" s="10">
        <f t="shared" si="9"/>
        <v>45855</v>
      </c>
      <c r="G41" s="20">
        <v>45862</v>
      </c>
      <c r="H41" s="12">
        <v>3300</v>
      </c>
      <c r="I41" s="9">
        <f t="shared" si="0"/>
        <v>0</v>
      </c>
      <c r="J41" s="2" t="s">
        <v>313</v>
      </c>
      <c r="K41" s="2" t="s">
        <v>22</v>
      </c>
      <c r="L41" s="11">
        <v>45842</v>
      </c>
      <c r="M41" s="9">
        <f t="shared" si="10"/>
        <v>3300</v>
      </c>
      <c r="N41" s="9">
        <f t="shared" ref="N41:N42" si="12">M41</f>
        <v>3300</v>
      </c>
      <c r="O41" s="9"/>
      <c r="P41" s="9"/>
      <c r="Q41" s="9"/>
      <c r="R41" s="9"/>
      <c r="S41" s="9">
        <f t="shared" si="1"/>
        <v>0</v>
      </c>
    </row>
    <row r="42" spans="1:25" ht="15.75" customHeight="1" x14ac:dyDescent="0.3">
      <c r="A42" s="10">
        <v>45869</v>
      </c>
      <c r="B42" s="13" t="s">
        <v>314</v>
      </c>
      <c r="C42" s="38" t="s">
        <v>20</v>
      </c>
      <c r="D42" s="39" t="s">
        <v>315</v>
      </c>
      <c r="E42" s="12">
        <v>4533</v>
      </c>
      <c r="F42" s="26">
        <f t="shared" si="9"/>
        <v>45869</v>
      </c>
      <c r="G42" s="6">
        <v>46132</v>
      </c>
      <c r="H42" s="12">
        <v>4533</v>
      </c>
      <c r="I42" s="9">
        <f t="shared" si="0"/>
        <v>0</v>
      </c>
      <c r="J42" s="13" t="s">
        <v>39</v>
      </c>
      <c r="K42" s="7" t="s">
        <v>22</v>
      </c>
      <c r="L42" s="11">
        <v>45842</v>
      </c>
      <c r="M42" s="9">
        <f t="shared" ref="M42:M43" si="13">E42</f>
        <v>4533</v>
      </c>
      <c r="N42" s="9">
        <f t="shared" si="12"/>
        <v>4533</v>
      </c>
      <c r="O42" s="9"/>
      <c r="P42" s="9"/>
      <c r="Q42" s="9"/>
      <c r="R42" s="9"/>
      <c r="S42" s="9">
        <f t="shared" si="1"/>
        <v>0</v>
      </c>
    </row>
    <row r="43" spans="1:25" ht="15.75" customHeight="1" x14ac:dyDescent="0.3">
      <c r="A43" s="6">
        <v>45875</v>
      </c>
      <c r="B43" s="2" t="s">
        <v>316</v>
      </c>
      <c r="C43" s="7" t="s">
        <v>20</v>
      </c>
      <c r="D43" s="2" t="s">
        <v>317</v>
      </c>
      <c r="E43" s="9">
        <v>100000</v>
      </c>
      <c r="F43" s="6">
        <f t="shared" si="9"/>
        <v>45875</v>
      </c>
      <c r="G43" s="10"/>
      <c r="H43" s="12"/>
      <c r="I43" s="9">
        <f t="shared" si="0"/>
        <v>100000</v>
      </c>
      <c r="K43" s="2" t="s">
        <v>22</v>
      </c>
      <c r="L43" s="11">
        <v>45873</v>
      </c>
      <c r="M43" s="9">
        <f t="shared" si="13"/>
        <v>100000</v>
      </c>
      <c r="N43" s="9">
        <f>E43</f>
        <v>100000</v>
      </c>
      <c r="O43" s="9"/>
      <c r="P43" s="9"/>
      <c r="Q43" s="9"/>
      <c r="R43" s="9"/>
      <c r="S43" s="9">
        <f t="shared" si="1"/>
        <v>0</v>
      </c>
    </row>
    <row r="44" spans="1:25" ht="15.75" customHeight="1" x14ac:dyDescent="0.3">
      <c r="A44" s="6">
        <v>45875</v>
      </c>
      <c r="B44" s="2" t="s">
        <v>318</v>
      </c>
      <c r="C44" s="7" t="s">
        <v>24</v>
      </c>
      <c r="D44" s="2" t="s">
        <v>319</v>
      </c>
      <c r="E44" s="9">
        <f>6*7000</f>
        <v>42000</v>
      </c>
      <c r="F44" s="6">
        <f t="shared" si="9"/>
        <v>45875</v>
      </c>
      <c r="G44" s="10">
        <v>45918</v>
      </c>
      <c r="H44" s="12">
        <v>42000</v>
      </c>
      <c r="I44" s="9">
        <f t="shared" si="0"/>
        <v>0</v>
      </c>
      <c r="J44" s="2" t="s">
        <v>320</v>
      </c>
      <c r="K44" s="2" t="s">
        <v>27</v>
      </c>
      <c r="L44" s="11">
        <v>45873</v>
      </c>
      <c r="M44" s="9"/>
      <c r="N44" s="9"/>
      <c r="O44" s="9"/>
      <c r="P44" s="9"/>
      <c r="Q44" s="9"/>
      <c r="R44" s="9"/>
      <c r="S44" s="9">
        <f t="shared" si="1"/>
        <v>0</v>
      </c>
    </row>
    <row r="45" spans="1:25" ht="15.75" customHeight="1" x14ac:dyDescent="0.3">
      <c r="A45" s="10">
        <v>45892</v>
      </c>
      <c r="B45" s="2" t="s">
        <v>321</v>
      </c>
      <c r="C45" s="7" t="s">
        <v>29</v>
      </c>
      <c r="D45" s="2" t="s">
        <v>322</v>
      </c>
      <c r="E45" s="9">
        <v>100000</v>
      </c>
      <c r="F45" s="6">
        <f t="shared" si="9"/>
        <v>45892</v>
      </c>
      <c r="G45" s="28">
        <v>45923</v>
      </c>
      <c r="H45" s="12">
        <v>100000</v>
      </c>
      <c r="I45" s="9">
        <f t="shared" si="0"/>
        <v>0</v>
      </c>
      <c r="J45" s="13" t="s">
        <v>323</v>
      </c>
      <c r="K45" s="7" t="s">
        <v>32</v>
      </c>
      <c r="L45" s="11">
        <v>45873</v>
      </c>
      <c r="M45" s="9">
        <f>H45</f>
        <v>100000</v>
      </c>
      <c r="N45" s="9"/>
      <c r="O45" s="9"/>
      <c r="P45" s="9"/>
      <c r="Q45" s="9"/>
      <c r="R45" s="9">
        <f>E45</f>
        <v>100000</v>
      </c>
      <c r="S45" s="9">
        <f t="shared" si="1"/>
        <v>0</v>
      </c>
    </row>
    <row r="46" spans="1:25" ht="15.75" customHeight="1" x14ac:dyDescent="0.3">
      <c r="A46" s="10">
        <v>45898</v>
      </c>
      <c r="B46" s="2" t="s">
        <v>324</v>
      </c>
      <c r="C46" s="7" t="s">
        <v>325</v>
      </c>
      <c r="D46" s="2" t="s">
        <v>326</v>
      </c>
      <c r="E46" s="9">
        <v>30000</v>
      </c>
      <c r="F46" s="6">
        <f t="shared" si="9"/>
        <v>45898</v>
      </c>
      <c r="G46" s="6">
        <v>45916</v>
      </c>
      <c r="H46" s="12">
        <v>29975</v>
      </c>
      <c r="I46" s="9">
        <f t="shared" si="0"/>
        <v>25</v>
      </c>
      <c r="J46" s="2" t="s">
        <v>327</v>
      </c>
      <c r="K46" s="2" t="s">
        <v>27</v>
      </c>
      <c r="L46" s="11">
        <v>45873</v>
      </c>
      <c r="M46" s="9"/>
      <c r="N46" s="9"/>
      <c r="O46" s="9"/>
      <c r="P46" s="9"/>
      <c r="Q46" s="9"/>
      <c r="R46" s="9"/>
      <c r="S46" s="9">
        <f t="shared" si="1"/>
        <v>0</v>
      </c>
    </row>
    <row r="47" spans="1:25" ht="15.75" customHeight="1" x14ac:dyDescent="0.3">
      <c r="A47" s="10">
        <v>45900</v>
      </c>
      <c r="B47" s="13" t="s">
        <v>328</v>
      </c>
      <c r="C47" s="7" t="s">
        <v>20</v>
      </c>
      <c r="D47" s="2" t="s">
        <v>329</v>
      </c>
      <c r="E47" s="9">
        <v>7538</v>
      </c>
      <c r="F47" s="6">
        <f t="shared" si="9"/>
        <v>45900</v>
      </c>
      <c r="G47" s="6">
        <v>46132</v>
      </c>
      <c r="H47" s="12">
        <v>7538</v>
      </c>
      <c r="I47" s="9">
        <f t="shared" si="0"/>
        <v>0</v>
      </c>
      <c r="J47" s="2" t="s">
        <v>39</v>
      </c>
      <c r="K47" s="7" t="s">
        <v>22</v>
      </c>
      <c r="L47" s="11">
        <v>45873</v>
      </c>
      <c r="M47" s="9">
        <f>E47</f>
        <v>7538</v>
      </c>
      <c r="N47" s="9">
        <f>M47</f>
        <v>7538</v>
      </c>
      <c r="O47" s="9"/>
      <c r="P47" s="9"/>
      <c r="Q47" s="9"/>
      <c r="R47" s="9"/>
      <c r="S47" s="9">
        <f t="shared" si="1"/>
        <v>0</v>
      </c>
    </row>
    <row r="48" spans="1:25" ht="15.75" customHeight="1" x14ac:dyDescent="0.3">
      <c r="A48" s="10">
        <v>45902</v>
      </c>
      <c r="B48" s="2" t="s">
        <v>330</v>
      </c>
      <c r="C48" s="7" t="s">
        <v>331</v>
      </c>
      <c r="D48" s="2" t="s">
        <v>332</v>
      </c>
      <c r="E48" s="9">
        <v>750000</v>
      </c>
      <c r="F48" s="6">
        <f t="shared" si="9"/>
        <v>45902</v>
      </c>
      <c r="G48" s="6">
        <v>45902</v>
      </c>
      <c r="H48" s="12">
        <v>750000</v>
      </c>
      <c r="I48" s="9">
        <f t="shared" si="0"/>
        <v>0</v>
      </c>
      <c r="J48" s="2" t="s">
        <v>333</v>
      </c>
      <c r="K48" s="7" t="s">
        <v>32</v>
      </c>
      <c r="L48" s="11">
        <v>45904</v>
      </c>
      <c r="M48" s="9">
        <f>H48</f>
        <v>750000</v>
      </c>
      <c r="N48" s="9"/>
      <c r="O48" s="9"/>
      <c r="P48" s="9">
        <f>H48</f>
        <v>750000</v>
      </c>
      <c r="Q48" s="9"/>
      <c r="R48" s="9"/>
      <c r="S48" s="9">
        <f t="shared" si="1"/>
        <v>0</v>
      </c>
    </row>
    <row r="49" spans="1:19" ht="15.75" customHeight="1" x14ac:dyDescent="0.3">
      <c r="A49" s="10">
        <v>45902</v>
      </c>
      <c r="B49" s="2" t="s">
        <v>334</v>
      </c>
      <c r="C49" s="7" t="s">
        <v>20</v>
      </c>
      <c r="D49" s="2" t="s">
        <v>335</v>
      </c>
      <c r="E49" s="9">
        <v>100000</v>
      </c>
      <c r="F49" s="6">
        <f t="shared" si="9"/>
        <v>45902</v>
      </c>
      <c r="G49" s="6"/>
      <c r="H49" s="12"/>
      <c r="I49" s="9">
        <f t="shared" si="0"/>
        <v>100000</v>
      </c>
      <c r="K49" s="2" t="s">
        <v>22</v>
      </c>
      <c r="L49" s="11">
        <v>45904</v>
      </c>
      <c r="M49" s="9">
        <f>E49</f>
        <v>100000</v>
      </c>
      <c r="N49" s="9">
        <f>I49</f>
        <v>100000</v>
      </c>
      <c r="O49" s="9"/>
      <c r="P49" s="9"/>
      <c r="Q49" s="9"/>
      <c r="R49" s="9"/>
      <c r="S49" s="9">
        <f t="shared" si="1"/>
        <v>0</v>
      </c>
    </row>
    <row r="50" spans="1:19" ht="15.75" customHeight="1" x14ac:dyDescent="0.3">
      <c r="A50" s="10">
        <v>45902</v>
      </c>
      <c r="B50" s="2" t="s">
        <v>336</v>
      </c>
      <c r="C50" s="7" t="s">
        <v>24</v>
      </c>
      <c r="D50" s="2" t="s">
        <v>337</v>
      </c>
      <c r="E50" s="9">
        <f>6*7000</f>
        <v>42000</v>
      </c>
      <c r="F50" s="6">
        <f t="shared" si="9"/>
        <v>45902</v>
      </c>
      <c r="G50" s="10">
        <v>45918</v>
      </c>
      <c r="H50" s="12">
        <v>42000</v>
      </c>
      <c r="I50" s="9">
        <f t="shared" si="0"/>
        <v>0</v>
      </c>
      <c r="J50" s="2" t="s">
        <v>320</v>
      </c>
      <c r="K50" s="2" t="s">
        <v>27</v>
      </c>
      <c r="L50" s="11">
        <v>45904</v>
      </c>
      <c r="M50" s="9"/>
      <c r="N50" s="9"/>
      <c r="O50" s="9"/>
      <c r="P50" s="9"/>
      <c r="Q50" s="9"/>
      <c r="R50" s="9"/>
      <c r="S50" s="9">
        <f t="shared" si="1"/>
        <v>0</v>
      </c>
    </row>
    <row r="51" spans="1:19" ht="15.75" customHeight="1" x14ac:dyDescent="0.3">
      <c r="A51" s="10">
        <v>45902</v>
      </c>
      <c r="B51" s="2" t="s">
        <v>338</v>
      </c>
      <c r="C51" s="7" t="s">
        <v>339</v>
      </c>
      <c r="D51" s="2" t="s">
        <v>340</v>
      </c>
      <c r="E51" s="9">
        <v>75000</v>
      </c>
      <c r="F51" s="6">
        <f t="shared" si="9"/>
        <v>45902</v>
      </c>
      <c r="G51" s="28">
        <v>45870</v>
      </c>
      <c r="H51" s="12">
        <v>75000</v>
      </c>
      <c r="I51" s="9">
        <f t="shared" si="0"/>
        <v>0</v>
      </c>
      <c r="J51" s="2" t="s">
        <v>341</v>
      </c>
      <c r="K51" s="7" t="s">
        <v>32</v>
      </c>
      <c r="L51" s="11">
        <v>45873</v>
      </c>
      <c r="M51" s="9">
        <f t="shared" ref="M51:M52" si="14">H51</f>
        <v>75000</v>
      </c>
      <c r="N51" s="9"/>
      <c r="O51" s="9"/>
      <c r="P51" s="9"/>
      <c r="Q51" s="9"/>
      <c r="R51" s="9">
        <f>E51</f>
        <v>75000</v>
      </c>
      <c r="S51" s="9">
        <f t="shared" si="1"/>
        <v>0</v>
      </c>
    </row>
    <row r="52" spans="1:19" ht="15.75" customHeight="1" x14ac:dyDescent="0.3">
      <c r="A52" s="10">
        <v>45925</v>
      </c>
      <c r="B52" s="2" t="s">
        <v>342</v>
      </c>
      <c r="C52" s="7" t="s">
        <v>278</v>
      </c>
      <c r="D52" s="2" t="s">
        <v>343</v>
      </c>
      <c r="E52" s="9">
        <v>50000</v>
      </c>
      <c r="F52" s="6">
        <f t="shared" si="9"/>
        <v>45925</v>
      </c>
      <c r="G52" s="6">
        <v>45925</v>
      </c>
      <c r="H52" s="12">
        <v>50000</v>
      </c>
      <c r="I52" s="9">
        <f t="shared" si="0"/>
        <v>0</v>
      </c>
      <c r="J52" s="2" t="s">
        <v>344</v>
      </c>
      <c r="K52" s="2" t="s">
        <v>22</v>
      </c>
      <c r="L52" s="11">
        <v>45904</v>
      </c>
      <c r="M52" s="9">
        <f t="shared" si="14"/>
        <v>50000</v>
      </c>
      <c r="N52" s="9"/>
      <c r="O52" s="9">
        <f>E52</f>
        <v>50000</v>
      </c>
      <c r="P52" s="9"/>
      <c r="Q52" s="9"/>
      <c r="R52" s="9"/>
      <c r="S52" s="9"/>
    </row>
    <row r="53" spans="1:19" ht="15.75" customHeight="1" x14ac:dyDescent="0.3">
      <c r="A53" s="10">
        <v>45931</v>
      </c>
      <c r="B53" s="2" t="s">
        <v>345</v>
      </c>
      <c r="C53" s="7" t="s">
        <v>20</v>
      </c>
      <c r="D53" s="2" t="s">
        <v>346</v>
      </c>
      <c r="E53" s="9">
        <v>100000</v>
      </c>
      <c r="F53" s="6">
        <v>45949</v>
      </c>
      <c r="G53" s="6"/>
      <c r="H53" s="12"/>
      <c r="I53" s="9">
        <f t="shared" si="0"/>
        <v>100000</v>
      </c>
      <c r="K53" s="2" t="s">
        <v>22</v>
      </c>
      <c r="L53" s="11">
        <v>45934</v>
      </c>
      <c r="M53" s="9">
        <f>E53</f>
        <v>100000</v>
      </c>
      <c r="N53" s="9">
        <f>I53</f>
        <v>100000</v>
      </c>
      <c r="O53" s="9"/>
      <c r="P53" s="9"/>
      <c r="Q53" s="9"/>
      <c r="R53" s="9"/>
      <c r="S53" s="9">
        <f t="shared" ref="S53:S92" si="15">M53-N53-O53-P53-Q53-R53</f>
        <v>0</v>
      </c>
    </row>
    <row r="54" spans="1:19" ht="15.75" customHeight="1" x14ac:dyDescent="0.3">
      <c r="A54" s="10">
        <v>45931</v>
      </c>
      <c r="B54" s="2" t="s">
        <v>347</v>
      </c>
      <c r="C54" s="7" t="s">
        <v>24</v>
      </c>
      <c r="D54" s="2" t="s">
        <v>348</v>
      </c>
      <c r="E54" s="9">
        <f>6*7000</f>
        <v>42000</v>
      </c>
      <c r="F54" s="6">
        <f t="shared" ref="F54:F66" si="16">A54</f>
        <v>45931</v>
      </c>
      <c r="G54" s="28">
        <v>45972</v>
      </c>
      <c r="H54" s="12">
        <v>42000</v>
      </c>
      <c r="I54" s="9">
        <f t="shared" si="0"/>
        <v>0</v>
      </c>
      <c r="J54" s="2" t="s">
        <v>349</v>
      </c>
      <c r="K54" s="2" t="s">
        <v>27</v>
      </c>
      <c r="L54" s="11">
        <v>45934</v>
      </c>
      <c r="M54" s="9"/>
      <c r="N54" s="9"/>
      <c r="O54" s="9"/>
      <c r="P54" s="9"/>
      <c r="Q54" s="9"/>
      <c r="R54" s="9"/>
      <c r="S54" s="9">
        <f t="shared" si="15"/>
        <v>0</v>
      </c>
    </row>
    <row r="55" spans="1:19" ht="15.75" customHeight="1" x14ac:dyDescent="0.3">
      <c r="A55" s="10">
        <v>45932</v>
      </c>
      <c r="B55" s="13" t="s">
        <v>350</v>
      </c>
      <c r="C55" s="7" t="s">
        <v>20</v>
      </c>
      <c r="D55" s="2" t="s">
        <v>351</v>
      </c>
      <c r="E55" s="9">
        <v>4529</v>
      </c>
      <c r="F55" s="6">
        <f t="shared" si="16"/>
        <v>45932</v>
      </c>
      <c r="G55" s="6">
        <v>46132</v>
      </c>
      <c r="H55" s="12">
        <v>4529</v>
      </c>
      <c r="I55" s="9">
        <f t="shared" si="0"/>
        <v>0</v>
      </c>
      <c r="J55" s="2" t="s">
        <v>39</v>
      </c>
      <c r="K55" s="2" t="s">
        <v>22</v>
      </c>
      <c r="L55" s="11">
        <v>45904</v>
      </c>
      <c r="M55" s="9">
        <f t="shared" ref="M55:M60" si="17">E55</f>
        <v>4529</v>
      </c>
      <c r="N55" s="9">
        <f>M55</f>
        <v>4529</v>
      </c>
      <c r="O55" s="9"/>
      <c r="P55" s="9"/>
      <c r="Q55" s="9"/>
      <c r="R55" s="9"/>
      <c r="S55" s="9">
        <f t="shared" si="15"/>
        <v>0</v>
      </c>
    </row>
    <row r="56" spans="1:19" ht="15.75" customHeight="1" x14ac:dyDescent="0.3">
      <c r="A56" s="10">
        <v>45944</v>
      </c>
      <c r="B56" s="13" t="s">
        <v>352</v>
      </c>
      <c r="C56" s="2" t="s">
        <v>353</v>
      </c>
      <c r="D56" s="2" t="s">
        <v>354</v>
      </c>
      <c r="E56" s="9">
        <f>1300/2*300</f>
        <v>195000</v>
      </c>
      <c r="F56" s="6">
        <f t="shared" si="16"/>
        <v>45944</v>
      </c>
      <c r="G56" s="6">
        <v>45951</v>
      </c>
      <c r="H56" s="12">
        <v>195000</v>
      </c>
      <c r="I56" s="9">
        <f t="shared" si="0"/>
        <v>0</v>
      </c>
      <c r="J56" s="2" t="s">
        <v>355</v>
      </c>
      <c r="K56" s="2" t="s">
        <v>32</v>
      </c>
      <c r="L56" s="11">
        <v>45934</v>
      </c>
      <c r="M56" s="9">
        <f t="shared" si="17"/>
        <v>195000</v>
      </c>
      <c r="N56" s="9"/>
      <c r="O56" s="9"/>
      <c r="P56" s="9">
        <f>M56/2</f>
        <v>97500</v>
      </c>
      <c r="Q56" s="9">
        <f>P56</f>
        <v>97500</v>
      </c>
      <c r="R56" s="9"/>
      <c r="S56" s="9">
        <f t="shared" si="15"/>
        <v>0</v>
      </c>
    </row>
    <row r="57" spans="1:19" ht="15.75" customHeight="1" x14ac:dyDescent="0.3">
      <c r="A57" s="10">
        <v>45947</v>
      </c>
      <c r="B57" s="13" t="s">
        <v>356</v>
      </c>
      <c r="C57" s="2" t="s">
        <v>357</v>
      </c>
      <c r="D57" s="2" t="s">
        <v>358</v>
      </c>
      <c r="E57" s="9">
        <v>70000</v>
      </c>
      <c r="F57" s="6">
        <f t="shared" si="16"/>
        <v>45947</v>
      </c>
      <c r="G57" s="28">
        <v>45957</v>
      </c>
      <c r="H57" s="12">
        <v>70000</v>
      </c>
      <c r="I57" s="9">
        <f t="shared" si="0"/>
        <v>0</v>
      </c>
      <c r="J57" s="2" t="s">
        <v>359</v>
      </c>
      <c r="K57" s="2" t="s">
        <v>32</v>
      </c>
      <c r="L57" s="11">
        <v>45934</v>
      </c>
      <c r="M57" s="9">
        <f t="shared" si="17"/>
        <v>70000</v>
      </c>
      <c r="N57" s="9"/>
      <c r="O57" s="9"/>
      <c r="P57" s="9">
        <f>E57</f>
        <v>70000</v>
      </c>
      <c r="Q57" s="9"/>
      <c r="R57" s="9"/>
      <c r="S57" s="9">
        <f t="shared" si="15"/>
        <v>0</v>
      </c>
    </row>
    <row r="58" spans="1:19" ht="15.75" customHeight="1" x14ac:dyDescent="0.3">
      <c r="A58" s="10">
        <v>45954</v>
      </c>
      <c r="B58" s="2" t="s">
        <v>360</v>
      </c>
      <c r="C58" s="7" t="s">
        <v>361</v>
      </c>
      <c r="D58" s="2" t="s">
        <v>362</v>
      </c>
      <c r="E58" s="9">
        <f>28000000*3%</f>
        <v>840000</v>
      </c>
      <c r="F58" s="6">
        <f t="shared" si="16"/>
        <v>45954</v>
      </c>
      <c r="G58" s="28">
        <v>45958</v>
      </c>
      <c r="H58" s="12">
        <v>840000</v>
      </c>
      <c r="I58" s="9">
        <f t="shared" si="0"/>
        <v>0</v>
      </c>
      <c r="J58" s="2" t="s">
        <v>363</v>
      </c>
      <c r="K58" s="2" t="s">
        <v>32</v>
      </c>
      <c r="L58" s="11">
        <v>45934</v>
      </c>
      <c r="M58" s="9">
        <f t="shared" si="17"/>
        <v>840000</v>
      </c>
      <c r="N58" s="9"/>
      <c r="O58" s="9"/>
      <c r="P58" s="9"/>
      <c r="Q58" s="9"/>
      <c r="R58" s="9">
        <f>M58</f>
        <v>840000</v>
      </c>
      <c r="S58" s="9">
        <f t="shared" si="15"/>
        <v>0</v>
      </c>
    </row>
    <row r="59" spans="1:19" ht="15.75" customHeight="1" x14ac:dyDescent="0.3">
      <c r="A59" s="10">
        <v>45961</v>
      </c>
      <c r="B59" s="13" t="s">
        <v>364</v>
      </c>
      <c r="C59" s="7" t="s">
        <v>20</v>
      </c>
      <c r="D59" s="2" t="s">
        <v>365</v>
      </c>
      <c r="E59" s="9">
        <v>4546</v>
      </c>
      <c r="F59" s="6">
        <f t="shared" si="16"/>
        <v>45961</v>
      </c>
      <c r="G59" s="6">
        <v>46132</v>
      </c>
      <c r="H59" s="12">
        <v>4546</v>
      </c>
      <c r="I59" s="9">
        <f t="shared" si="0"/>
        <v>0</v>
      </c>
      <c r="J59" s="2" t="s">
        <v>39</v>
      </c>
      <c r="K59" s="2" t="s">
        <v>22</v>
      </c>
      <c r="L59" s="11">
        <v>45935</v>
      </c>
      <c r="M59" s="9">
        <f t="shared" si="17"/>
        <v>4546</v>
      </c>
      <c r="N59" s="9">
        <f t="shared" ref="N59:N60" si="18">E59</f>
        <v>4546</v>
      </c>
      <c r="O59" s="9"/>
      <c r="P59" s="9"/>
      <c r="Q59" s="9"/>
      <c r="R59" s="9"/>
      <c r="S59" s="9">
        <f t="shared" si="15"/>
        <v>0</v>
      </c>
    </row>
    <row r="60" spans="1:19" ht="15.75" customHeight="1" x14ac:dyDescent="0.3">
      <c r="A60" s="10">
        <v>45962</v>
      </c>
      <c r="B60" s="2" t="s">
        <v>366</v>
      </c>
      <c r="C60" s="7" t="s">
        <v>20</v>
      </c>
      <c r="D60" s="2" t="s">
        <v>367</v>
      </c>
      <c r="E60" s="9">
        <v>100000</v>
      </c>
      <c r="F60" s="6">
        <f t="shared" si="16"/>
        <v>45962</v>
      </c>
      <c r="G60" s="6"/>
      <c r="H60" s="12"/>
      <c r="I60" s="9">
        <f t="shared" si="0"/>
        <v>100000</v>
      </c>
      <c r="J60" s="13"/>
      <c r="K60" s="2" t="s">
        <v>22</v>
      </c>
      <c r="L60" s="11">
        <v>45967</v>
      </c>
      <c r="M60" s="9">
        <f t="shared" si="17"/>
        <v>100000</v>
      </c>
      <c r="N60" s="9">
        <f t="shared" si="18"/>
        <v>100000</v>
      </c>
      <c r="O60" s="9"/>
      <c r="P60" s="9"/>
      <c r="Q60" s="9"/>
      <c r="R60" s="9"/>
      <c r="S60" s="9">
        <f t="shared" si="15"/>
        <v>0</v>
      </c>
    </row>
    <row r="61" spans="1:19" ht="15.75" customHeight="1" x14ac:dyDescent="0.3">
      <c r="A61" s="10">
        <v>45962</v>
      </c>
      <c r="B61" s="2" t="s">
        <v>368</v>
      </c>
      <c r="C61" s="7" t="s">
        <v>24</v>
      </c>
      <c r="D61" s="2" t="s">
        <v>369</v>
      </c>
      <c r="E61" s="9">
        <f>6*7000</f>
        <v>42000</v>
      </c>
      <c r="F61" s="6">
        <f t="shared" si="16"/>
        <v>45962</v>
      </c>
      <c r="G61" s="28">
        <v>46009</v>
      </c>
      <c r="H61" s="12">
        <v>42000</v>
      </c>
      <c r="I61" s="9">
        <f t="shared" si="0"/>
        <v>0</v>
      </c>
      <c r="J61" s="2" t="s">
        <v>370</v>
      </c>
      <c r="K61" s="2" t="s">
        <v>27</v>
      </c>
      <c r="L61" s="11">
        <v>45967</v>
      </c>
      <c r="M61" s="9"/>
      <c r="N61" s="9"/>
      <c r="O61" s="9"/>
      <c r="P61" s="9"/>
      <c r="Q61" s="9"/>
      <c r="R61" s="9"/>
      <c r="S61" s="9">
        <f t="shared" si="15"/>
        <v>0</v>
      </c>
    </row>
    <row r="62" spans="1:19" ht="15.75" customHeight="1" x14ac:dyDescent="0.3">
      <c r="A62" s="10">
        <v>45962</v>
      </c>
      <c r="B62" s="2" t="s">
        <v>371</v>
      </c>
      <c r="C62" s="7" t="s">
        <v>372</v>
      </c>
      <c r="D62" s="2" t="s">
        <v>373</v>
      </c>
      <c r="E62" s="9">
        <v>1000000</v>
      </c>
      <c r="F62" s="6">
        <f t="shared" si="16"/>
        <v>45962</v>
      </c>
      <c r="G62" s="28">
        <v>45946</v>
      </c>
      <c r="H62" s="12">
        <v>1000000</v>
      </c>
      <c r="I62" s="9">
        <f t="shared" si="0"/>
        <v>0</v>
      </c>
      <c r="J62" s="2" t="s">
        <v>374</v>
      </c>
      <c r="K62" s="2" t="s">
        <v>32</v>
      </c>
      <c r="L62" s="11">
        <v>45935</v>
      </c>
      <c r="M62" s="9">
        <f t="shared" ref="M62:M65" si="19">E62</f>
        <v>1000000</v>
      </c>
      <c r="N62" s="9"/>
      <c r="O62" s="9">
        <f>M62</f>
        <v>1000000</v>
      </c>
      <c r="P62" s="9"/>
      <c r="Q62" s="9"/>
      <c r="R62" s="9"/>
      <c r="S62" s="9">
        <f t="shared" si="15"/>
        <v>0</v>
      </c>
    </row>
    <row r="63" spans="1:19" ht="15.75" customHeight="1" x14ac:dyDescent="0.3">
      <c r="A63" s="10">
        <v>45964</v>
      </c>
      <c r="B63" s="2" t="s">
        <v>375</v>
      </c>
      <c r="C63" s="2" t="s">
        <v>376</v>
      </c>
      <c r="D63" s="2" t="s">
        <v>377</v>
      </c>
      <c r="E63" s="9">
        <v>800000</v>
      </c>
      <c r="F63" s="6">
        <f t="shared" si="16"/>
        <v>45964</v>
      </c>
      <c r="G63" s="6">
        <v>45965</v>
      </c>
      <c r="H63" s="12">
        <v>800000</v>
      </c>
      <c r="I63" s="9">
        <f t="shared" si="0"/>
        <v>0</v>
      </c>
      <c r="J63" s="2" t="s">
        <v>378</v>
      </c>
      <c r="K63" s="2" t="s">
        <v>32</v>
      </c>
      <c r="L63" s="11">
        <v>45967</v>
      </c>
      <c r="M63" s="9">
        <f t="shared" si="19"/>
        <v>800000</v>
      </c>
      <c r="N63" s="9"/>
      <c r="O63" s="9"/>
      <c r="P63" s="9"/>
      <c r="Q63" s="9"/>
      <c r="R63" s="9">
        <f>M63</f>
        <v>800000</v>
      </c>
      <c r="S63" s="9">
        <f t="shared" si="15"/>
        <v>0</v>
      </c>
    </row>
    <row r="64" spans="1:19" ht="15.75" customHeight="1" x14ac:dyDescent="0.3">
      <c r="A64" s="10">
        <v>45991</v>
      </c>
      <c r="B64" s="13" t="s">
        <v>379</v>
      </c>
      <c r="C64" s="7" t="s">
        <v>20</v>
      </c>
      <c r="D64" s="2" t="s">
        <v>380</v>
      </c>
      <c r="E64" s="9">
        <v>4562</v>
      </c>
      <c r="F64" s="6">
        <f t="shared" si="16"/>
        <v>45991</v>
      </c>
      <c r="G64" s="6">
        <v>46132</v>
      </c>
      <c r="H64" s="12">
        <v>4562</v>
      </c>
      <c r="I64" s="9">
        <f t="shared" si="0"/>
        <v>0</v>
      </c>
      <c r="J64" s="13" t="s">
        <v>39</v>
      </c>
      <c r="K64" s="2" t="s">
        <v>22</v>
      </c>
      <c r="L64" s="11">
        <v>45967</v>
      </c>
      <c r="M64" s="9">
        <f t="shared" si="19"/>
        <v>4562</v>
      </c>
      <c r="N64" s="9">
        <f t="shared" ref="N64:N65" si="20">E64</f>
        <v>4562</v>
      </c>
      <c r="O64" s="9"/>
      <c r="P64" s="9"/>
      <c r="Q64" s="9"/>
      <c r="R64" s="9"/>
      <c r="S64" s="9">
        <f t="shared" si="15"/>
        <v>0</v>
      </c>
    </row>
    <row r="65" spans="1:19" ht="15.75" customHeight="1" x14ac:dyDescent="0.3">
      <c r="A65" s="6">
        <v>45992</v>
      </c>
      <c r="B65" s="2" t="s">
        <v>381</v>
      </c>
      <c r="C65" s="7" t="s">
        <v>20</v>
      </c>
      <c r="D65" s="2" t="s">
        <v>382</v>
      </c>
      <c r="E65" s="9">
        <v>100000</v>
      </c>
      <c r="F65" s="6">
        <f t="shared" si="16"/>
        <v>45992</v>
      </c>
      <c r="G65" s="6"/>
      <c r="H65" s="12"/>
      <c r="I65" s="9">
        <f t="shared" si="0"/>
        <v>100000</v>
      </c>
      <c r="K65" s="2" t="s">
        <v>22</v>
      </c>
      <c r="L65" s="11">
        <v>45997</v>
      </c>
      <c r="M65" s="9">
        <f t="shared" si="19"/>
        <v>100000</v>
      </c>
      <c r="N65" s="9">
        <f t="shared" si="20"/>
        <v>100000</v>
      </c>
      <c r="O65" s="9"/>
      <c r="P65" s="9"/>
      <c r="Q65" s="9"/>
      <c r="R65" s="9"/>
      <c r="S65" s="9">
        <f t="shared" si="15"/>
        <v>0</v>
      </c>
    </row>
    <row r="66" spans="1:19" ht="15.75" customHeight="1" x14ac:dyDescent="0.3">
      <c r="A66" s="6">
        <v>45992</v>
      </c>
      <c r="B66" s="2" t="s">
        <v>383</v>
      </c>
      <c r="C66" s="7" t="s">
        <v>24</v>
      </c>
      <c r="D66" s="2" t="s">
        <v>384</v>
      </c>
      <c r="E66" s="9">
        <f>6*7000</f>
        <v>42000</v>
      </c>
      <c r="F66" s="6">
        <f t="shared" si="16"/>
        <v>45992</v>
      </c>
      <c r="G66" s="6">
        <v>46042</v>
      </c>
      <c r="H66" s="12">
        <v>42000</v>
      </c>
      <c r="I66" s="9">
        <f t="shared" si="0"/>
        <v>0</v>
      </c>
      <c r="J66" s="2" t="s">
        <v>385</v>
      </c>
      <c r="K66" s="2" t="s">
        <v>27</v>
      </c>
      <c r="L66" s="11">
        <v>45997</v>
      </c>
      <c r="M66" s="9"/>
      <c r="N66" s="9"/>
      <c r="O66" s="9"/>
      <c r="P66" s="9"/>
      <c r="Q66" s="9"/>
      <c r="R66" s="9"/>
      <c r="S66" s="9">
        <f t="shared" si="15"/>
        <v>0</v>
      </c>
    </row>
    <row r="67" spans="1:19" ht="15.75" customHeight="1" x14ac:dyDescent="0.3">
      <c r="A67" s="6">
        <v>45992</v>
      </c>
      <c r="B67" s="2" t="s">
        <v>386</v>
      </c>
      <c r="C67" s="2" t="s">
        <v>387</v>
      </c>
      <c r="D67" s="2" t="s">
        <v>388</v>
      </c>
      <c r="E67" s="9">
        <v>125000</v>
      </c>
      <c r="F67" s="10">
        <v>45973</v>
      </c>
      <c r="G67" s="6">
        <v>45974</v>
      </c>
      <c r="H67" s="12">
        <v>125000</v>
      </c>
      <c r="I67" s="9">
        <f t="shared" si="0"/>
        <v>0</v>
      </c>
      <c r="J67" s="2" t="s">
        <v>389</v>
      </c>
      <c r="K67" s="2" t="s">
        <v>32</v>
      </c>
      <c r="L67" s="11">
        <v>45967</v>
      </c>
      <c r="M67" s="9">
        <f>H67</f>
        <v>125000</v>
      </c>
      <c r="N67" s="9"/>
      <c r="O67" s="9"/>
      <c r="P67" s="9">
        <f>M67</f>
        <v>125000</v>
      </c>
      <c r="Q67" s="9"/>
      <c r="R67" s="9"/>
      <c r="S67" s="9">
        <f t="shared" si="15"/>
        <v>0</v>
      </c>
    </row>
    <row r="68" spans="1:19" ht="20.25" customHeight="1" x14ac:dyDescent="0.3">
      <c r="A68" s="6">
        <v>46006</v>
      </c>
      <c r="B68" s="2" t="s">
        <v>390</v>
      </c>
      <c r="C68" s="2" t="s">
        <v>391</v>
      </c>
      <c r="D68" s="2" t="s">
        <v>392</v>
      </c>
      <c r="E68" s="9">
        <v>1290000</v>
      </c>
      <c r="F68" s="10">
        <f t="shared" ref="F68:F71" si="21">A68</f>
        <v>46006</v>
      </c>
      <c r="G68" s="6">
        <v>46007</v>
      </c>
      <c r="H68" s="12">
        <v>1290000</v>
      </c>
      <c r="I68" s="9">
        <f t="shared" si="0"/>
        <v>0</v>
      </c>
      <c r="J68" s="2" t="s">
        <v>393</v>
      </c>
      <c r="K68" s="2" t="s">
        <v>32</v>
      </c>
      <c r="L68" s="11">
        <v>45997</v>
      </c>
      <c r="M68" s="9">
        <f>E68</f>
        <v>1290000</v>
      </c>
      <c r="N68" s="9"/>
      <c r="O68" s="9"/>
      <c r="P68" s="9"/>
      <c r="Q68" s="9">
        <f>M68/2</f>
        <v>645000</v>
      </c>
      <c r="R68" s="9">
        <f>Q68</f>
        <v>645000</v>
      </c>
      <c r="S68" s="9">
        <f t="shared" si="15"/>
        <v>0</v>
      </c>
    </row>
    <row r="69" spans="1:19" ht="15.75" customHeight="1" x14ac:dyDescent="0.3">
      <c r="A69" s="10">
        <v>45991</v>
      </c>
      <c r="B69" s="2" t="s">
        <v>394</v>
      </c>
      <c r="C69" s="7" t="s">
        <v>278</v>
      </c>
      <c r="D69" s="2" t="s">
        <v>395</v>
      </c>
      <c r="E69" s="9">
        <v>50000</v>
      </c>
      <c r="F69" s="10">
        <f t="shared" si="21"/>
        <v>45991</v>
      </c>
      <c r="G69" s="6">
        <v>45989</v>
      </c>
      <c r="H69" s="12">
        <v>50000</v>
      </c>
      <c r="I69" s="9">
        <f t="shared" si="0"/>
        <v>0</v>
      </c>
      <c r="J69" s="2" t="s">
        <v>396</v>
      </c>
      <c r="K69" s="2" t="s">
        <v>22</v>
      </c>
      <c r="L69" s="11">
        <v>45967</v>
      </c>
      <c r="M69" s="9">
        <f t="shared" ref="M69:M71" si="22">H69</f>
        <v>50000</v>
      </c>
      <c r="N69" s="9"/>
      <c r="O69" s="9">
        <f t="shared" ref="O69:O70" si="23">H69</f>
        <v>50000</v>
      </c>
      <c r="P69" s="9"/>
      <c r="Q69" s="9"/>
      <c r="R69" s="9"/>
      <c r="S69" s="9">
        <f t="shared" si="15"/>
        <v>0</v>
      </c>
    </row>
    <row r="70" spans="1:19" ht="15.75" customHeight="1" x14ac:dyDescent="0.3">
      <c r="A70" s="10">
        <v>45991</v>
      </c>
      <c r="B70" s="2" t="s">
        <v>305</v>
      </c>
      <c r="C70" s="2" t="s">
        <v>93</v>
      </c>
      <c r="D70" s="2" t="s">
        <v>397</v>
      </c>
      <c r="E70" s="9">
        <v>25678.39</v>
      </c>
      <c r="F70" s="10">
        <f t="shared" si="21"/>
        <v>45991</v>
      </c>
      <c r="G70" s="6">
        <v>45989</v>
      </c>
      <c r="H70" s="12">
        <v>25678.39</v>
      </c>
      <c r="I70" s="9">
        <f t="shared" si="0"/>
        <v>0</v>
      </c>
      <c r="J70" s="2" t="s">
        <v>398</v>
      </c>
      <c r="K70" s="2" t="s">
        <v>22</v>
      </c>
      <c r="L70" s="11">
        <v>45967</v>
      </c>
      <c r="M70" s="9">
        <f t="shared" si="22"/>
        <v>25678.39</v>
      </c>
      <c r="N70" s="9"/>
      <c r="O70" s="9">
        <f t="shared" si="23"/>
        <v>25678.39</v>
      </c>
      <c r="P70" s="9"/>
      <c r="Q70" s="9"/>
      <c r="R70" s="9"/>
      <c r="S70" s="9">
        <f t="shared" si="15"/>
        <v>0</v>
      </c>
    </row>
    <row r="71" spans="1:19" ht="15.75" customHeight="1" x14ac:dyDescent="0.3">
      <c r="A71" s="6">
        <v>46021</v>
      </c>
      <c r="B71" s="2" t="s">
        <v>399</v>
      </c>
      <c r="C71" s="7" t="s">
        <v>278</v>
      </c>
      <c r="D71" s="2" t="s">
        <v>400</v>
      </c>
      <c r="E71" s="9">
        <v>50000</v>
      </c>
      <c r="F71" s="10">
        <f t="shared" si="21"/>
        <v>46021</v>
      </c>
      <c r="G71" s="6">
        <v>46021</v>
      </c>
      <c r="H71" s="12">
        <v>50000</v>
      </c>
      <c r="I71" s="9">
        <f t="shared" si="0"/>
        <v>0</v>
      </c>
      <c r="J71" s="2" t="s">
        <v>401</v>
      </c>
      <c r="K71" s="2" t="s">
        <v>22</v>
      </c>
      <c r="L71" s="11">
        <v>45997</v>
      </c>
      <c r="M71" s="9">
        <f t="shared" si="22"/>
        <v>50000</v>
      </c>
      <c r="N71" s="9"/>
      <c r="O71" s="9">
        <f>M71</f>
        <v>50000</v>
      </c>
      <c r="P71" s="9"/>
      <c r="Q71" s="9"/>
      <c r="R71" s="9"/>
      <c r="S71" s="9">
        <f t="shared" si="15"/>
        <v>0</v>
      </c>
    </row>
    <row r="72" spans="1:19" ht="15.75" customHeight="1" x14ac:dyDescent="0.3">
      <c r="A72" s="6">
        <v>46021</v>
      </c>
      <c r="B72" s="13" t="s">
        <v>402</v>
      </c>
      <c r="C72" s="7" t="s">
        <v>20</v>
      </c>
      <c r="D72" s="2" t="s">
        <v>403</v>
      </c>
      <c r="E72" s="9">
        <v>4480</v>
      </c>
      <c r="F72" s="6"/>
      <c r="G72" s="6">
        <v>46132</v>
      </c>
      <c r="H72" s="12">
        <v>4480</v>
      </c>
      <c r="I72" s="9">
        <f t="shared" si="0"/>
        <v>0</v>
      </c>
      <c r="J72" s="13" t="s">
        <v>39</v>
      </c>
      <c r="K72" s="2"/>
      <c r="L72" s="11"/>
      <c r="M72" s="9"/>
      <c r="N72" s="9"/>
      <c r="O72" s="9"/>
      <c r="P72" s="9"/>
      <c r="Q72" s="9"/>
      <c r="R72" s="9"/>
      <c r="S72" s="9">
        <f t="shared" si="15"/>
        <v>0</v>
      </c>
    </row>
    <row r="73" spans="1:19" ht="15.75" customHeight="1" x14ac:dyDescent="0.3">
      <c r="A73" s="6"/>
      <c r="C73" s="7"/>
      <c r="E73" s="9"/>
      <c r="F73" s="6"/>
      <c r="H73" s="12"/>
      <c r="I73" s="9">
        <f t="shared" si="0"/>
        <v>0</v>
      </c>
      <c r="K73" s="2"/>
      <c r="L73" s="11"/>
      <c r="M73" s="9"/>
      <c r="N73" s="9"/>
      <c r="O73" s="9"/>
      <c r="P73" s="9"/>
      <c r="Q73" s="9"/>
      <c r="R73" s="9"/>
      <c r="S73" s="9">
        <f t="shared" si="15"/>
        <v>0</v>
      </c>
    </row>
    <row r="74" spans="1:19" ht="15.75" customHeight="1" x14ac:dyDescent="0.3">
      <c r="A74" s="6"/>
      <c r="C74" s="7"/>
      <c r="E74" s="9"/>
      <c r="F74" s="6"/>
      <c r="G74" s="28"/>
      <c r="H74" s="9"/>
      <c r="I74" s="9">
        <f t="shared" si="0"/>
        <v>0</v>
      </c>
      <c r="K74" s="2"/>
      <c r="L74" s="11"/>
      <c r="M74" s="9"/>
      <c r="N74" s="9"/>
      <c r="O74" s="9"/>
      <c r="P74" s="9"/>
      <c r="Q74" s="9"/>
      <c r="R74" s="9"/>
      <c r="S74" s="9">
        <f t="shared" si="15"/>
        <v>0</v>
      </c>
    </row>
    <row r="75" spans="1:19" ht="15.75" customHeight="1" x14ac:dyDescent="0.3">
      <c r="A75" s="6"/>
      <c r="E75" s="9"/>
      <c r="F75" s="6"/>
      <c r="G75" s="6"/>
      <c r="H75" s="9"/>
      <c r="I75" s="9">
        <f t="shared" si="0"/>
        <v>0</v>
      </c>
      <c r="K75" s="2"/>
      <c r="L75" s="11"/>
      <c r="M75" s="9"/>
      <c r="N75" s="9"/>
      <c r="O75" s="9"/>
      <c r="P75" s="9"/>
      <c r="Q75" s="9"/>
      <c r="R75" s="9"/>
      <c r="S75" s="9">
        <f t="shared" si="15"/>
        <v>0</v>
      </c>
    </row>
    <row r="76" spans="1:19" ht="15.75" customHeight="1" x14ac:dyDescent="0.3">
      <c r="A76" s="6"/>
      <c r="E76" s="9"/>
      <c r="F76" s="2" t="s">
        <v>180</v>
      </c>
      <c r="G76" s="6"/>
      <c r="H76" s="9"/>
      <c r="I76" s="9">
        <f t="shared" si="0"/>
        <v>0</v>
      </c>
      <c r="K76" s="2"/>
      <c r="L76" s="11"/>
      <c r="M76" s="9"/>
      <c r="N76" s="9"/>
      <c r="O76" s="9"/>
      <c r="P76" s="9"/>
      <c r="Q76" s="9"/>
      <c r="R76" s="9"/>
      <c r="S76" s="9">
        <f t="shared" si="15"/>
        <v>0</v>
      </c>
    </row>
    <row r="77" spans="1:19" ht="15.75" customHeight="1" x14ac:dyDescent="0.3">
      <c r="A77" s="6"/>
      <c r="E77" s="9"/>
      <c r="F77" s="6"/>
      <c r="G77" s="28"/>
      <c r="H77" s="9"/>
      <c r="I77" s="9">
        <f t="shared" si="0"/>
        <v>0</v>
      </c>
      <c r="K77" s="2"/>
      <c r="L77" s="11"/>
      <c r="M77" s="9"/>
      <c r="N77" s="9"/>
      <c r="O77" s="9"/>
      <c r="P77" s="9"/>
      <c r="Q77" s="9"/>
      <c r="R77" s="9"/>
      <c r="S77" s="9">
        <f t="shared" si="15"/>
        <v>0</v>
      </c>
    </row>
    <row r="78" spans="1:19" ht="15.75" customHeight="1" x14ac:dyDescent="0.3">
      <c r="A78" s="6"/>
      <c r="E78" s="9"/>
      <c r="F78" s="6"/>
      <c r="H78" s="9"/>
      <c r="I78" s="9">
        <f t="shared" si="0"/>
        <v>0</v>
      </c>
      <c r="K78" s="2"/>
      <c r="L78" s="11"/>
      <c r="M78" s="9"/>
      <c r="N78" s="9"/>
      <c r="O78" s="9"/>
      <c r="P78" s="9"/>
      <c r="Q78" s="9"/>
      <c r="R78" s="9"/>
      <c r="S78" s="9">
        <f t="shared" si="15"/>
        <v>0</v>
      </c>
    </row>
    <row r="79" spans="1:19" ht="15.75" customHeight="1" x14ac:dyDescent="0.3">
      <c r="A79" s="6"/>
      <c r="E79" s="9"/>
      <c r="F79" s="6"/>
      <c r="H79" s="9"/>
      <c r="I79" s="9">
        <f t="shared" si="0"/>
        <v>0</v>
      </c>
      <c r="K79" s="2"/>
      <c r="L79" s="11"/>
      <c r="M79" s="9"/>
      <c r="N79" s="9"/>
      <c r="O79" s="9"/>
      <c r="P79" s="9"/>
      <c r="Q79" s="9"/>
      <c r="R79" s="9"/>
      <c r="S79" s="9">
        <f t="shared" si="15"/>
        <v>0</v>
      </c>
    </row>
    <row r="80" spans="1:19" ht="15.75" customHeight="1" x14ac:dyDescent="0.3">
      <c r="A80" s="6"/>
      <c r="E80" s="9"/>
      <c r="F80" s="6"/>
      <c r="H80" s="9"/>
      <c r="I80" s="9">
        <f t="shared" si="0"/>
        <v>0</v>
      </c>
      <c r="K80" s="2"/>
      <c r="L80" s="11"/>
      <c r="M80" s="9"/>
      <c r="N80" s="9"/>
      <c r="O80" s="9"/>
      <c r="P80" s="9"/>
      <c r="Q80" s="9"/>
      <c r="R80" s="9"/>
      <c r="S80" s="9">
        <f t="shared" si="15"/>
        <v>0</v>
      </c>
    </row>
    <row r="81" spans="1:19" ht="15.75" customHeight="1" x14ac:dyDescent="0.3">
      <c r="A81" s="6"/>
      <c r="C81" s="7"/>
      <c r="E81" s="9"/>
      <c r="F81" s="6"/>
      <c r="H81" s="9"/>
      <c r="I81" s="9">
        <f t="shared" si="0"/>
        <v>0</v>
      </c>
      <c r="K81" s="2"/>
      <c r="L81" s="11"/>
      <c r="M81" s="9"/>
      <c r="N81" s="9"/>
      <c r="O81" s="9"/>
      <c r="P81" s="9"/>
      <c r="Q81" s="9"/>
      <c r="R81" s="9"/>
      <c r="S81" s="9">
        <f t="shared" si="15"/>
        <v>0</v>
      </c>
    </row>
    <row r="82" spans="1:19" ht="15.75" customHeight="1" x14ac:dyDescent="0.3">
      <c r="A82" s="6"/>
      <c r="C82" s="7"/>
      <c r="E82" s="9"/>
      <c r="F82" s="6"/>
      <c r="H82" s="9"/>
      <c r="I82" s="9">
        <f t="shared" si="0"/>
        <v>0</v>
      </c>
      <c r="K82" s="2"/>
      <c r="L82" s="11"/>
      <c r="M82" s="9"/>
      <c r="N82" s="9"/>
      <c r="O82" s="9"/>
      <c r="P82" s="9"/>
      <c r="Q82" s="9"/>
      <c r="R82" s="9"/>
      <c r="S82" s="9">
        <f t="shared" si="15"/>
        <v>0</v>
      </c>
    </row>
    <row r="83" spans="1:19" ht="15.75" customHeight="1" x14ac:dyDescent="0.3">
      <c r="A83" s="6"/>
      <c r="E83" s="9"/>
      <c r="F83" s="6"/>
      <c r="H83" s="9"/>
      <c r="I83" s="9">
        <f t="shared" si="0"/>
        <v>0</v>
      </c>
      <c r="K83" s="2"/>
      <c r="L83" s="11"/>
      <c r="M83" s="9"/>
      <c r="N83" s="9"/>
      <c r="O83" s="9"/>
      <c r="P83" s="9"/>
      <c r="Q83" s="9"/>
      <c r="R83" s="9"/>
      <c r="S83" s="9">
        <f t="shared" si="15"/>
        <v>0</v>
      </c>
    </row>
    <row r="84" spans="1:19" ht="15.75" customHeight="1" x14ac:dyDescent="0.3">
      <c r="A84" s="6"/>
      <c r="E84" s="9"/>
      <c r="F84" s="6"/>
      <c r="H84" s="9"/>
      <c r="I84" s="9">
        <f t="shared" si="0"/>
        <v>0</v>
      </c>
      <c r="K84" s="2"/>
      <c r="L84" s="11"/>
      <c r="M84" s="9"/>
      <c r="N84" s="9"/>
      <c r="O84" s="9"/>
      <c r="P84" s="9"/>
      <c r="Q84" s="9"/>
      <c r="R84" s="9"/>
      <c r="S84" s="9">
        <f t="shared" si="15"/>
        <v>0</v>
      </c>
    </row>
    <row r="85" spans="1:19" ht="15.75" customHeight="1" x14ac:dyDescent="0.3">
      <c r="A85" s="28"/>
      <c r="E85" s="9"/>
      <c r="F85" s="6"/>
      <c r="H85" s="9"/>
      <c r="I85" s="9">
        <f t="shared" si="0"/>
        <v>0</v>
      </c>
      <c r="K85" s="2"/>
      <c r="L85" s="11"/>
      <c r="M85" s="9"/>
      <c r="N85" s="9"/>
      <c r="O85" s="9"/>
      <c r="P85" s="9"/>
      <c r="Q85" s="9"/>
      <c r="R85" s="9"/>
      <c r="S85" s="9">
        <f t="shared" si="15"/>
        <v>0</v>
      </c>
    </row>
    <row r="86" spans="1:19" ht="15.75" customHeight="1" x14ac:dyDescent="0.3">
      <c r="A86" s="28"/>
      <c r="E86" s="9"/>
      <c r="F86" s="6"/>
      <c r="H86" s="9"/>
      <c r="I86" s="9">
        <f t="shared" si="0"/>
        <v>0</v>
      </c>
      <c r="K86" s="2"/>
      <c r="L86" s="11"/>
      <c r="M86" s="9"/>
      <c r="N86" s="9"/>
      <c r="O86" s="9"/>
      <c r="P86" s="9"/>
      <c r="Q86" s="9"/>
      <c r="R86" s="9"/>
      <c r="S86" s="9">
        <f t="shared" si="15"/>
        <v>0</v>
      </c>
    </row>
    <row r="87" spans="1:19" ht="15.75" customHeight="1" x14ac:dyDescent="0.3">
      <c r="E87" s="9"/>
      <c r="F87" s="9"/>
      <c r="H87" s="9"/>
      <c r="I87" s="9">
        <f t="shared" si="0"/>
        <v>0</v>
      </c>
      <c r="K87" s="2"/>
      <c r="M87" s="9"/>
      <c r="N87" s="9"/>
      <c r="O87" s="9"/>
      <c r="P87" s="9"/>
      <c r="Q87" s="9"/>
      <c r="R87" s="9"/>
      <c r="S87" s="9">
        <f t="shared" si="15"/>
        <v>0</v>
      </c>
    </row>
    <row r="88" spans="1:19" ht="15.75" customHeight="1" x14ac:dyDescent="0.3">
      <c r="E88" s="9"/>
      <c r="F88" s="9"/>
      <c r="H88" s="9"/>
      <c r="I88" s="9">
        <f t="shared" si="0"/>
        <v>0</v>
      </c>
      <c r="K88" s="2"/>
      <c r="M88" s="9"/>
      <c r="N88" s="9"/>
      <c r="O88" s="9"/>
      <c r="P88" s="9"/>
      <c r="Q88" s="9"/>
      <c r="R88" s="9"/>
      <c r="S88" s="9">
        <f t="shared" si="15"/>
        <v>0</v>
      </c>
    </row>
    <row r="89" spans="1:19" ht="15.75" customHeight="1" x14ac:dyDescent="0.3">
      <c r="E89" s="9"/>
      <c r="F89" s="9"/>
      <c r="H89" s="9"/>
      <c r="I89" s="9">
        <f t="shared" si="0"/>
        <v>0</v>
      </c>
      <c r="K89" s="2"/>
      <c r="M89" s="9"/>
      <c r="N89" s="9"/>
      <c r="O89" s="9"/>
      <c r="P89" s="9"/>
      <c r="Q89" s="9"/>
      <c r="R89" s="9"/>
      <c r="S89" s="9">
        <f t="shared" si="15"/>
        <v>0</v>
      </c>
    </row>
    <row r="90" spans="1:19" ht="15.75" customHeight="1" x14ac:dyDescent="0.3">
      <c r="E90" s="9"/>
      <c r="F90" s="9"/>
      <c r="H90" s="9"/>
      <c r="I90" s="9">
        <f t="shared" si="0"/>
        <v>0</v>
      </c>
      <c r="K90" s="2"/>
      <c r="M90" s="9"/>
      <c r="N90" s="9"/>
      <c r="O90" s="9"/>
      <c r="P90" s="9"/>
      <c r="Q90" s="9"/>
      <c r="R90" s="9"/>
      <c r="S90" s="9">
        <f t="shared" si="15"/>
        <v>0</v>
      </c>
    </row>
    <row r="91" spans="1:19" ht="15.75" customHeight="1" x14ac:dyDescent="0.3">
      <c r="E91" s="9"/>
      <c r="F91" s="9"/>
      <c r="H91" s="9"/>
      <c r="I91" s="9">
        <f t="shared" si="0"/>
        <v>0</v>
      </c>
      <c r="K91" s="2"/>
      <c r="M91" s="9"/>
      <c r="N91" s="9"/>
      <c r="O91" s="9"/>
      <c r="P91" s="9"/>
      <c r="Q91" s="9"/>
      <c r="R91" s="9"/>
      <c r="S91" s="9">
        <f t="shared" si="15"/>
        <v>0</v>
      </c>
    </row>
    <row r="92" spans="1:19" ht="15.75" customHeight="1" x14ac:dyDescent="0.3">
      <c r="E92" s="9"/>
      <c r="F92" s="9"/>
      <c r="H92" s="9"/>
      <c r="I92" s="9">
        <f t="shared" si="0"/>
        <v>0</v>
      </c>
      <c r="K92" s="2"/>
      <c r="M92" s="9"/>
      <c r="N92" s="9"/>
      <c r="O92" s="9"/>
      <c r="P92" s="9"/>
      <c r="Q92" s="9"/>
      <c r="R92" s="9"/>
      <c r="S92" s="9">
        <f t="shared" si="15"/>
        <v>0</v>
      </c>
    </row>
    <row r="93" spans="1:19" ht="15.75" customHeight="1" x14ac:dyDescent="0.3">
      <c r="E93" s="29">
        <f>SUM(E2:E88)</f>
        <v>14308790.790000001</v>
      </c>
      <c r="F93" s="9"/>
      <c r="G93" s="9"/>
      <c r="H93" s="29">
        <f t="shared" ref="H93:I93" si="24">SUM(H2:H88)</f>
        <v>13708765.790000001</v>
      </c>
      <c r="I93" s="29">
        <f t="shared" si="24"/>
        <v>600025</v>
      </c>
      <c r="J93" s="9"/>
      <c r="K93" s="9"/>
      <c r="L93" s="9"/>
      <c r="M93" s="29">
        <f t="shared" ref="M93:S93" si="25">SUM(M2:M92)</f>
        <v>13803310.790000001</v>
      </c>
      <c r="N93" s="29">
        <f t="shared" si="25"/>
        <v>1241809</v>
      </c>
      <c r="O93" s="29">
        <f t="shared" si="25"/>
        <v>1749001.7899999998</v>
      </c>
      <c r="P93" s="29">
        <f t="shared" si="25"/>
        <v>3742500</v>
      </c>
      <c r="Q93" s="29">
        <f t="shared" si="25"/>
        <v>3012500</v>
      </c>
      <c r="R93" s="29">
        <f t="shared" si="25"/>
        <v>4057500</v>
      </c>
      <c r="S93" s="29">
        <f t="shared" si="25"/>
        <v>0</v>
      </c>
    </row>
    <row r="94" spans="1:19" ht="15.75" customHeight="1" x14ac:dyDescent="0.3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9" ht="15.75" customHeight="1" x14ac:dyDescent="0.3">
      <c r="E95" s="31" t="s">
        <v>181</v>
      </c>
      <c r="F95" s="31" t="s">
        <v>12</v>
      </c>
      <c r="H95" s="31" t="s">
        <v>182</v>
      </c>
      <c r="I95" s="32" t="s">
        <v>183</v>
      </c>
      <c r="M95" s="9" t="s">
        <v>404</v>
      </c>
      <c r="N95" s="9"/>
      <c r="O95" s="9"/>
      <c r="P95" s="9">
        <f t="shared" ref="P95:R95" si="26">4000000*4</f>
        <v>16000000</v>
      </c>
      <c r="Q95" s="9">
        <f t="shared" si="26"/>
        <v>16000000</v>
      </c>
      <c r="R95" s="9">
        <f t="shared" si="26"/>
        <v>16000000</v>
      </c>
    </row>
    <row r="96" spans="1:19" ht="15.75" customHeight="1" x14ac:dyDescent="0.3">
      <c r="D96" s="2" t="s">
        <v>32</v>
      </c>
      <c r="E96" s="9">
        <f>SUMIF(K2:K88,D96,E2:E88)</f>
        <v>12275000</v>
      </c>
      <c r="F96" s="9">
        <f>SUMIF(K2:K88,D96,M2:M88)</f>
        <v>12275000</v>
      </c>
      <c r="G96" s="9"/>
      <c r="H96" s="9">
        <f t="shared" ref="H96:I96" si="27">SUMIF($K2:$K88,$D$96,H2:H88)</f>
        <v>12275000</v>
      </c>
      <c r="I96" s="9">
        <f t="shared" si="27"/>
        <v>0</v>
      </c>
      <c r="M96" s="9" t="s">
        <v>185</v>
      </c>
      <c r="N96" s="9"/>
      <c r="O96" s="9"/>
      <c r="P96" s="9">
        <f t="shared" ref="P96:R96" si="28">P95-P93</f>
        <v>12257500</v>
      </c>
      <c r="Q96" s="9">
        <f t="shared" si="28"/>
        <v>12987500</v>
      </c>
      <c r="R96" s="9">
        <f t="shared" si="28"/>
        <v>11942500</v>
      </c>
    </row>
    <row r="97" spans="4:18" ht="15.75" customHeight="1" x14ac:dyDescent="0.3">
      <c r="D97" s="2" t="s">
        <v>22</v>
      </c>
      <c r="E97" s="9">
        <f>SUMIF(K2:K88,D97,E2:E88)</f>
        <v>1528310.7899999998</v>
      </c>
      <c r="F97" s="9">
        <f>SUMIF(K2:K88,D97,M2:M88)</f>
        <v>1528310.7899999998</v>
      </c>
      <c r="G97" s="9"/>
      <c r="H97" s="9">
        <f t="shared" ref="H97:I97" si="29">SUMIF($K2:$K88,$D$97,H2:H88)</f>
        <v>928310.79</v>
      </c>
      <c r="I97" s="9">
        <f t="shared" si="29"/>
        <v>600000</v>
      </c>
      <c r="M97" s="9" t="s">
        <v>186</v>
      </c>
      <c r="N97" s="9"/>
      <c r="O97" s="9"/>
      <c r="P97" s="33">
        <f t="shared" ref="P97:R97" si="30">P93/P95</f>
        <v>0.23390625000000001</v>
      </c>
      <c r="Q97" s="33">
        <f t="shared" si="30"/>
        <v>0.18828125000000001</v>
      </c>
      <c r="R97" s="33">
        <f t="shared" si="30"/>
        <v>0.25359375000000001</v>
      </c>
    </row>
    <row r="98" spans="4:18" ht="15.75" customHeight="1" x14ac:dyDescent="0.3">
      <c r="D98" s="2" t="s">
        <v>27</v>
      </c>
      <c r="E98" s="9">
        <f>SUMIF(K2:K88,D98,E2:E88)</f>
        <v>501000</v>
      </c>
      <c r="F98" s="9"/>
      <c r="G98" s="9"/>
      <c r="H98" s="9">
        <f t="shared" ref="H98:I98" si="31">SUMIF($K2:$K88,$D$98,H2:H88)</f>
        <v>500975</v>
      </c>
      <c r="I98" s="9">
        <f t="shared" si="31"/>
        <v>25</v>
      </c>
      <c r="M98" s="9"/>
      <c r="N98" s="9"/>
      <c r="O98" s="9"/>
      <c r="P98" s="9"/>
      <c r="Q98" s="9"/>
      <c r="R98" s="9"/>
    </row>
    <row r="99" spans="4:18" ht="15.75" customHeight="1" x14ac:dyDescent="0.3">
      <c r="E99" s="29">
        <f t="shared" ref="E99:F99" si="32">SUM(E96:E98)</f>
        <v>14304310.789999999</v>
      </c>
      <c r="F99" s="29">
        <f t="shared" si="32"/>
        <v>13803310.789999999</v>
      </c>
      <c r="G99" s="9"/>
      <c r="H99" s="9">
        <f>SUMIF($K2:$K95,$D$96,H2:H95)</f>
        <v>12275000</v>
      </c>
      <c r="I99" s="29">
        <f>SUM(I96:I98)</f>
        <v>600025</v>
      </c>
      <c r="M99" s="9"/>
      <c r="N99" s="9"/>
      <c r="O99" s="9"/>
      <c r="P99" s="9"/>
      <c r="Q99" s="9"/>
      <c r="R99" s="9"/>
    </row>
    <row r="100" spans="4:18" ht="15.75" customHeight="1" x14ac:dyDescent="0.3">
      <c r="E100" s="9">
        <f>E93-E99</f>
        <v>4480.0000000018626</v>
      </c>
      <c r="F100" s="9">
        <f>F99-S93</f>
        <v>13803310.789999999</v>
      </c>
      <c r="G100" s="9"/>
      <c r="H100" s="9">
        <f>SUMIF($K2:$K96,$D$96,H2:H96)</f>
        <v>12275000</v>
      </c>
      <c r="I100" s="9">
        <f>I93-I99</f>
        <v>0</v>
      </c>
      <c r="M100" s="9"/>
      <c r="N100" s="9"/>
      <c r="O100" s="9"/>
      <c r="P100" s="9"/>
      <c r="Q100" s="9"/>
      <c r="R100" s="9"/>
    </row>
    <row r="101" spans="4:18" ht="15.75" customHeight="1" x14ac:dyDescent="0.3">
      <c r="E101" s="9"/>
      <c r="F101" s="9"/>
      <c r="G101" s="9"/>
      <c r="H101" s="9"/>
      <c r="M101" s="9"/>
      <c r="N101" s="9"/>
      <c r="O101" s="9"/>
      <c r="P101" s="9"/>
      <c r="Q101" s="9"/>
      <c r="R101" s="9"/>
    </row>
    <row r="102" spans="4:18" ht="15.75" customHeight="1" x14ac:dyDescent="0.3">
      <c r="E102" s="9"/>
      <c r="F102" s="9"/>
      <c r="H102" s="9"/>
      <c r="M102" s="9"/>
      <c r="N102" s="9"/>
      <c r="O102" s="9"/>
      <c r="P102" s="9"/>
      <c r="Q102" s="9"/>
      <c r="R102" s="9"/>
    </row>
    <row r="103" spans="4:18" ht="15.75" customHeight="1" x14ac:dyDescent="0.3">
      <c r="E103" s="9"/>
      <c r="F103" s="9"/>
      <c r="H103" s="9"/>
      <c r="M103" s="9"/>
      <c r="N103" s="9"/>
      <c r="O103" s="9"/>
      <c r="P103" s="9"/>
      <c r="Q103" s="9"/>
      <c r="R103" s="9"/>
    </row>
    <row r="104" spans="4:18" ht="15.75" customHeight="1" x14ac:dyDescent="0.3">
      <c r="E104" s="9"/>
      <c r="F104" s="9"/>
      <c r="H104" s="9"/>
      <c r="M104" s="9"/>
      <c r="N104" s="9"/>
      <c r="O104" s="9"/>
      <c r="P104" s="9"/>
      <c r="Q104" s="9"/>
      <c r="R104" s="9"/>
    </row>
    <row r="105" spans="4:18" ht="15.75" customHeight="1" x14ac:dyDescent="0.3">
      <c r="E105" s="9"/>
      <c r="F105" s="9"/>
      <c r="H105" s="9"/>
      <c r="M105" s="9"/>
      <c r="N105" s="9"/>
      <c r="O105" s="9"/>
      <c r="P105" s="9"/>
      <c r="Q105" s="9"/>
      <c r="R105" s="9"/>
    </row>
    <row r="106" spans="4:18" ht="15.75" customHeight="1" x14ac:dyDescent="0.3">
      <c r="E106" s="9"/>
      <c r="F106" s="9"/>
      <c r="H106" s="9"/>
      <c r="M106" s="9"/>
      <c r="N106" s="9"/>
      <c r="O106" s="9"/>
      <c r="P106" s="9"/>
      <c r="Q106" s="9"/>
      <c r="R106" s="9"/>
    </row>
    <row r="107" spans="4:18" ht="15.75" customHeight="1" x14ac:dyDescent="0.3">
      <c r="E107" s="9"/>
      <c r="F107" s="9"/>
      <c r="H107" s="9"/>
      <c r="M107" s="9"/>
      <c r="N107" s="9"/>
      <c r="O107" s="9"/>
      <c r="P107" s="9"/>
      <c r="Q107" s="9"/>
      <c r="R107" s="9"/>
    </row>
    <row r="108" spans="4:18" ht="15.75" customHeight="1" x14ac:dyDescent="0.3">
      <c r="E108" s="9"/>
      <c r="F108" s="9"/>
      <c r="H108" s="9"/>
      <c r="M108" s="9"/>
      <c r="N108" s="9"/>
      <c r="O108" s="9"/>
      <c r="P108" s="9"/>
      <c r="Q108" s="9"/>
      <c r="R108" s="9"/>
    </row>
    <row r="109" spans="4:18" ht="15.75" customHeight="1" x14ac:dyDescent="0.3">
      <c r="E109" s="9"/>
      <c r="F109" s="9"/>
      <c r="H109" s="9"/>
      <c r="M109" s="9"/>
      <c r="N109" s="9"/>
      <c r="O109" s="9"/>
      <c r="P109" s="9"/>
      <c r="Q109" s="9"/>
      <c r="R109" s="9"/>
    </row>
    <row r="110" spans="4:18" ht="15.75" customHeight="1" x14ac:dyDescent="0.3">
      <c r="E110" s="9"/>
      <c r="F110" s="9"/>
      <c r="H110" s="9"/>
      <c r="M110" s="9"/>
      <c r="N110" s="9"/>
      <c r="O110" s="9"/>
      <c r="P110" s="9"/>
      <c r="Q110" s="9"/>
      <c r="R110" s="9"/>
    </row>
    <row r="111" spans="4:18" ht="15.75" customHeight="1" x14ac:dyDescent="0.3">
      <c r="E111" s="9"/>
      <c r="F111" s="9"/>
      <c r="H111" s="9"/>
      <c r="M111" s="9"/>
      <c r="N111" s="9"/>
      <c r="O111" s="9"/>
      <c r="P111" s="9"/>
      <c r="Q111" s="9"/>
      <c r="R111" s="9"/>
    </row>
    <row r="112" spans="4:18" ht="15.75" customHeight="1" x14ac:dyDescent="0.3">
      <c r="E112" s="9"/>
      <c r="F112" s="9"/>
      <c r="H112" s="9"/>
      <c r="M112" s="9"/>
      <c r="N112" s="9"/>
      <c r="O112" s="9"/>
      <c r="P112" s="9"/>
      <c r="Q112" s="9"/>
      <c r="R112" s="9"/>
    </row>
    <row r="113" spans="5:18" ht="15.75" customHeight="1" x14ac:dyDescent="0.3">
      <c r="E113" s="9"/>
      <c r="F113" s="9"/>
      <c r="H113" s="9"/>
      <c r="M113" s="9"/>
      <c r="N113" s="9"/>
      <c r="O113" s="9"/>
      <c r="P113" s="9"/>
      <c r="Q113" s="9"/>
      <c r="R113" s="9"/>
    </row>
    <row r="114" spans="5:18" ht="15.75" customHeight="1" x14ac:dyDescent="0.3">
      <c r="E114" s="9"/>
      <c r="F114" s="9"/>
      <c r="H114" s="9"/>
      <c r="M114" s="9"/>
      <c r="N114" s="9"/>
      <c r="O114" s="9"/>
      <c r="P114" s="9"/>
      <c r="Q114" s="9"/>
      <c r="R114" s="9"/>
    </row>
    <row r="115" spans="5:18" ht="15.75" customHeight="1" x14ac:dyDescent="0.3">
      <c r="E115" s="9"/>
      <c r="F115" s="9"/>
      <c r="H115" s="9"/>
      <c r="M115" s="9"/>
      <c r="N115" s="9"/>
      <c r="O115" s="9"/>
      <c r="P115" s="9"/>
      <c r="Q115" s="9"/>
      <c r="R115" s="9"/>
    </row>
    <row r="116" spans="5:18" ht="15.75" customHeight="1" x14ac:dyDescent="0.3">
      <c r="E116" s="9"/>
      <c r="F116" s="9"/>
      <c r="H116" s="9"/>
      <c r="M116" s="9"/>
      <c r="N116" s="9"/>
      <c r="O116" s="9"/>
      <c r="P116" s="9"/>
      <c r="Q116" s="9"/>
      <c r="R116" s="9"/>
    </row>
    <row r="117" spans="5:18" ht="15.75" customHeight="1" x14ac:dyDescent="0.3">
      <c r="E117" s="9"/>
      <c r="F117" s="9"/>
      <c r="H117" s="9"/>
      <c r="M117" s="9"/>
      <c r="N117" s="9"/>
      <c r="O117" s="9"/>
      <c r="P117" s="9"/>
      <c r="Q117" s="9"/>
      <c r="R117" s="9"/>
    </row>
    <row r="118" spans="5:18" ht="15.75" customHeight="1" x14ac:dyDescent="0.3">
      <c r="E118" s="9"/>
      <c r="F118" s="9"/>
      <c r="H118" s="9"/>
      <c r="M118" s="9"/>
      <c r="N118" s="9"/>
      <c r="O118" s="9"/>
      <c r="P118" s="9"/>
      <c r="Q118" s="9"/>
      <c r="R118" s="9"/>
    </row>
    <row r="119" spans="5:18" ht="15.75" customHeight="1" x14ac:dyDescent="0.3">
      <c r="E119" s="9"/>
      <c r="F119" s="9"/>
      <c r="H119" s="9"/>
      <c r="M119" s="9"/>
      <c r="N119" s="9"/>
      <c r="O119" s="9"/>
      <c r="P119" s="9"/>
      <c r="Q119" s="9"/>
      <c r="R119" s="9"/>
    </row>
    <row r="120" spans="5:18" ht="15.75" customHeight="1" x14ac:dyDescent="0.3">
      <c r="E120" s="9"/>
      <c r="F120" s="9"/>
      <c r="H120" s="9"/>
      <c r="M120" s="9"/>
      <c r="N120" s="9"/>
      <c r="O120" s="9"/>
      <c r="P120" s="9"/>
      <c r="Q120" s="9"/>
      <c r="R120" s="9"/>
    </row>
    <row r="121" spans="5:18" ht="15.75" customHeight="1" x14ac:dyDescent="0.3">
      <c r="E121" s="9"/>
      <c r="F121" s="9"/>
      <c r="H121" s="9"/>
      <c r="M121" s="9"/>
      <c r="N121" s="9"/>
      <c r="O121" s="9"/>
      <c r="P121" s="9"/>
      <c r="Q121" s="9"/>
      <c r="R121" s="9"/>
    </row>
    <row r="122" spans="5:18" ht="15.75" customHeight="1" x14ac:dyDescent="0.3">
      <c r="E122" s="9"/>
      <c r="F122" s="9"/>
      <c r="H122" s="9"/>
      <c r="M122" s="9"/>
      <c r="N122" s="9"/>
      <c r="O122" s="9"/>
      <c r="P122" s="9"/>
      <c r="Q122" s="9"/>
      <c r="R122" s="9"/>
    </row>
    <row r="123" spans="5:18" ht="15.75" customHeight="1" x14ac:dyDescent="0.3">
      <c r="E123" s="9"/>
      <c r="F123" s="9"/>
      <c r="H123" s="9"/>
      <c r="M123" s="9"/>
      <c r="N123" s="9"/>
      <c r="O123" s="9"/>
      <c r="P123" s="9"/>
      <c r="Q123" s="9"/>
      <c r="R123" s="9"/>
    </row>
    <row r="124" spans="5:18" ht="15.75" customHeight="1" x14ac:dyDescent="0.3">
      <c r="E124" s="9"/>
      <c r="F124" s="9"/>
      <c r="H124" s="9"/>
      <c r="M124" s="9"/>
      <c r="N124" s="9"/>
      <c r="O124" s="9"/>
      <c r="P124" s="9"/>
      <c r="Q124" s="9"/>
      <c r="R124" s="9"/>
    </row>
    <row r="125" spans="5:18" ht="15.75" customHeight="1" x14ac:dyDescent="0.3">
      <c r="E125" s="9"/>
      <c r="F125" s="9"/>
      <c r="H125" s="9"/>
      <c r="M125" s="9"/>
      <c r="N125" s="9"/>
      <c r="O125" s="9"/>
      <c r="P125" s="9"/>
      <c r="Q125" s="9"/>
      <c r="R125" s="9"/>
    </row>
    <row r="126" spans="5:18" ht="15.75" customHeight="1" x14ac:dyDescent="0.3">
      <c r="E126" s="9"/>
      <c r="F126" s="9"/>
      <c r="H126" s="9"/>
      <c r="M126" s="9"/>
      <c r="N126" s="9"/>
      <c r="O126" s="9"/>
      <c r="P126" s="9"/>
      <c r="Q126" s="9"/>
      <c r="R126" s="9"/>
    </row>
    <row r="127" spans="5:18" ht="15.75" customHeight="1" x14ac:dyDescent="0.3">
      <c r="E127" s="9"/>
      <c r="F127" s="9"/>
      <c r="H127" s="9"/>
      <c r="M127" s="9"/>
      <c r="N127" s="9"/>
      <c r="O127" s="9"/>
      <c r="P127" s="9"/>
      <c r="Q127" s="9"/>
      <c r="R127" s="9"/>
    </row>
    <row r="128" spans="5:18" ht="15.75" customHeight="1" x14ac:dyDescent="0.3">
      <c r="E128" s="9"/>
      <c r="F128" s="9"/>
      <c r="H128" s="9"/>
      <c r="M128" s="9"/>
      <c r="N128" s="9"/>
      <c r="O128" s="9"/>
      <c r="P128" s="9"/>
      <c r="Q128" s="9"/>
      <c r="R128" s="9"/>
    </row>
    <row r="129" spans="5:18" ht="15.75" customHeight="1" x14ac:dyDescent="0.3">
      <c r="E129" s="9"/>
      <c r="F129" s="9"/>
      <c r="H129" s="9"/>
      <c r="M129" s="9"/>
      <c r="N129" s="9"/>
      <c r="O129" s="9"/>
      <c r="P129" s="9"/>
      <c r="Q129" s="9"/>
      <c r="R129" s="9"/>
    </row>
    <row r="130" spans="5:18" ht="15.75" customHeight="1" x14ac:dyDescent="0.3">
      <c r="E130" s="9"/>
      <c r="F130" s="9"/>
      <c r="H130" s="9"/>
      <c r="M130" s="9"/>
      <c r="N130" s="9"/>
      <c r="O130" s="9"/>
      <c r="P130" s="9"/>
      <c r="Q130" s="9"/>
      <c r="R130" s="9"/>
    </row>
    <row r="131" spans="5:18" ht="15.75" customHeight="1" x14ac:dyDescent="0.3">
      <c r="E131" s="9"/>
      <c r="F131" s="9"/>
      <c r="H131" s="9"/>
      <c r="M131" s="9"/>
      <c r="N131" s="9"/>
      <c r="O131" s="9"/>
      <c r="P131" s="9"/>
      <c r="Q131" s="9"/>
      <c r="R131" s="9"/>
    </row>
    <row r="132" spans="5:18" ht="15.75" customHeight="1" x14ac:dyDescent="0.3">
      <c r="E132" s="9"/>
      <c r="F132" s="9"/>
      <c r="H132" s="9"/>
      <c r="M132" s="9"/>
      <c r="N132" s="9"/>
      <c r="O132" s="9"/>
      <c r="P132" s="9"/>
      <c r="Q132" s="9"/>
      <c r="R132" s="9"/>
    </row>
    <row r="133" spans="5:18" ht="15.75" customHeight="1" x14ac:dyDescent="0.3">
      <c r="E133" s="9"/>
      <c r="F133" s="9"/>
      <c r="H133" s="9"/>
      <c r="M133" s="9"/>
      <c r="N133" s="9"/>
      <c r="O133" s="9"/>
      <c r="P133" s="9"/>
      <c r="Q133" s="9"/>
      <c r="R133" s="9"/>
    </row>
    <row r="134" spans="5:18" ht="15.75" customHeight="1" x14ac:dyDescent="0.3">
      <c r="E134" s="9"/>
      <c r="F134" s="9"/>
      <c r="H134" s="9"/>
      <c r="M134" s="9"/>
      <c r="N134" s="9"/>
      <c r="O134" s="9"/>
      <c r="P134" s="9"/>
      <c r="Q134" s="9"/>
      <c r="R134" s="9"/>
    </row>
    <row r="135" spans="5:18" ht="15.75" customHeight="1" x14ac:dyDescent="0.3">
      <c r="E135" s="9"/>
      <c r="F135" s="9"/>
      <c r="H135" s="9"/>
      <c r="M135" s="9"/>
      <c r="N135" s="9"/>
      <c r="O135" s="9"/>
      <c r="P135" s="9"/>
      <c r="Q135" s="9"/>
      <c r="R135" s="9"/>
    </row>
    <row r="136" spans="5:18" ht="15.75" customHeight="1" x14ac:dyDescent="0.3">
      <c r="E136" s="9"/>
      <c r="F136" s="9"/>
      <c r="H136" s="9"/>
      <c r="M136" s="9"/>
      <c r="N136" s="9"/>
      <c r="O136" s="9"/>
      <c r="P136" s="9"/>
      <c r="Q136" s="9"/>
      <c r="R136" s="9"/>
    </row>
    <row r="137" spans="5:18" ht="15.75" customHeight="1" x14ac:dyDescent="0.3">
      <c r="E137" s="9"/>
      <c r="F137" s="9"/>
      <c r="H137" s="9"/>
      <c r="M137" s="9"/>
      <c r="N137" s="9"/>
      <c r="O137" s="9"/>
      <c r="P137" s="9"/>
      <c r="Q137" s="9"/>
      <c r="R137" s="9"/>
    </row>
    <row r="138" spans="5:18" ht="15.75" customHeight="1" x14ac:dyDescent="0.3">
      <c r="E138" s="9"/>
      <c r="F138" s="9"/>
      <c r="H138" s="9"/>
      <c r="M138" s="9"/>
      <c r="N138" s="9"/>
      <c r="O138" s="9"/>
      <c r="P138" s="9"/>
      <c r="Q138" s="9"/>
      <c r="R138" s="9"/>
    </row>
    <row r="139" spans="5:18" ht="15.75" customHeight="1" x14ac:dyDescent="0.3">
      <c r="E139" s="9"/>
      <c r="F139" s="9"/>
      <c r="H139" s="9"/>
      <c r="M139" s="9"/>
      <c r="N139" s="9"/>
      <c r="O139" s="9"/>
      <c r="P139" s="9"/>
      <c r="Q139" s="9"/>
      <c r="R139" s="9"/>
    </row>
    <row r="140" spans="5:18" ht="15.75" customHeight="1" x14ac:dyDescent="0.3">
      <c r="E140" s="9"/>
      <c r="F140" s="9"/>
      <c r="H140" s="9"/>
      <c r="M140" s="9"/>
      <c r="N140" s="9"/>
      <c r="O140" s="9"/>
      <c r="P140" s="9"/>
      <c r="Q140" s="9"/>
      <c r="R140" s="9"/>
    </row>
    <row r="141" spans="5:18" ht="15.75" customHeight="1" x14ac:dyDescent="0.3">
      <c r="E141" s="9"/>
      <c r="F141" s="9"/>
      <c r="H141" s="9"/>
      <c r="M141" s="9"/>
      <c r="N141" s="9"/>
      <c r="O141" s="9"/>
      <c r="P141" s="9"/>
      <c r="Q141" s="9"/>
      <c r="R141" s="9"/>
    </row>
    <row r="142" spans="5:18" ht="15.75" customHeight="1" x14ac:dyDescent="0.3">
      <c r="E142" s="9"/>
      <c r="F142" s="9"/>
      <c r="H142" s="9"/>
      <c r="M142" s="9"/>
      <c r="N142" s="9"/>
      <c r="O142" s="9"/>
      <c r="P142" s="9"/>
      <c r="Q142" s="9"/>
      <c r="R142" s="9"/>
    </row>
    <row r="143" spans="5:18" ht="15.75" customHeight="1" x14ac:dyDescent="0.3">
      <c r="E143" s="9"/>
      <c r="F143" s="9"/>
      <c r="H143" s="9"/>
      <c r="M143" s="9"/>
      <c r="N143" s="9"/>
      <c r="O143" s="9"/>
      <c r="P143" s="9"/>
      <c r="Q143" s="9"/>
      <c r="R143" s="9"/>
    </row>
    <row r="144" spans="5:18" ht="15.75" customHeight="1" x14ac:dyDescent="0.3">
      <c r="E144" s="9"/>
      <c r="F144" s="9"/>
      <c r="H144" s="9"/>
      <c r="M144" s="9"/>
      <c r="N144" s="9"/>
      <c r="O144" s="9"/>
      <c r="P144" s="9"/>
      <c r="Q144" s="9"/>
      <c r="R144" s="9"/>
    </row>
    <row r="145" spans="5:18" ht="15.75" customHeight="1" x14ac:dyDescent="0.3">
      <c r="E145" s="9"/>
      <c r="F145" s="9"/>
      <c r="H145" s="9"/>
      <c r="M145" s="9"/>
      <c r="N145" s="9"/>
      <c r="O145" s="9"/>
      <c r="P145" s="9"/>
      <c r="Q145" s="9"/>
      <c r="R145" s="9"/>
    </row>
    <row r="146" spans="5:18" ht="15.75" customHeight="1" x14ac:dyDescent="0.3">
      <c r="E146" s="9"/>
      <c r="F146" s="9"/>
      <c r="H146" s="9"/>
      <c r="M146" s="9"/>
      <c r="N146" s="9"/>
      <c r="O146" s="9"/>
      <c r="P146" s="9"/>
      <c r="Q146" s="9"/>
      <c r="R146" s="9"/>
    </row>
    <row r="147" spans="5:18" ht="15.75" customHeight="1" x14ac:dyDescent="0.3">
      <c r="E147" s="9"/>
      <c r="F147" s="9"/>
      <c r="H147" s="9"/>
      <c r="M147" s="9"/>
      <c r="N147" s="9"/>
      <c r="O147" s="9"/>
      <c r="P147" s="9"/>
      <c r="Q147" s="9"/>
      <c r="R147" s="9"/>
    </row>
    <row r="148" spans="5:18" ht="15.75" customHeight="1" x14ac:dyDescent="0.3">
      <c r="E148" s="9"/>
      <c r="F148" s="9"/>
      <c r="H148" s="9"/>
      <c r="M148" s="9"/>
      <c r="N148" s="9"/>
      <c r="O148" s="9"/>
      <c r="P148" s="9"/>
      <c r="Q148" s="9"/>
      <c r="R148" s="9"/>
    </row>
    <row r="149" spans="5:18" ht="15.75" customHeight="1" x14ac:dyDescent="0.3">
      <c r="E149" s="9"/>
      <c r="F149" s="9"/>
      <c r="H149" s="9"/>
      <c r="M149" s="9"/>
      <c r="N149" s="9"/>
      <c r="O149" s="9"/>
      <c r="P149" s="9"/>
      <c r="Q149" s="9"/>
      <c r="R149" s="9"/>
    </row>
    <row r="150" spans="5:18" ht="15.75" customHeight="1" x14ac:dyDescent="0.3">
      <c r="E150" s="9"/>
      <c r="F150" s="9"/>
      <c r="H150" s="9"/>
      <c r="M150" s="9"/>
      <c r="N150" s="9"/>
      <c r="O150" s="9"/>
      <c r="P150" s="9"/>
      <c r="Q150" s="9"/>
      <c r="R150" s="9"/>
    </row>
    <row r="151" spans="5:18" ht="15.75" customHeight="1" x14ac:dyDescent="0.3">
      <c r="E151" s="9"/>
      <c r="F151" s="9"/>
      <c r="H151" s="9"/>
      <c r="M151" s="9"/>
      <c r="N151" s="9"/>
      <c r="O151" s="9"/>
      <c r="P151" s="9"/>
      <c r="Q151" s="9"/>
      <c r="R151" s="9"/>
    </row>
    <row r="152" spans="5:18" ht="15.75" customHeight="1" x14ac:dyDescent="0.3">
      <c r="E152" s="9"/>
      <c r="F152" s="9"/>
      <c r="H152" s="9"/>
      <c r="M152" s="9"/>
      <c r="N152" s="9"/>
      <c r="O152" s="9"/>
      <c r="P152" s="9"/>
      <c r="Q152" s="9"/>
      <c r="R152" s="9"/>
    </row>
    <row r="153" spans="5:18" ht="15.75" customHeight="1" x14ac:dyDescent="0.3">
      <c r="E153" s="9"/>
      <c r="F153" s="9"/>
      <c r="H153" s="9"/>
      <c r="M153" s="9"/>
      <c r="N153" s="9"/>
      <c r="O153" s="9"/>
      <c r="P153" s="9"/>
      <c r="Q153" s="9"/>
      <c r="R153" s="9"/>
    </row>
    <row r="154" spans="5:18" ht="15.75" customHeight="1" x14ac:dyDescent="0.3">
      <c r="E154" s="9"/>
      <c r="F154" s="9"/>
      <c r="H154" s="9"/>
      <c r="M154" s="9"/>
      <c r="N154" s="9"/>
      <c r="O154" s="9"/>
      <c r="P154" s="9"/>
      <c r="Q154" s="9"/>
      <c r="R154" s="9"/>
    </row>
    <row r="155" spans="5:18" ht="15.75" customHeight="1" x14ac:dyDescent="0.3">
      <c r="E155" s="9"/>
      <c r="F155" s="9"/>
      <c r="H155" s="9"/>
      <c r="M155" s="9"/>
      <c r="N155" s="9"/>
      <c r="O155" s="9"/>
      <c r="P155" s="9"/>
      <c r="Q155" s="9"/>
      <c r="R155" s="9"/>
    </row>
    <row r="156" spans="5:18" ht="15.75" customHeight="1" x14ac:dyDescent="0.3">
      <c r="E156" s="9"/>
      <c r="F156" s="9"/>
      <c r="H156" s="9"/>
      <c r="M156" s="9"/>
      <c r="N156" s="9"/>
      <c r="O156" s="9"/>
      <c r="P156" s="9"/>
      <c r="Q156" s="9"/>
      <c r="R156" s="9"/>
    </row>
    <row r="157" spans="5:18" ht="15.75" customHeight="1" x14ac:dyDescent="0.3">
      <c r="E157" s="9"/>
      <c r="F157" s="9"/>
      <c r="H157" s="9"/>
      <c r="M157" s="9"/>
      <c r="N157" s="9"/>
      <c r="O157" s="9"/>
      <c r="P157" s="9"/>
      <c r="Q157" s="9"/>
      <c r="R157" s="9"/>
    </row>
    <row r="158" spans="5:18" ht="15.75" customHeight="1" x14ac:dyDescent="0.3">
      <c r="E158" s="9"/>
      <c r="F158" s="9"/>
      <c r="H158" s="9"/>
      <c r="M158" s="9"/>
      <c r="N158" s="9"/>
      <c r="O158" s="9"/>
      <c r="P158" s="9"/>
      <c r="Q158" s="9"/>
      <c r="R158" s="9"/>
    </row>
    <row r="159" spans="5:18" ht="15.75" customHeight="1" x14ac:dyDescent="0.3">
      <c r="E159" s="9"/>
      <c r="F159" s="9"/>
      <c r="H159" s="9"/>
      <c r="M159" s="9"/>
      <c r="N159" s="9"/>
      <c r="O159" s="9"/>
      <c r="P159" s="9"/>
      <c r="Q159" s="9"/>
      <c r="R159" s="9"/>
    </row>
    <row r="160" spans="5:18" ht="15.75" customHeight="1" x14ac:dyDescent="0.3">
      <c r="E160" s="9"/>
      <c r="F160" s="9"/>
      <c r="H160" s="9"/>
      <c r="M160" s="9"/>
      <c r="N160" s="9"/>
      <c r="O160" s="9"/>
      <c r="P160" s="9"/>
      <c r="Q160" s="9"/>
      <c r="R160" s="9"/>
    </row>
    <row r="161" spans="5:18" ht="15.75" customHeight="1" x14ac:dyDescent="0.3">
      <c r="E161" s="9"/>
      <c r="F161" s="9"/>
      <c r="H161" s="9"/>
      <c r="M161" s="9"/>
      <c r="N161" s="9"/>
      <c r="O161" s="9"/>
      <c r="P161" s="9"/>
      <c r="Q161" s="9"/>
      <c r="R161" s="9"/>
    </row>
    <row r="162" spans="5:18" ht="15.75" customHeight="1" x14ac:dyDescent="0.3">
      <c r="E162" s="9"/>
      <c r="F162" s="9"/>
      <c r="H162" s="9"/>
      <c r="M162" s="9"/>
      <c r="N162" s="9"/>
      <c r="O162" s="9"/>
      <c r="P162" s="9"/>
      <c r="Q162" s="9"/>
      <c r="R162" s="9"/>
    </row>
    <row r="163" spans="5:18" ht="15.75" customHeight="1" x14ac:dyDescent="0.3">
      <c r="E163" s="9"/>
      <c r="F163" s="9"/>
      <c r="H163" s="9"/>
      <c r="M163" s="9"/>
      <c r="N163" s="9"/>
      <c r="O163" s="9"/>
      <c r="P163" s="9"/>
      <c r="Q163" s="9"/>
      <c r="R163" s="9"/>
    </row>
    <row r="164" spans="5:18" ht="15.75" customHeight="1" x14ac:dyDescent="0.3">
      <c r="E164" s="9"/>
      <c r="F164" s="9"/>
      <c r="H164" s="9"/>
      <c r="M164" s="9"/>
      <c r="N164" s="9"/>
      <c r="O164" s="9"/>
      <c r="P164" s="9"/>
      <c r="Q164" s="9"/>
      <c r="R164" s="9"/>
    </row>
    <row r="165" spans="5:18" ht="15.75" customHeight="1" x14ac:dyDescent="0.3">
      <c r="E165" s="9"/>
      <c r="F165" s="9"/>
      <c r="H165" s="9"/>
      <c r="M165" s="9"/>
      <c r="N165" s="9"/>
      <c r="O165" s="9"/>
      <c r="P165" s="9"/>
      <c r="Q165" s="9"/>
      <c r="R165" s="9"/>
    </row>
    <row r="166" spans="5:18" ht="15.75" customHeight="1" x14ac:dyDescent="0.3">
      <c r="E166" s="9"/>
      <c r="F166" s="9"/>
      <c r="H166" s="9"/>
      <c r="M166" s="9"/>
      <c r="N166" s="9"/>
      <c r="O166" s="9"/>
      <c r="P166" s="9"/>
      <c r="Q166" s="9"/>
      <c r="R166" s="9"/>
    </row>
    <row r="167" spans="5:18" ht="15.75" customHeight="1" x14ac:dyDescent="0.3">
      <c r="E167" s="9"/>
      <c r="F167" s="9"/>
      <c r="H167" s="9"/>
      <c r="M167" s="9"/>
      <c r="N167" s="9"/>
      <c r="O167" s="9"/>
      <c r="P167" s="9"/>
      <c r="Q167" s="9"/>
      <c r="R167" s="9"/>
    </row>
    <row r="168" spans="5:18" ht="15.75" customHeight="1" x14ac:dyDescent="0.3">
      <c r="E168" s="9"/>
      <c r="F168" s="9"/>
      <c r="H168" s="9"/>
      <c r="M168" s="9"/>
      <c r="N168" s="9"/>
      <c r="O168" s="9"/>
      <c r="P168" s="9"/>
      <c r="Q168" s="9"/>
      <c r="R168" s="9"/>
    </row>
    <row r="169" spans="5:18" ht="15.75" customHeight="1" x14ac:dyDescent="0.3">
      <c r="E169" s="9"/>
      <c r="F169" s="9"/>
      <c r="H169" s="9"/>
      <c r="M169" s="9"/>
      <c r="N169" s="9"/>
      <c r="O169" s="9"/>
      <c r="P169" s="9"/>
      <c r="Q169" s="9"/>
      <c r="R169" s="9"/>
    </row>
    <row r="170" spans="5:18" ht="15.75" customHeight="1" x14ac:dyDescent="0.3">
      <c r="E170" s="9"/>
      <c r="F170" s="9"/>
      <c r="H170" s="9"/>
      <c r="M170" s="9"/>
      <c r="N170" s="9"/>
      <c r="O170" s="9"/>
      <c r="P170" s="9"/>
      <c r="Q170" s="9"/>
      <c r="R170" s="9"/>
    </row>
    <row r="171" spans="5:18" ht="15.75" customHeight="1" x14ac:dyDescent="0.3">
      <c r="E171" s="9"/>
      <c r="F171" s="9"/>
      <c r="H171" s="9"/>
      <c r="M171" s="9"/>
      <c r="N171" s="9"/>
      <c r="O171" s="9"/>
      <c r="P171" s="9"/>
      <c r="Q171" s="9"/>
      <c r="R171" s="9"/>
    </row>
    <row r="172" spans="5:18" ht="15.75" customHeight="1" x14ac:dyDescent="0.3">
      <c r="E172" s="9"/>
      <c r="F172" s="9"/>
      <c r="H172" s="9"/>
      <c r="M172" s="9"/>
      <c r="N172" s="9"/>
      <c r="O172" s="9"/>
      <c r="P172" s="9"/>
      <c r="Q172" s="9"/>
      <c r="R172" s="9"/>
    </row>
    <row r="173" spans="5:18" ht="15.75" customHeight="1" x14ac:dyDescent="0.3">
      <c r="E173" s="9"/>
      <c r="F173" s="9"/>
      <c r="H173" s="9"/>
      <c r="M173" s="9"/>
      <c r="N173" s="9"/>
      <c r="O173" s="9"/>
      <c r="P173" s="9"/>
      <c r="Q173" s="9"/>
      <c r="R173" s="9"/>
    </row>
    <row r="174" spans="5:18" ht="15.75" customHeight="1" x14ac:dyDescent="0.3">
      <c r="E174" s="9"/>
      <c r="F174" s="9"/>
      <c r="H174" s="9"/>
      <c r="M174" s="9"/>
      <c r="N174" s="9"/>
      <c r="O174" s="9"/>
      <c r="P174" s="9"/>
      <c r="Q174" s="9"/>
      <c r="R174" s="9"/>
    </row>
    <row r="175" spans="5:18" ht="15.75" customHeight="1" x14ac:dyDescent="0.3">
      <c r="E175" s="9"/>
      <c r="F175" s="9"/>
      <c r="H175" s="9"/>
      <c r="M175" s="9"/>
      <c r="N175" s="9"/>
      <c r="O175" s="9"/>
      <c r="P175" s="9"/>
      <c r="Q175" s="9"/>
      <c r="R175" s="9"/>
    </row>
    <row r="176" spans="5:18" ht="15.75" customHeight="1" x14ac:dyDescent="0.3">
      <c r="E176" s="9"/>
      <c r="F176" s="9"/>
      <c r="H176" s="9"/>
      <c r="M176" s="9"/>
      <c r="N176" s="9"/>
      <c r="O176" s="9"/>
      <c r="P176" s="9"/>
      <c r="Q176" s="9"/>
      <c r="R176" s="9"/>
    </row>
    <row r="177" spans="5:18" ht="15.75" customHeight="1" x14ac:dyDescent="0.3">
      <c r="E177" s="9"/>
      <c r="F177" s="9"/>
      <c r="H177" s="9"/>
      <c r="M177" s="9"/>
      <c r="N177" s="9"/>
      <c r="O177" s="9"/>
      <c r="P177" s="9"/>
      <c r="Q177" s="9"/>
      <c r="R177" s="9"/>
    </row>
    <row r="178" spans="5:18" ht="15.75" customHeight="1" x14ac:dyDescent="0.3">
      <c r="E178" s="9"/>
      <c r="F178" s="9"/>
      <c r="H178" s="9"/>
      <c r="M178" s="9"/>
      <c r="N178" s="9"/>
      <c r="O178" s="9"/>
      <c r="P178" s="9"/>
      <c r="Q178" s="9"/>
      <c r="R178" s="9"/>
    </row>
    <row r="179" spans="5:18" ht="15.75" customHeight="1" x14ac:dyDescent="0.3">
      <c r="E179" s="9"/>
      <c r="F179" s="9"/>
      <c r="H179" s="9"/>
      <c r="M179" s="9"/>
      <c r="N179" s="9"/>
      <c r="O179" s="9"/>
      <c r="P179" s="9"/>
      <c r="Q179" s="9"/>
      <c r="R179" s="9"/>
    </row>
    <row r="180" spans="5:18" ht="15.75" customHeight="1" x14ac:dyDescent="0.3">
      <c r="E180" s="9"/>
      <c r="F180" s="9"/>
      <c r="H180" s="9"/>
      <c r="M180" s="9"/>
      <c r="N180" s="9"/>
      <c r="O180" s="9"/>
      <c r="P180" s="9"/>
      <c r="Q180" s="9"/>
      <c r="R180" s="9"/>
    </row>
    <row r="181" spans="5:18" ht="15.75" customHeight="1" x14ac:dyDescent="0.3">
      <c r="E181" s="9"/>
      <c r="F181" s="9"/>
      <c r="H181" s="9"/>
      <c r="M181" s="9"/>
      <c r="N181" s="9"/>
      <c r="O181" s="9"/>
      <c r="P181" s="9"/>
      <c r="Q181" s="9"/>
      <c r="R181" s="9"/>
    </row>
    <row r="182" spans="5:18" ht="15.75" customHeight="1" x14ac:dyDescent="0.3">
      <c r="E182" s="9"/>
      <c r="F182" s="9"/>
      <c r="H182" s="9"/>
      <c r="M182" s="9"/>
      <c r="N182" s="9"/>
      <c r="O182" s="9"/>
      <c r="P182" s="9"/>
      <c r="Q182" s="9"/>
      <c r="R182" s="9"/>
    </row>
    <row r="183" spans="5:18" ht="15.75" customHeight="1" x14ac:dyDescent="0.3">
      <c r="E183" s="9"/>
      <c r="F183" s="9"/>
      <c r="H183" s="9"/>
      <c r="M183" s="9"/>
      <c r="N183" s="9"/>
      <c r="O183" s="9"/>
      <c r="P183" s="9"/>
      <c r="Q183" s="9"/>
      <c r="R183" s="9"/>
    </row>
    <row r="184" spans="5:18" ht="15.75" customHeight="1" x14ac:dyDescent="0.3">
      <c r="E184" s="9"/>
      <c r="F184" s="9"/>
      <c r="H184" s="9"/>
      <c r="M184" s="9"/>
      <c r="N184" s="9"/>
      <c r="O184" s="9"/>
      <c r="P184" s="9"/>
      <c r="Q184" s="9"/>
      <c r="R184" s="9"/>
    </row>
    <row r="185" spans="5:18" ht="15.75" customHeight="1" x14ac:dyDescent="0.3">
      <c r="E185" s="9"/>
      <c r="F185" s="9"/>
      <c r="H185" s="9"/>
      <c r="M185" s="9"/>
      <c r="N185" s="9"/>
      <c r="O185" s="9"/>
      <c r="P185" s="9"/>
      <c r="Q185" s="9"/>
      <c r="R185" s="9"/>
    </row>
    <row r="186" spans="5:18" ht="15.75" customHeight="1" x14ac:dyDescent="0.3">
      <c r="E186" s="9"/>
      <c r="F186" s="9"/>
      <c r="H186" s="9"/>
      <c r="M186" s="9"/>
      <c r="N186" s="9"/>
      <c r="O186" s="9"/>
      <c r="P186" s="9"/>
      <c r="Q186" s="9"/>
      <c r="R186" s="9"/>
    </row>
    <row r="187" spans="5:18" ht="15.75" customHeight="1" x14ac:dyDescent="0.3">
      <c r="E187" s="9"/>
      <c r="F187" s="9"/>
      <c r="H187" s="9"/>
      <c r="M187" s="9"/>
      <c r="N187" s="9"/>
      <c r="O187" s="9"/>
      <c r="P187" s="9"/>
      <c r="Q187" s="9"/>
      <c r="R187" s="9"/>
    </row>
    <row r="188" spans="5:18" ht="15.75" customHeight="1" x14ac:dyDescent="0.3">
      <c r="E188" s="9"/>
      <c r="F188" s="9"/>
      <c r="H188" s="9"/>
      <c r="M188" s="9"/>
      <c r="N188" s="9"/>
      <c r="O188" s="9"/>
      <c r="P188" s="9"/>
      <c r="Q188" s="9"/>
      <c r="R188" s="9"/>
    </row>
    <row r="189" spans="5:18" ht="15.75" customHeight="1" x14ac:dyDescent="0.3">
      <c r="E189" s="9"/>
      <c r="F189" s="9"/>
      <c r="H189" s="9"/>
      <c r="M189" s="9"/>
      <c r="N189" s="9"/>
      <c r="O189" s="9"/>
      <c r="P189" s="9"/>
      <c r="Q189" s="9"/>
      <c r="R189" s="9"/>
    </row>
    <row r="190" spans="5:18" ht="15.75" customHeight="1" x14ac:dyDescent="0.3">
      <c r="E190" s="9"/>
      <c r="F190" s="9"/>
      <c r="H190" s="9"/>
      <c r="M190" s="9"/>
      <c r="N190" s="9"/>
      <c r="O190" s="9"/>
      <c r="P190" s="9"/>
      <c r="Q190" s="9"/>
      <c r="R190" s="9"/>
    </row>
    <row r="191" spans="5:18" ht="15.75" customHeight="1" x14ac:dyDescent="0.3">
      <c r="E191" s="9"/>
      <c r="F191" s="9"/>
      <c r="H191" s="9"/>
      <c r="M191" s="9"/>
      <c r="N191" s="9"/>
      <c r="O191" s="9"/>
      <c r="P191" s="9"/>
      <c r="Q191" s="9"/>
      <c r="R191" s="9"/>
    </row>
    <row r="192" spans="5:18" ht="15.75" customHeight="1" x14ac:dyDescent="0.3">
      <c r="E192" s="9"/>
      <c r="F192" s="9"/>
      <c r="H192" s="9"/>
      <c r="M192" s="9"/>
      <c r="N192" s="9"/>
      <c r="O192" s="9"/>
      <c r="P192" s="9"/>
      <c r="Q192" s="9"/>
      <c r="R192" s="9"/>
    </row>
    <row r="193" spans="5:18" ht="15.75" customHeight="1" x14ac:dyDescent="0.3">
      <c r="E193" s="9"/>
      <c r="F193" s="9"/>
      <c r="H193" s="9"/>
      <c r="M193" s="9"/>
      <c r="N193" s="9"/>
      <c r="O193" s="9"/>
      <c r="P193" s="9"/>
      <c r="Q193" s="9"/>
      <c r="R193" s="9"/>
    </row>
    <row r="194" spans="5:18" ht="15.75" customHeight="1" x14ac:dyDescent="0.3">
      <c r="E194" s="9"/>
      <c r="F194" s="9"/>
      <c r="H194" s="9"/>
      <c r="M194" s="9"/>
      <c r="N194" s="9"/>
      <c r="O194" s="9"/>
      <c r="P194" s="9"/>
      <c r="Q194" s="9"/>
      <c r="R194" s="9"/>
    </row>
    <row r="195" spans="5:18" ht="15.75" customHeight="1" x14ac:dyDescent="0.3">
      <c r="E195" s="9"/>
      <c r="F195" s="9"/>
      <c r="H195" s="9"/>
      <c r="M195" s="9"/>
      <c r="N195" s="9"/>
      <c r="O195" s="9"/>
      <c r="P195" s="9"/>
      <c r="Q195" s="9"/>
      <c r="R195" s="9"/>
    </row>
    <row r="196" spans="5:18" ht="15.75" customHeight="1" x14ac:dyDescent="0.3">
      <c r="E196" s="9"/>
      <c r="F196" s="9"/>
      <c r="H196" s="9"/>
      <c r="M196" s="9"/>
      <c r="N196" s="9"/>
      <c r="O196" s="9"/>
      <c r="P196" s="9"/>
      <c r="Q196" s="9"/>
      <c r="R196" s="9"/>
    </row>
    <row r="197" spans="5:18" ht="15.75" customHeight="1" x14ac:dyDescent="0.3">
      <c r="E197" s="9"/>
      <c r="F197" s="9"/>
      <c r="H197" s="9"/>
      <c r="M197" s="9"/>
      <c r="N197" s="9"/>
      <c r="O197" s="9"/>
      <c r="P197" s="9"/>
      <c r="Q197" s="9"/>
      <c r="R197" s="9"/>
    </row>
    <row r="198" spans="5:18" ht="15.75" customHeight="1" x14ac:dyDescent="0.3">
      <c r="E198" s="9"/>
      <c r="F198" s="9"/>
      <c r="H198" s="9"/>
      <c r="M198" s="9"/>
      <c r="N198" s="9"/>
      <c r="O198" s="9"/>
      <c r="P198" s="9"/>
      <c r="Q198" s="9"/>
      <c r="R198" s="9"/>
    </row>
    <row r="199" spans="5:18" ht="15.75" customHeight="1" x14ac:dyDescent="0.3">
      <c r="E199" s="9"/>
      <c r="F199" s="9"/>
      <c r="H199" s="9"/>
      <c r="M199" s="9"/>
      <c r="N199" s="9"/>
      <c r="O199" s="9"/>
      <c r="P199" s="9"/>
      <c r="Q199" s="9"/>
      <c r="R199" s="9"/>
    </row>
    <row r="200" spans="5:18" ht="15.75" customHeight="1" x14ac:dyDescent="0.3">
      <c r="E200" s="9"/>
      <c r="F200" s="9"/>
      <c r="H200" s="9"/>
      <c r="M200" s="9"/>
      <c r="N200" s="9"/>
      <c r="O200" s="9"/>
      <c r="P200" s="9"/>
      <c r="Q200" s="9"/>
      <c r="R200" s="9"/>
    </row>
    <row r="201" spans="5:18" ht="15.75" customHeight="1" x14ac:dyDescent="0.3">
      <c r="E201" s="9"/>
      <c r="F201" s="9"/>
      <c r="H201" s="9"/>
      <c r="M201" s="9"/>
      <c r="N201" s="9"/>
      <c r="O201" s="9"/>
      <c r="P201" s="9"/>
      <c r="Q201" s="9"/>
      <c r="R201" s="9"/>
    </row>
    <row r="202" spans="5:18" ht="15.75" customHeight="1" x14ac:dyDescent="0.3">
      <c r="E202" s="9"/>
      <c r="F202" s="9"/>
      <c r="H202" s="9"/>
      <c r="M202" s="9"/>
      <c r="N202" s="9"/>
      <c r="O202" s="9"/>
      <c r="P202" s="9"/>
      <c r="Q202" s="9"/>
      <c r="R202" s="9"/>
    </row>
    <row r="203" spans="5:18" ht="15.75" customHeight="1" x14ac:dyDescent="0.3">
      <c r="E203" s="9"/>
      <c r="F203" s="9"/>
      <c r="H203" s="9"/>
      <c r="M203" s="9"/>
      <c r="N203" s="9"/>
      <c r="O203" s="9"/>
      <c r="P203" s="9"/>
      <c r="Q203" s="9"/>
      <c r="R203" s="9"/>
    </row>
    <row r="204" spans="5:18" ht="15.75" customHeight="1" x14ac:dyDescent="0.3">
      <c r="E204" s="9"/>
      <c r="F204" s="9"/>
      <c r="H204" s="9"/>
      <c r="M204" s="9"/>
      <c r="N204" s="9"/>
      <c r="O204" s="9"/>
      <c r="P204" s="9"/>
      <c r="Q204" s="9"/>
      <c r="R204" s="9"/>
    </row>
    <row r="205" spans="5:18" ht="15.75" customHeight="1" x14ac:dyDescent="0.3">
      <c r="E205" s="9"/>
      <c r="F205" s="9"/>
      <c r="H205" s="9"/>
      <c r="M205" s="9"/>
      <c r="N205" s="9"/>
      <c r="O205" s="9"/>
      <c r="P205" s="9"/>
      <c r="Q205" s="9"/>
      <c r="R205" s="9"/>
    </row>
    <row r="206" spans="5:18" ht="15.75" customHeight="1" x14ac:dyDescent="0.3">
      <c r="E206" s="9"/>
      <c r="F206" s="9"/>
      <c r="H206" s="9"/>
      <c r="M206" s="9"/>
      <c r="N206" s="9"/>
      <c r="O206" s="9"/>
      <c r="P206" s="9"/>
      <c r="Q206" s="9"/>
      <c r="R206" s="9"/>
    </row>
    <row r="207" spans="5:18" ht="15.75" customHeight="1" x14ac:dyDescent="0.3">
      <c r="E207" s="9"/>
      <c r="F207" s="9"/>
      <c r="H207" s="9"/>
      <c r="M207" s="9"/>
      <c r="N207" s="9"/>
      <c r="O207" s="9"/>
      <c r="P207" s="9"/>
      <c r="Q207" s="9"/>
      <c r="R207" s="9"/>
    </row>
    <row r="208" spans="5:18" ht="15.75" customHeight="1" x14ac:dyDescent="0.3">
      <c r="E208" s="9"/>
      <c r="F208" s="9"/>
      <c r="H208" s="9"/>
      <c r="M208" s="9"/>
      <c r="N208" s="9"/>
      <c r="O208" s="9"/>
      <c r="P208" s="9"/>
      <c r="Q208" s="9"/>
      <c r="R208" s="9"/>
    </row>
    <row r="209" spans="5:18" ht="15.75" customHeight="1" x14ac:dyDescent="0.3">
      <c r="E209" s="9"/>
      <c r="F209" s="9"/>
      <c r="H209" s="9"/>
      <c r="M209" s="9"/>
      <c r="N209" s="9"/>
      <c r="O209" s="9"/>
      <c r="P209" s="9"/>
      <c r="Q209" s="9"/>
      <c r="R209" s="9"/>
    </row>
    <row r="210" spans="5:18" ht="15.75" customHeight="1" x14ac:dyDescent="0.3">
      <c r="E210" s="9"/>
      <c r="F210" s="9"/>
      <c r="H210" s="9"/>
      <c r="M210" s="9"/>
      <c r="N210" s="9"/>
      <c r="O210" s="9"/>
      <c r="P210" s="9"/>
      <c r="Q210" s="9"/>
      <c r="R210" s="9"/>
    </row>
    <row r="211" spans="5:18" ht="15.75" customHeight="1" x14ac:dyDescent="0.3">
      <c r="E211" s="9"/>
      <c r="F211" s="9"/>
      <c r="H211" s="9"/>
      <c r="M211" s="9"/>
      <c r="N211" s="9"/>
      <c r="O211" s="9"/>
      <c r="P211" s="9"/>
      <c r="Q211" s="9"/>
      <c r="R211" s="9"/>
    </row>
    <row r="212" spans="5:18" ht="15.75" customHeight="1" x14ac:dyDescent="0.3">
      <c r="E212" s="9"/>
      <c r="F212" s="9"/>
      <c r="H212" s="9"/>
      <c r="M212" s="9"/>
      <c r="N212" s="9"/>
      <c r="O212" s="9"/>
      <c r="P212" s="9"/>
      <c r="Q212" s="9"/>
      <c r="R212" s="9"/>
    </row>
    <row r="213" spans="5:18" ht="15.75" customHeight="1" x14ac:dyDescent="0.3">
      <c r="E213" s="9"/>
      <c r="F213" s="9"/>
      <c r="H213" s="9"/>
      <c r="M213" s="9"/>
      <c r="N213" s="9"/>
      <c r="O213" s="9"/>
      <c r="P213" s="9"/>
      <c r="Q213" s="9"/>
      <c r="R213" s="9"/>
    </row>
    <row r="214" spans="5:18" ht="15.75" customHeight="1" x14ac:dyDescent="0.3">
      <c r="E214" s="9"/>
      <c r="F214" s="9"/>
      <c r="H214" s="9"/>
      <c r="M214" s="9"/>
      <c r="N214" s="9"/>
      <c r="O214" s="9"/>
      <c r="P214" s="9"/>
      <c r="Q214" s="9"/>
      <c r="R214" s="9"/>
    </row>
    <row r="215" spans="5:18" ht="15.75" customHeight="1" x14ac:dyDescent="0.3">
      <c r="E215" s="9"/>
      <c r="F215" s="9"/>
      <c r="H215" s="9"/>
      <c r="M215" s="9"/>
      <c r="N215" s="9"/>
      <c r="O215" s="9"/>
      <c r="P215" s="9"/>
      <c r="Q215" s="9"/>
      <c r="R215" s="9"/>
    </row>
    <row r="216" spans="5:18" ht="15.75" customHeight="1" x14ac:dyDescent="0.3">
      <c r="E216" s="9"/>
      <c r="F216" s="9"/>
      <c r="H216" s="9"/>
      <c r="M216" s="9"/>
      <c r="N216" s="9"/>
      <c r="O216" s="9"/>
      <c r="P216" s="9"/>
      <c r="Q216" s="9"/>
      <c r="R216" s="9"/>
    </row>
    <row r="217" spans="5:18" ht="15.75" customHeight="1" x14ac:dyDescent="0.3">
      <c r="E217" s="9"/>
      <c r="F217" s="9"/>
      <c r="H217" s="9"/>
      <c r="M217" s="9"/>
      <c r="N217" s="9"/>
      <c r="O217" s="9"/>
      <c r="P217" s="9"/>
      <c r="Q217" s="9"/>
      <c r="R217" s="9"/>
    </row>
    <row r="218" spans="5:18" ht="15.75" customHeight="1" x14ac:dyDescent="0.3">
      <c r="E218" s="9"/>
      <c r="F218" s="9"/>
      <c r="H218" s="9"/>
      <c r="M218" s="9"/>
      <c r="N218" s="9"/>
      <c r="O218" s="9"/>
      <c r="P218" s="9"/>
      <c r="Q218" s="9"/>
      <c r="R218" s="9"/>
    </row>
    <row r="219" spans="5:18" ht="15.75" customHeight="1" x14ac:dyDescent="0.3">
      <c r="E219" s="9"/>
      <c r="F219" s="9"/>
      <c r="H219" s="9"/>
      <c r="M219" s="9"/>
      <c r="N219" s="9"/>
      <c r="O219" s="9"/>
      <c r="P219" s="9"/>
      <c r="Q219" s="9"/>
      <c r="R219" s="9"/>
    </row>
    <row r="220" spans="5:18" ht="15.75" customHeight="1" x14ac:dyDescent="0.3">
      <c r="E220" s="9"/>
      <c r="F220" s="9"/>
      <c r="H220" s="9"/>
      <c r="M220" s="9"/>
      <c r="N220" s="9"/>
      <c r="O220" s="9"/>
      <c r="P220" s="9"/>
      <c r="Q220" s="9"/>
      <c r="R220" s="9"/>
    </row>
    <row r="221" spans="5:18" ht="15.75" customHeight="1" x14ac:dyDescent="0.3">
      <c r="E221" s="9"/>
      <c r="F221" s="9"/>
      <c r="H221" s="9"/>
      <c r="M221" s="9"/>
      <c r="N221" s="9"/>
      <c r="O221" s="9"/>
      <c r="P221" s="9"/>
      <c r="Q221" s="9"/>
      <c r="R221" s="9"/>
    </row>
    <row r="222" spans="5:18" ht="15.75" customHeight="1" x14ac:dyDescent="0.3">
      <c r="E222" s="9"/>
      <c r="F222" s="9"/>
      <c r="H222" s="9"/>
      <c r="M222" s="9"/>
      <c r="N222" s="9"/>
      <c r="O222" s="9"/>
      <c r="P222" s="9"/>
      <c r="Q222" s="9"/>
      <c r="R222" s="9"/>
    </row>
    <row r="223" spans="5:18" ht="15.75" customHeight="1" x14ac:dyDescent="0.3">
      <c r="E223" s="9"/>
      <c r="F223" s="9"/>
      <c r="H223" s="9"/>
      <c r="M223" s="9"/>
      <c r="N223" s="9"/>
      <c r="O223" s="9"/>
      <c r="P223" s="9"/>
      <c r="Q223" s="9"/>
      <c r="R223" s="9"/>
    </row>
    <row r="224" spans="5:18" ht="15.75" customHeight="1" x14ac:dyDescent="0.3">
      <c r="E224" s="9"/>
      <c r="F224" s="9"/>
      <c r="H224" s="9"/>
      <c r="M224" s="9"/>
      <c r="N224" s="9"/>
      <c r="O224" s="9"/>
      <c r="P224" s="9"/>
      <c r="Q224" s="9"/>
      <c r="R224" s="9"/>
    </row>
    <row r="225" spans="5:18" ht="15.75" customHeight="1" x14ac:dyDescent="0.3">
      <c r="E225" s="9"/>
      <c r="F225" s="9"/>
      <c r="H225" s="9"/>
      <c r="M225" s="9"/>
      <c r="N225" s="9"/>
      <c r="O225" s="9"/>
      <c r="P225" s="9"/>
      <c r="Q225" s="9"/>
      <c r="R225" s="9"/>
    </row>
    <row r="226" spans="5:18" ht="15.75" customHeight="1" x14ac:dyDescent="0.3">
      <c r="E226" s="9"/>
      <c r="F226" s="9"/>
      <c r="H226" s="9"/>
      <c r="M226" s="9"/>
      <c r="N226" s="9"/>
      <c r="O226" s="9"/>
      <c r="P226" s="9"/>
      <c r="Q226" s="9"/>
      <c r="R226" s="9"/>
    </row>
    <row r="227" spans="5:18" ht="15.75" customHeight="1" x14ac:dyDescent="0.3">
      <c r="E227" s="9"/>
      <c r="F227" s="9"/>
      <c r="H227" s="9"/>
      <c r="M227" s="9"/>
      <c r="N227" s="9"/>
      <c r="O227" s="9"/>
      <c r="P227" s="9"/>
      <c r="Q227" s="9"/>
      <c r="R227" s="9"/>
    </row>
    <row r="228" spans="5:18" ht="15.75" customHeight="1" x14ac:dyDescent="0.3">
      <c r="E228" s="9"/>
      <c r="F228" s="9"/>
      <c r="H228" s="9"/>
      <c r="M228" s="9"/>
      <c r="N228" s="9"/>
      <c r="O228" s="9"/>
      <c r="P228" s="9"/>
      <c r="Q228" s="9"/>
      <c r="R228" s="9"/>
    </row>
    <row r="229" spans="5:18" ht="15.75" customHeight="1" x14ac:dyDescent="0.3">
      <c r="E229" s="9"/>
      <c r="F229" s="9"/>
      <c r="H229" s="9"/>
      <c r="M229" s="9"/>
      <c r="N229" s="9"/>
      <c r="O229" s="9"/>
      <c r="P229" s="9"/>
      <c r="Q229" s="9"/>
      <c r="R229" s="9"/>
    </row>
    <row r="230" spans="5:18" ht="15.75" customHeight="1" x14ac:dyDescent="0.3">
      <c r="E230" s="9"/>
      <c r="F230" s="9"/>
      <c r="H230" s="9"/>
      <c r="M230" s="9"/>
      <c r="N230" s="9"/>
      <c r="O230" s="9"/>
      <c r="P230" s="9"/>
      <c r="Q230" s="9"/>
      <c r="R230" s="9"/>
    </row>
    <row r="231" spans="5:18" ht="15.75" customHeight="1" x14ac:dyDescent="0.3">
      <c r="E231" s="9"/>
      <c r="F231" s="9"/>
      <c r="H231" s="9"/>
      <c r="M231" s="9"/>
      <c r="N231" s="9"/>
      <c r="O231" s="9"/>
      <c r="P231" s="9"/>
      <c r="Q231" s="9"/>
      <c r="R231" s="9"/>
    </row>
    <row r="232" spans="5:18" ht="15.75" customHeight="1" x14ac:dyDescent="0.3">
      <c r="E232" s="9"/>
      <c r="F232" s="9"/>
      <c r="H232" s="9"/>
      <c r="M232" s="9"/>
      <c r="N232" s="9"/>
      <c r="O232" s="9"/>
      <c r="P232" s="9"/>
      <c r="Q232" s="9"/>
      <c r="R232" s="9"/>
    </row>
    <row r="233" spans="5:18" ht="15.75" customHeight="1" x14ac:dyDescent="0.3">
      <c r="E233" s="9"/>
      <c r="F233" s="9"/>
      <c r="H233" s="9"/>
      <c r="M233" s="9"/>
      <c r="N233" s="9"/>
      <c r="O233" s="9"/>
      <c r="P233" s="9"/>
      <c r="Q233" s="9"/>
      <c r="R233" s="9"/>
    </row>
    <row r="234" spans="5:18" ht="15.75" customHeight="1" x14ac:dyDescent="0.3">
      <c r="E234" s="9"/>
      <c r="F234" s="9"/>
      <c r="H234" s="9"/>
      <c r="M234" s="9"/>
      <c r="N234" s="9"/>
      <c r="O234" s="9"/>
      <c r="P234" s="9"/>
      <c r="Q234" s="9"/>
      <c r="R234" s="9"/>
    </row>
    <row r="235" spans="5:18" ht="15.75" customHeight="1" x14ac:dyDescent="0.3">
      <c r="E235" s="9"/>
      <c r="F235" s="9"/>
      <c r="H235" s="9"/>
      <c r="M235" s="9"/>
      <c r="N235" s="9"/>
      <c r="O235" s="9"/>
      <c r="P235" s="9"/>
      <c r="Q235" s="9"/>
      <c r="R235" s="9"/>
    </row>
    <row r="236" spans="5:18" ht="15.75" customHeight="1" x14ac:dyDescent="0.3">
      <c r="E236" s="9"/>
      <c r="F236" s="9"/>
      <c r="H236" s="9"/>
      <c r="M236" s="9"/>
      <c r="N236" s="9"/>
      <c r="O236" s="9"/>
      <c r="P236" s="9"/>
      <c r="Q236" s="9"/>
      <c r="R236" s="9"/>
    </row>
    <row r="237" spans="5:18" ht="15.75" customHeight="1" x14ac:dyDescent="0.3">
      <c r="E237" s="9"/>
      <c r="F237" s="9"/>
      <c r="H237" s="9"/>
      <c r="M237" s="9"/>
      <c r="N237" s="9"/>
      <c r="O237" s="9"/>
      <c r="P237" s="9"/>
      <c r="Q237" s="9"/>
      <c r="R237" s="9"/>
    </row>
    <row r="238" spans="5:18" ht="15.75" customHeight="1" x14ac:dyDescent="0.3">
      <c r="E238" s="9"/>
      <c r="F238" s="9"/>
      <c r="H238" s="9"/>
      <c r="M238" s="9"/>
      <c r="N238" s="9"/>
      <c r="O238" s="9"/>
      <c r="P238" s="9"/>
      <c r="Q238" s="9"/>
      <c r="R238" s="9"/>
    </row>
    <row r="239" spans="5:18" ht="15.75" customHeight="1" x14ac:dyDescent="0.3">
      <c r="E239" s="9"/>
      <c r="F239" s="9"/>
      <c r="H239" s="9"/>
      <c r="M239" s="9"/>
      <c r="N239" s="9"/>
      <c r="O239" s="9"/>
      <c r="P239" s="9"/>
      <c r="Q239" s="9"/>
      <c r="R239" s="9"/>
    </row>
    <row r="240" spans="5:18" ht="15.75" customHeight="1" x14ac:dyDescent="0.3">
      <c r="E240" s="9"/>
      <c r="F240" s="9"/>
      <c r="H240" s="9"/>
      <c r="M240" s="9"/>
      <c r="N240" s="9"/>
      <c r="O240" s="9"/>
      <c r="P240" s="9"/>
      <c r="Q240" s="9"/>
      <c r="R240" s="9"/>
    </row>
    <row r="241" spans="5:18" ht="15.75" customHeight="1" x14ac:dyDescent="0.3">
      <c r="E241" s="9"/>
      <c r="F241" s="9"/>
      <c r="H241" s="9"/>
      <c r="M241" s="9"/>
      <c r="N241" s="9"/>
      <c r="O241" s="9"/>
      <c r="P241" s="9"/>
      <c r="Q241" s="9"/>
      <c r="R241" s="9"/>
    </row>
    <row r="242" spans="5:18" ht="15.75" customHeight="1" x14ac:dyDescent="0.3">
      <c r="E242" s="9"/>
      <c r="F242" s="9"/>
      <c r="H242" s="9"/>
      <c r="M242" s="9"/>
      <c r="N242" s="9"/>
      <c r="O242" s="9"/>
      <c r="P242" s="9"/>
      <c r="Q242" s="9"/>
      <c r="R242" s="9"/>
    </row>
    <row r="243" spans="5:18" ht="15.75" customHeight="1" x14ac:dyDescent="0.3">
      <c r="E243" s="9"/>
      <c r="F243" s="9"/>
      <c r="H243" s="9"/>
      <c r="M243" s="9"/>
      <c r="N243" s="9"/>
      <c r="O243" s="9"/>
      <c r="P243" s="9"/>
      <c r="Q243" s="9"/>
      <c r="R243" s="9"/>
    </row>
    <row r="244" spans="5:18" ht="15.75" customHeight="1" x14ac:dyDescent="0.3">
      <c r="E244" s="9"/>
      <c r="F244" s="9"/>
      <c r="H244" s="9"/>
      <c r="M244" s="9"/>
      <c r="N244" s="9"/>
      <c r="O244" s="9"/>
      <c r="P244" s="9"/>
      <c r="Q244" s="9"/>
      <c r="R244" s="9"/>
    </row>
    <row r="245" spans="5:18" ht="15.75" customHeight="1" x14ac:dyDescent="0.3">
      <c r="E245" s="9"/>
      <c r="F245" s="9"/>
      <c r="H245" s="9"/>
      <c r="M245" s="9"/>
      <c r="N245" s="9"/>
      <c r="O245" s="9"/>
      <c r="P245" s="9"/>
      <c r="Q245" s="9"/>
      <c r="R245" s="9"/>
    </row>
    <row r="246" spans="5:18" ht="15.75" customHeight="1" x14ac:dyDescent="0.3">
      <c r="E246" s="9"/>
      <c r="F246" s="9"/>
      <c r="H246" s="9"/>
      <c r="M246" s="9"/>
      <c r="N246" s="9"/>
      <c r="O246" s="9"/>
      <c r="P246" s="9"/>
      <c r="Q246" s="9"/>
      <c r="R246" s="9"/>
    </row>
    <row r="247" spans="5:18" ht="15.75" customHeight="1" x14ac:dyDescent="0.3">
      <c r="E247" s="9"/>
      <c r="F247" s="9"/>
      <c r="H247" s="9"/>
      <c r="M247" s="9"/>
      <c r="N247" s="9"/>
      <c r="O247" s="9"/>
      <c r="P247" s="9"/>
      <c r="Q247" s="9"/>
      <c r="R247" s="9"/>
    </row>
    <row r="248" spans="5:18" ht="15.75" customHeight="1" x14ac:dyDescent="0.3">
      <c r="E248" s="9"/>
      <c r="F248" s="9"/>
      <c r="H248" s="9"/>
      <c r="M248" s="9"/>
      <c r="N248" s="9"/>
      <c r="O248" s="9"/>
      <c r="P248" s="9"/>
      <c r="Q248" s="9"/>
      <c r="R248" s="9"/>
    </row>
    <row r="249" spans="5:18" ht="15.75" customHeight="1" x14ac:dyDescent="0.3">
      <c r="E249" s="9"/>
      <c r="F249" s="9"/>
      <c r="H249" s="9"/>
      <c r="M249" s="9"/>
      <c r="N249" s="9"/>
      <c r="O249" s="9"/>
      <c r="P249" s="9"/>
      <c r="Q249" s="9"/>
      <c r="R249" s="9"/>
    </row>
    <row r="250" spans="5:18" ht="15.75" customHeight="1" x14ac:dyDescent="0.3">
      <c r="E250" s="9"/>
      <c r="F250" s="9"/>
      <c r="H250" s="9"/>
      <c r="M250" s="9"/>
      <c r="N250" s="9"/>
      <c r="O250" s="9"/>
      <c r="P250" s="9"/>
      <c r="Q250" s="9"/>
      <c r="R250" s="9"/>
    </row>
    <row r="251" spans="5:18" ht="15.75" customHeight="1" x14ac:dyDescent="0.3">
      <c r="E251" s="9"/>
      <c r="F251" s="9"/>
      <c r="H251" s="9"/>
      <c r="M251" s="9"/>
      <c r="N251" s="9"/>
      <c r="O251" s="9"/>
      <c r="P251" s="9"/>
      <c r="Q251" s="9"/>
      <c r="R251" s="9"/>
    </row>
    <row r="252" spans="5:18" ht="15.75" customHeight="1" x14ac:dyDescent="0.3">
      <c r="E252" s="9"/>
      <c r="F252" s="9"/>
      <c r="H252" s="9"/>
      <c r="M252" s="9"/>
      <c r="N252" s="9"/>
      <c r="O252" s="9"/>
      <c r="P252" s="9"/>
      <c r="Q252" s="9"/>
      <c r="R252" s="9"/>
    </row>
    <row r="253" spans="5:18" ht="15.75" customHeight="1" x14ac:dyDescent="0.3">
      <c r="E253" s="9"/>
      <c r="F253" s="9"/>
      <c r="H253" s="9"/>
      <c r="M253" s="9"/>
      <c r="N253" s="9"/>
      <c r="O253" s="9"/>
      <c r="P253" s="9"/>
      <c r="Q253" s="9"/>
      <c r="R253" s="9"/>
    </row>
    <row r="254" spans="5:18" ht="15.75" customHeight="1" x14ac:dyDescent="0.3">
      <c r="E254" s="9"/>
      <c r="F254" s="9"/>
      <c r="H254" s="9"/>
      <c r="M254" s="9"/>
      <c r="N254" s="9"/>
      <c r="O254" s="9"/>
      <c r="P254" s="9"/>
      <c r="Q254" s="9"/>
      <c r="R254" s="9"/>
    </row>
    <row r="255" spans="5:18" ht="15.75" customHeight="1" x14ac:dyDescent="0.3">
      <c r="E255" s="9"/>
      <c r="F255" s="9"/>
      <c r="H255" s="9"/>
      <c r="M255" s="9"/>
      <c r="N255" s="9"/>
      <c r="O255" s="9"/>
      <c r="P255" s="9"/>
      <c r="Q255" s="9"/>
      <c r="R255" s="9"/>
    </row>
    <row r="256" spans="5:18" ht="15.75" customHeight="1" x14ac:dyDescent="0.3">
      <c r="E256" s="9"/>
      <c r="F256" s="9"/>
      <c r="H256" s="9"/>
      <c r="M256" s="9"/>
      <c r="N256" s="9"/>
      <c r="O256" s="9"/>
      <c r="P256" s="9"/>
      <c r="Q256" s="9"/>
      <c r="R256" s="9"/>
    </row>
    <row r="257" spans="5:18" ht="15.75" customHeight="1" x14ac:dyDescent="0.3">
      <c r="E257" s="9"/>
      <c r="F257" s="9"/>
      <c r="H257" s="9"/>
      <c r="M257" s="9"/>
      <c r="N257" s="9"/>
      <c r="O257" s="9"/>
      <c r="P257" s="9"/>
      <c r="Q257" s="9"/>
      <c r="R257" s="9"/>
    </row>
    <row r="258" spans="5:18" ht="15.75" customHeight="1" x14ac:dyDescent="0.3">
      <c r="E258" s="9"/>
      <c r="F258" s="9"/>
      <c r="H258" s="9"/>
      <c r="M258" s="9"/>
      <c r="N258" s="9"/>
      <c r="O258" s="9"/>
      <c r="P258" s="9"/>
      <c r="Q258" s="9"/>
      <c r="R258" s="9"/>
    </row>
    <row r="259" spans="5:18" ht="15.75" customHeight="1" x14ac:dyDescent="0.3">
      <c r="E259" s="9"/>
      <c r="F259" s="9"/>
      <c r="H259" s="9"/>
      <c r="M259" s="9"/>
      <c r="N259" s="9"/>
      <c r="O259" s="9"/>
      <c r="P259" s="9"/>
      <c r="Q259" s="9"/>
      <c r="R259" s="9"/>
    </row>
    <row r="260" spans="5:18" ht="15.75" customHeight="1" x14ac:dyDescent="0.3">
      <c r="E260" s="9"/>
      <c r="F260" s="9"/>
      <c r="H260" s="9"/>
      <c r="M260" s="9"/>
      <c r="N260" s="9"/>
      <c r="O260" s="9"/>
      <c r="P260" s="9"/>
      <c r="Q260" s="9"/>
      <c r="R260" s="9"/>
    </row>
    <row r="261" spans="5:18" ht="15.75" customHeight="1" x14ac:dyDescent="0.3">
      <c r="E261" s="9"/>
      <c r="F261" s="9"/>
      <c r="H261" s="9"/>
      <c r="M261" s="9"/>
      <c r="N261" s="9"/>
      <c r="O261" s="9"/>
      <c r="P261" s="9"/>
      <c r="Q261" s="9"/>
      <c r="R261" s="9"/>
    </row>
    <row r="262" spans="5:18" ht="15.75" customHeight="1" x14ac:dyDescent="0.3">
      <c r="E262" s="9"/>
      <c r="F262" s="9"/>
      <c r="H262" s="9"/>
      <c r="M262" s="9"/>
      <c r="N262" s="9"/>
      <c r="O262" s="9"/>
      <c r="P262" s="9"/>
      <c r="Q262" s="9"/>
      <c r="R262" s="9"/>
    </row>
    <row r="263" spans="5:18" ht="15.75" customHeight="1" x14ac:dyDescent="0.3">
      <c r="E263" s="9"/>
      <c r="F263" s="9"/>
      <c r="H263" s="9"/>
      <c r="M263" s="9"/>
      <c r="N263" s="9"/>
      <c r="O263" s="9"/>
      <c r="P263" s="9"/>
      <c r="Q263" s="9"/>
      <c r="R263" s="9"/>
    </row>
    <row r="264" spans="5:18" ht="15.75" customHeight="1" x14ac:dyDescent="0.3">
      <c r="E264" s="9"/>
      <c r="F264" s="9"/>
      <c r="H264" s="9"/>
      <c r="M264" s="9"/>
      <c r="N264" s="9"/>
      <c r="O264" s="9"/>
      <c r="P264" s="9"/>
      <c r="Q264" s="9"/>
      <c r="R264" s="9"/>
    </row>
    <row r="265" spans="5:18" ht="15.75" customHeight="1" x14ac:dyDescent="0.3">
      <c r="E265" s="9"/>
      <c r="F265" s="9"/>
      <c r="H265" s="9"/>
      <c r="M265" s="9"/>
      <c r="N265" s="9"/>
      <c r="O265" s="9"/>
      <c r="P265" s="9"/>
      <c r="Q265" s="9"/>
      <c r="R265" s="9"/>
    </row>
    <row r="266" spans="5:18" ht="15.75" customHeight="1" x14ac:dyDescent="0.3">
      <c r="E266" s="9"/>
      <c r="F266" s="9"/>
      <c r="H266" s="9"/>
      <c r="M266" s="9"/>
      <c r="N266" s="9"/>
      <c r="O266" s="9"/>
      <c r="P266" s="9"/>
      <c r="Q266" s="9"/>
      <c r="R266" s="9"/>
    </row>
    <row r="267" spans="5:18" ht="15.75" customHeight="1" x14ac:dyDescent="0.3">
      <c r="E267" s="9"/>
      <c r="F267" s="9"/>
      <c r="H267" s="9"/>
      <c r="M267" s="9"/>
      <c r="N267" s="9"/>
      <c r="O267" s="9"/>
      <c r="P267" s="9"/>
      <c r="Q267" s="9"/>
      <c r="R267" s="9"/>
    </row>
    <row r="268" spans="5:18" ht="15.75" customHeight="1" x14ac:dyDescent="0.3">
      <c r="E268" s="9"/>
      <c r="F268" s="9"/>
      <c r="H268" s="9"/>
      <c r="M268" s="9"/>
      <c r="N268" s="9"/>
      <c r="O268" s="9"/>
      <c r="P268" s="9"/>
      <c r="Q268" s="9"/>
      <c r="R268" s="9"/>
    </row>
    <row r="269" spans="5:18" ht="15.75" customHeight="1" x14ac:dyDescent="0.3">
      <c r="E269" s="9"/>
      <c r="F269" s="9"/>
      <c r="H269" s="9"/>
      <c r="M269" s="9"/>
      <c r="N269" s="9"/>
      <c r="O269" s="9"/>
      <c r="P269" s="9"/>
      <c r="Q269" s="9"/>
      <c r="R269" s="9"/>
    </row>
    <row r="270" spans="5:18" ht="15.75" customHeight="1" x14ac:dyDescent="0.3">
      <c r="E270" s="9"/>
      <c r="F270" s="9"/>
      <c r="H270" s="9"/>
      <c r="M270" s="9"/>
      <c r="N270" s="9"/>
      <c r="O270" s="9"/>
      <c r="P270" s="9"/>
      <c r="Q270" s="9"/>
      <c r="R270" s="9"/>
    </row>
    <row r="271" spans="5:18" ht="15.75" customHeight="1" x14ac:dyDescent="0.3">
      <c r="E271" s="9"/>
      <c r="F271" s="9"/>
      <c r="H271" s="9"/>
      <c r="M271" s="9"/>
      <c r="N271" s="9"/>
      <c r="O271" s="9"/>
      <c r="P271" s="9"/>
      <c r="Q271" s="9"/>
      <c r="R271" s="9"/>
    </row>
    <row r="272" spans="5:18" ht="15.75" customHeight="1" x14ac:dyDescent="0.3">
      <c r="E272" s="9"/>
      <c r="F272" s="9"/>
      <c r="H272" s="9"/>
      <c r="M272" s="9"/>
      <c r="N272" s="9"/>
      <c r="O272" s="9"/>
      <c r="P272" s="9"/>
      <c r="Q272" s="9"/>
      <c r="R272" s="9"/>
    </row>
    <row r="273" spans="5:18" ht="15.75" customHeight="1" x14ac:dyDescent="0.3">
      <c r="E273" s="9"/>
      <c r="F273" s="9"/>
      <c r="H273" s="9"/>
      <c r="M273" s="9"/>
      <c r="N273" s="9"/>
      <c r="O273" s="9"/>
      <c r="P273" s="9"/>
      <c r="Q273" s="9"/>
      <c r="R273" s="9"/>
    </row>
    <row r="274" spans="5:18" ht="15.75" customHeight="1" x14ac:dyDescent="0.3">
      <c r="E274" s="9"/>
      <c r="F274" s="9"/>
      <c r="H274" s="9"/>
      <c r="M274" s="9"/>
      <c r="N274" s="9"/>
      <c r="O274" s="9"/>
      <c r="P274" s="9"/>
      <c r="Q274" s="9"/>
      <c r="R274" s="9"/>
    </row>
    <row r="275" spans="5:18" ht="15.75" customHeight="1" x14ac:dyDescent="0.3">
      <c r="E275" s="9"/>
      <c r="F275" s="9"/>
      <c r="H275" s="9"/>
      <c r="M275" s="9"/>
      <c r="N275" s="9"/>
      <c r="O275" s="9"/>
      <c r="P275" s="9"/>
      <c r="Q275" s="9"/>
      <c r="R275" s="9"/>
    </row>
    <row r="276" spans="5:18" ht="15.75" customHeight="1" x14ac:dyDescent="0.3">
      <c r="E276" s="9"/>
      <c r="F276" s="9"/>
      <c r="H276" s="9"/>
      <c r="M276" s="9"/>
      <c r="N276" s="9"/>
      <c r="O276" s="9"/>
      <c r="P276" s="9"/>
      <c r="Q276" s="9"/>
      <c r="R276" s="9"/>
    </row>
    <row r="277" spans="5:18" ht="15.75" customHeight="1" x14ac:dyDescent="0.3">
      <c r="E277" s="9"/>
      <c r="F277" s="9"/>
      <c r="H277" s="9"/>
      <c r="M277" s="9"/>
      <c r="N277" s="9"/>
      <c r="O277" s="9"/>
      <c r="P277" s="9"/>
      <c r="Q277" s="9"/>
      <c r="R277" s="9"/>
    </row>
    <row r="278" spans="5:18" ht="15.75" customHeight="1" x14ac:dyDescent="0.3">
      <c r="E278" s="9"/>
      <c r="F278" s="9"/>
      <c r="H278" s="9"/>
      <c r="M278" s="9"/>
      <c r="N278" s="9"/>
      <c r="O278" s="9"/>
      <c r="P278" s="9"/>
      <c r="Q278" s="9"/>
      <c r="R278" s="9"/>
    </row>
    <row r="279" spans="5:18" ht="15.75" customHeight="1" x14ac:dyDescent="0.3">
      <c r="E279" s="9"/>
      <c r="F279" s="9"/>
      <c r="H279" s="9"/>
      <c r="M279" s="9"/>
      <c r="N279" s="9"/>
      <c r="O279" s="9"/>
      <c r="P279" s="9"/>
      <c r="Q279" s="9"/>
      <c r="R279" s="9"/>
    </row>
    <row r="280" spans="5:18" ht="15.75" customHeight="1" x14ac:dyDescent="0.3">
      <c r="E280" s="9"/>
      <c r="F280" s="9"/>
      <c r="H280" s="9"/>
      <c r="M280" s="9"/>
      <c r="N280" s="9"/>
      <c r="O280" s="9"/>
      <c r="P280" s="9"/>
      <c r="Q280" s="9"/>
      <c r="R280" s="9"/>
    </row>
    <row r="281" spans="5:18" ht="15.75" customHeight="1" x14ac:dyDescent="0.3">
      <c r="E281" s="9"/>
      <c r="F281" s="9"/>
      <c r="H281" s="9"/>
      <c r="M281" s="9"/>
      <c r="N281" s="9"/>
      <c r="O281" s="9"/>
      <c r="P281" s="9"/>
      <c r="Q281" s="9"/>
      <c r="R281" s="9"/>
    </row>
    <row r="282" spans="5:18" ht="15.75" customHeight="1" x14ac:dyDescent="0.3">
      <c r="E282" s="9"/>
      <c r="F282" s="9"/>
      <c r="H282" s="9"/>
      <c r="M282" s="9"/>
      <c r="N282" s="9"/>
      <c r="O282" s="9"/>
      <c r="P282" s="9"/>
      <c r="Q282" s="9"/>
      <c r="R282" s="9"/>
    </row>
    <row r="283" spans="5:18" ht="15.75" customHeight="1" x14ac:dyDescent="0.3">
      <c r="E283" s="9"/>
      <c r="F283" s="9"/>
      <c r="H283" s="9"/>
      <c r="M283" s="9"/>
      <c r="N283" s="9"/>
      <c r="O283" s="9"/>
      <c r="P283" s="9"/>
      <c r="Q283" s="9"/>
      <c r="R283" s="9"/>
    </row>
    <row r="284" spans="5:18" ht="15.75" customHeight="1" x14ac:dyDescent="0.3">
      <c r="E284" s="9"/>
      <c r="F284" s="9"/>
      <c r="H284" s="9"/>
      <c r="M284" s="9"/>
      <c r="N284" s="9"/>
      <c r="O284" s="9"/>
      <c r="P284" s="9"/>
      <c r="Q284" s="9"/>
      <c r="R284" s="9"/>
    </row>
    <row r="285" spans="5:18" ht="15.75" customHeight="1" x14ac:dyDescent="0.3">
      <c r="E285" s="9"/>
      <c r="F285" s="9"/>
      <c r="H285" s="9"/>
      <c r="M285" s="9"/>
      <c r="N285" s="9"/>
      <c r="O285" s="9"/>
      <c r="P285" s="9"/>
      <c r="Q285" s="9"/>
      <c r="R285" s="9"/>
    </row>
    <row r="286" spans="5:18" ht="15.75" customHeight="1" x14ac:dyDescent="0.3">
      <c r="E286" s="9"/>
      <c r="F286" s="9"/>
      <c r="H286" s="9"/>
      <c r="M286" s="9"/>
      <c r="N286" s="9"/>
      <c r="O286" s="9"/>
      <c r="P286" s="9"/>
      <c r="Q286" s="9"/>
      <c r="R286" s="9"/>
    </row>
    <row r="287" spans="5:18" ht="15.75" customHeight="1" x14ac:dyDescent="0.3">
      <c r="E287" s="9"/>
      <c r="F287" s="9"/>
      <c r="H287" s="9"/>
      <c r="M287" s="9"/>
      <c r="N287" s="9"/>
      <c r="O287" s="9"/>
      <c r="P287" s="9"/>
      <c r="Q287" s="9"/>
      <c r="R287" s="9"/>
    </row>
    <row r="288" spans="5:18" ht="15.75" customHeight="1" x14ac:dyDescent="0.3">
      <c r="E288" s="9"/>
      <c r="F288" s="9"/>
      <c r="H288" s="9"/>
      <c r="M288" s="9"/>
      <c r="N288" s="9"/>
      <c r="O288" s="9"/>
      <c r="P288" s="9"/>
      <c r="Q288" s="9"/>
      <c r="R288" s="9"/>
    </row>
    <row r="289" spans="5:18" ht="15.75" customHeight="1" x14ac:dyDescent="0.3">
      <c r="E289" s="9"/>
      <c r="F289" s="9"/>
      <c r="H289" s="9"/>
      <c r="M289" s="9"/>
      <c r="N289" s="9"/>
      <c r="O289" s="9"/>
      <c r="P289" s="9"/>
      <c r="Q289" s="9"/>
      <c r="R289" s="9"/>
    </row>
    <row r="290" spans="5:18" ht="15.75" customHeight="1" x14ac:dyDescent="0.3">
      <c r="E290" s="9"/>
      <c r="F290" s="9"/>
      <c r="H290" s="9"/>
      <c r="M290" s="9"/>
      <c r="N290" s="9"/>
      <c r="O290" s="9"/>
      <c r="P290" s="9"/>
      <c r="Q290" s="9"/>
      <c r="R290" s="9"/>
    </row>
    <row r="291" spans="5:18" ht="15.75" customHeight="1" x14ac:dyDescent="0.3">
      <c r="E291" s="9"/>
      <c r="F291" s="9"/>
      <c r="H291" s="9"/>
      <c r="M291" s="9"/>
      <c r="N291" s="9"/>
      <c r="O291" s="9"/>
      <c r="P291" s="9"/>
      <c r="Q291" s="9"/>
      <c r="R291" s="9"/>
    </row>
    <row r="292" spans="5:18" ht="15.75" customHeight="1" x14ac:dyDescent="0.3">
      <c r="E292" s="9"/>
      <c r="F292" s="9"/>
      <c r="H292" s="9"/>
      <c r="M292" s="9"/>
      <c r="N292" s="9"/>
      <c r="O292" s="9"/>
      <c r="P292" s="9"/>
      <c r="Q292" s="9"/>
      <c r="R292" s="9"/>
    </row>
    <row r="293" spans="5:18" ht="15.75" customHeight="1" x14ac:dyDescent="0.3">
      <c r="E293" s="9"/>
      <c r="F293" s="9"/>
      <c r="H293" s="9"/>
      <c r="M293" s="9"/>
      <c r="N293" s="9"/>
      <c r="O293" s="9"/>
      <c r="P293" s="9"/>
      <c r="Q293" s="9"/>
      <c r="R293" s="9"/>
    </row>
    <row r="294" spans="5:18" ht="15.75" customHeight="1" x14ac:dyDescent="0.3">
      <c r="E294" s="9"/>
      <c r="F294" s="9"/>
      <c r="H294" s="9"/>
      <c r="M294" s="9"/>
      <c r="N294" s="9"/>
      <c r="O294" s="9"/>
      <c r="P294" s="9"/>
      <c r="Q294" s="9"/>
      <c r="R294" s="9"/>
    </row>
    <row r="295" spans="5:18" ht="15.75" customHeight="1" x14ac:dyDescent="0.3">
      <c r="E295" s="9"/>
      <c r="F295" s="9"/>
      <c r="H295" s="9"/>
      <c r="M295" s="9"/>
      <c r="N295" s="9"/>
      <c r="O295" s="9"/>
      <c r="P295" s="9"/>
      <c r="Q295" s="9"/>
      <c r="R295" s="9"/>
    </row>
    <row r="296" spans="5:18" ht="15.75" customHeight="1" x14ac:dyDescent="0.3">
      <c r="E296" s="9"/>
      <c r="F296" s="9"/>
      <c r="H296" s="9"/>
      <c r="M296" s="9"/>
      <c r="N296" s="9"/>
      <c r="O296" s="9"/>
      <c r="P296" s="9"/>
      <c r="Q296" s="9"/>
      <c r="R296" s="9"/>
    </row>
    <row r="297" spans="5:18" ht="15.75" customHeight="1" x14ac:dyDescent="0.3">
      <c r="E297" s="9"/>
      <c r="F297" s="9"/>
      <c r="H297" s="9"/>
      <c r="M297" s="9"/>
      <c r="N297" s="9"/>
      <c r="O297" s="9"/>
      <c r="P297" s="9"/>
      <c r="Q297" s="9"/>
      <c r="R297" s="9"/>
    </row>
    <row r="298" spans="5:18" ht="15.75" customHeight="1" x14ac:dyDescent="0.3">
      <c r="E298" s="9"/>
      <c r="F298" s="9"/>
      <c r="H298" s="9"/>
      <c r="M298" s="9"/>
      <c r="N298" s="9"/>
      <c r="O298" s="9"/>
      <c r="P298" s="9"/>
      <c r="Q298" s="9"/>
      <c r="R298" s="9"/>
    </row>
    <row r="299" spans="5:18" ht="15.75" customHeight="1" x14ac:dyDescent="0.3">
      <c r="E299" s="9"/>
      <c r="F299" s="9"/>
      <c r="H299" s="9"/>
      <c r="M299" s="9"/>
      <c r="N299" s="9"/>
      <c r="O299" s="9"/>
      <c r="P299" s="9"/>
      <c r="Q299" s="9"/>
      <c r="R299" s="9"/>
    </row>
    <row r="300" spans="5:18" ht="15.75" customHeight="1" x14ac:dyDescent="0.3">
      <c r="E300" s="9"/>
      <c r="F300" s="9"/>
      <c r="H300" s="9"/>
      <c r="M300" s="9"/>
      <c r="N300" s="9"/>
      <c r="O300" s="9"/>
      <c r="P300" s="9"/>
      <c r="Q300" s="9"/>
      <c r="R300" s="9"/>
    </row>
    <row r="301" spans="5:18" ht="15.75" customHeight="1" x14ac:dyDescent="0.3">
      <c r="E301" s="9"/>
      <c r="F301" s="9"/>
      <c r="H301" s="9"/>
      <c r="M301" s="9"/>
      <c r="N301" s="9"/>
      <c r="O301" s="9"/>
      <c r="P301" s="9"/>
      <c r="Q301" s="9"/>
      <c r="R301" s="9"/>
    </row>
    <row r="302" spans="5:18" ht="15.75" customHeight="1" x14ac:dyDescent="0.3">
      <c r="E302" s="9"/>
      <c r="F302" s="9"/>
      <c r="H302" s="9"/>
      <c r="M302" s="9"/>
      <c r="N302" s="9"/>
      <c r="O302" s="9"/>
      <c r="P302" s="9"/>
      <c r="Q302" s="9"/>
      <c r="R302" s="9"/>
    </row>
    <row r="303" spans="5:18" ht="15.75" customHeight="1" x14ac:dyDescent="0.3">
      <c r="E303" s="9"/>
      <c r="F303" s="9"/>
      <c r="H303" s="9"/>
      <c r="M303" s="9"/>
      <c r="N303" s="9"/>
      <c r="O303" s="9"/>
      <c r="P303" s="9"/>
      <c r="Q303" s="9"/>
      <c r="R303" s="9"/>
    </row>
    <row r="304" spans="5:18" ht="15.75" customHeight="1" x14ac:dyDescent="0.3">
      <c r="E304" s="9"/>
      <c r="F304" s="9"/>
      <c r="H304" s="9"/>
      <c r="M304" s="9"/>
      <c r="N304" s="9"/>
      <c r="O304" s="9"/>
      <c r="P304" s="9"/>
      <c r="Q304" s="9"/>
      <c r="R304" s="9"/>
    </row>
    <row r="305" spans="5:18" ht="15.75" customHeight="1" x14ac:dyDescent="0.3">
      <c r="E305" s="9"/>
      <c r="F305" s="9"/>
      <c r="H305" s="9"/>
      <c r="M305" s="9"/>
      <c r="N305" s="9"/>
      <c r="O305" s="9"/>
      <c r="P305" s="9"/>
      <c r="Q305" s="9"/>
      <c r="R305" s="9"/>
    </row>
    <row r="306" spans="5:18" ht="15.75" customHeight="1" x14ac:dyDescent="0.3">
      <c r="E306" s="9"/>
      <c r="F306" s="9"/>
      <c r="H306" s="9"/>
      <c r="M306" s="9"/>
      <c r="N306" s="9"/>
      <c r="O306" s="9"/>
      <c r="P306" s="9"/>
      <c r="Q306" s="9"/>
      <c r="R306" s="9"/>
    </row>
    <row r="307" spans="5:18" ht="15.75" customHeight="1" x14ac:dyDescent="0.3">
      <c r="E307" s="9"/>
      <c r="F307" s="9"/>
      <c r="H307" s="9"/>
      <c r="M307" s="9"/>
      <c r="N307" s="9"/>
      <c r="O307" s="9"/>
      <c r="P307" s="9"/>
      <c r="Q307" s="9"/>
      <c r="R307" s="9"/>
    </row>
    <row r="308" spans="5:18" ht="15.75" customHeight="1" x14ac:dyDescent="0.3">
      <c r="E308" s="9"/>
      <c r="F308" s="9"/>
      <c r="H308" s="9"/>
      <c r="M308" s="9"/>
      <c r="N308" s="9"/>
      <c r="O308" s="9"/>
      <c r="P308" s="9"/>
      <c r="Q308" s="9"/>
      <c r="R308" s="9"/>
    </row>
    <row r="309" spans="5:18" ht="15.75" customHeight="1" x14ac:dyDescent="0.3">
      <c r="E309" s="9"/>
      <c r="F309" s="9"/>
      <c r="H309" s="9"/>
      <c r="M309" s="9"/>
      <c r="N309" s="9"/>
      <c r="O309" s="9"/>
      <c r="P309" s="9"/>
      <c r="Q309" s="9"/>
      <c r="R309" s="9"/>
    </row>
    <row r="310" spans="5:18" ht="15.75" customHeight="1" x14ac:dyDescent="0.3">
      <c r="E310" s="9"/>
      <c r="F310" s="9"/>
      <c r="H310" s="9"/>
      <c r="M310" s="9"/>
      <c r="N310" s="9"/>
      <c r="O310" s="9"/>
      <c r="P310" s="9"/>
      <c r="Q310" s="9"/>
      <c r="R310" s="9"/>
    </row>
    <row r="311" spans="5:18" ht="15.75" customHeight="1" x14ac:dyDescent="0.3">
      <c r="E311" s="9"/>
      <c r="F311" s="9"/>
      <c r="H311" s="9"/>
      <c r="M311" s="9"/>
      <c r="N311" s="9"/>
      <c r="O311" s="9"/>
      <c r="P311" s="9"/>
      <c r="Q311" s="9"/>
      <c r="R311" s="9"/>
    </row>
    <row r="312" spans="5:18" ht="15.75" customHeight="1" x14ac:dyDescent="0.3">
      <c r="E312" s="9"/>
      <c r="F312" s="9"/>
      <c r="H312" s="9"/>
      <c r="M312" s="9"/>
      <c r="N312" s="9"/>
      <c r="O312" s="9"/>
      <c r="P312" s="9"/>
      <c r="Q312" s="9"/>
      <c r="R312" s="9"/>
    </row>
    <row r="313" spans="5:18" ht="15.75" customHeight="1" x14ac:dyDescent="0.3">
      <c r="E313" s="9"/>
      <c r="F313" s="9"/>
      <c r="H313" s="9"/>
      <c r="M313" s="9"/>
      <c r="N313" s="9"/>
      <c r="O313" s="9"/>
      <c r="P313" s="9"/>
      <c r="Q313" s="9"/>
      <c r="R313" s="9"/>
    </row>
    <row r="314" spans="5:18" ht="15.75" customHeight="1" x14ac:dyDescent="0.3">
      <c r="E314" s="9"/>
      <c r="F314" s="9"/>
      <c r="H314" s="9"/>
      <c r="M314" s="9"/>
      <c r="N314" s="9"/>
      <c r="O314" s="9"/>
      <c r="P314" s="9"/>
      <c r="Q314" s="9"/>
      <c r="R314" s="9"/>
    </row>
    <row r="315" spans="5:18" ht="15.75" customHeight="1" x14ac:dyDescent="0.3">
      <c r="E315" s="9"/>
      <c r="F315" s="9"/>
      <c r="H315" s="9"/>
      <c r="M315" s="9"/>
      <c r="N315" s="9"/>
      <c r="O315" s="9"/>
      <c r="P315" s="9"/>
      <c r="Q315" s="9"/>
      <c r="R315" s="9"/>
    </row>
    <row r="316" spans="5:18" ht="15.75" customHeight="1" x14ac:dyDescent="0.3">
      <c r="E316" s="9"/>
      <c r="F316" s="9"/>
      <c r="H316" s="9"/>
      <c r="M316" s="9"/>
      <c r="N316" s="9"/>
      <c r="O316" s="9"/>
      <c r="P316" s="9"/>
      <c r="Q316" s="9"/>
      <c r="R316" s="9"/>
    </row>
    <row r="317" spans="5:18" ht="15.75" customHeight="1" x14ac:dyDescent="0.3">
      <c r="E317" s="9"/>
      <c r="F317" s="9"/>
      <c r="H317" s="9"/>
      <c r="M317" s="9"/>
      <c r="N317" s="9"/>
      <c r="O317" s="9"/>
      <c r="P317" s="9"/>
      <c r="Q317" s="9"/>
      <c r="R317" s="9"/>
    </row>
    <row r="318" spans="5:18" ht="15.75" customHeight="1" x14ac:dyDescent="0.3">
      <c r="E318" s="9"/>
      <c r="F318" s="9"/>
      <c r="H318" s="9"/>
      <c r="M318" s="9"/>
      <c r="N318" s="9"/>
      <c r="O318" s="9"/>
      <c r="P318" s="9"/>
      <c r="Q318" s="9"/>
      <c r="R318" s="9"/>
    </row>
    <row r="319" spans="5:18" ht="15.75" customHeight="1" x14ac:dyDescent="0.3">
      <c r="E319" s="9"/>
      <c r="F319" s="9"/>
      <c r="H319" s="9"/>
      <c r="M319" s="9"/>
      <c r="N319" s="9"/>
      <c r="O319" s="9"/>
      <c r="P319" s="9"/>
      <c r="Q319" s="9"/>
      <c r="R319" s="9"/>
    </row>
    <row r="320" spans="5:18" ht="15.75" customHeight="1" x14ac:dyDescent="0.3">
      <c r="E320" s="9"/>
      <c r="F320" s="9"/>
      <c r="H320" s="9"/>
      <c r="M320" s="9"/>
      <c r="N320" s="9"/>
      <c r="O320" s="9"/>
      <c r="P320" s="9"/>
      <c r="Q320" s="9"/>
      <c r="R320" s="9"/>
    </row>
    <row r="321" spans="5:18" ht="15.75" customHeight="1" x14ac:dyDescent="0.3">
      <c r="E321" s="9"/>
      <c r="F321" s="9"/>
      <c r="H321" s="9"/>
      <c r="M321" s="9"/>
      <c r="N321" s="9"/>
      <c r="O321" s="9"/>
      <c r="P321" s="9"/>
      <c r="Q321" s="9"/>
      <c r="R321" s="9"/>
    </row>
    <row r="322" spans="5:18" ht="15.75" customHeight="1" x14ac:dyDescent="0.3">
      <c r="E322" s="9"/>
      <c r="F322" s="9"/>
      <c r="H322" s="9"/>
      <c r="M322" s="9"/>
      <c r="N322" s="9"/>
      <c r="O322" s="9"/>
      <c r="P322" s="9"/>
      <c r="Q322" s="9"/>
      <c r="R322" s="9"/>
    </row>
    <row r="323" spans="5:18" ht="15.75" customHeight="1" x14ac:dyDescent="0.3">
      <c r="E323" s="9"/>
      <c r="F323" s="9"/>
      <c r="H323" s="9"/>
      <c r="M323" s="9"/>
      <c r="N323" s="9"/>
      <c r="O323" s="9"/>
      <c r="P323" s="9"/>
      <c r="Q323" s="9"/>
      <c r="R323" s="9"/>
    </row>
    <row r="324" spans="5:18" ht="15.75" customHeight="1" x14ac:dyDescent="0.3">
      <c r="E324" s="9"/>
      <c r="F324" s="9"/>
      <c r="H324" s="9"/>
      <c r="M324" s="9"/>
      <c r="N324" s="9"/>
      <c r="O324" s="9"/>
      <c r="P324" s="9"/>
      <c r="Q324" s="9"/>
      <c r="R324" s="9"/>
    </row>
    <row r="325" spans="5:18" ht="15.75" customHeight="1" x14ac:dyDescent="0.3">
      <c r="E325" s="9"/>
      <c r="F325" s="9"/>
      <c r="H325" s="9"/>
      <c r="M325" s="9"/>
      <c r="N325" s="9"/>
      <c r="O325" s="9"/>
      <c r="P325" s="9"/>
      <c r="Q325" s="9"/>
      <c r="R325" s="9"/>
    </row>
    <row r="326" spans="5:18" ht="15.75" customHeight="1" x14ac:dyDescent="0.3">
      <c r="E326" s="9"/>
      <c r="F326" s="9"/>
      <c r="H326" s="9"/>
      <c r="M326" s="9"/>
      <c r="N326" s="9"/>
      <c r="O326" s="9"/>
      <c r="P326" s="9"/>
      <c r="Q326" s="9"/>
      <c r="R326" s="9"/>
    </row>
    <row r="327" spans="5:18" ht="15.75" customHeight="1" x14ac:dyDescent="0.3">
      <c r="E327" s="9"/>
      <c r="F327" s="9"/>
      <c r="H327" s="9"/>
      <c r="M327" s="9"/>
      <c r="N327" s="9"/>
      <c r="O327" s="9"/>
      <c r="P327" s="9"/>
      <c r="Q327" s="9"/>
      <c r="R327" s="9"/>
    </row>
    <row r="328" spans="5:18" ht="15.75" customHeight="1" x14ac:dyDescent="0.3">
      <c r="E328" s="9"/>
      <c r="F328" s="9"/>
      <c r="H328" s="9"/>
      <c r="M328" s="9"/>
      <c r="N328" s="9"/>
      <c r="O328" s="9"/>
      <c r="P328" s="9"/>
      <c r="Q328" s="9"/>
      <c r="R328" s="9"/>
    </row>
    <row r="329" spans="5:18" ht="15.75" customHeight="1" x14ac:dyDescent="0.3">
      <c r="E329" s="9"/>
      <c r="F329" s="9"/>
      <c r="H329" s="9"/>
      <c r="M329" s="9"/>
      <c r="N329" s="9"/>
      <c r="O329" s="9"/>
      <c r="P329" s="9"/>
      <c r="Q329" s="9"/>
      <c r="R329" s="9"/>
    </row>
    <row r="330" spans="5:18" ht="15.75" customHeight="1" x14ac:dyDescent="0.3">
      <c r="E330" s="9"/>
      <c r="F330" s="9"/>
      <c r="H330" s="9"/>
      <c r="M330" s="9"/>
      <c r="N330" s="9"/>
      <c r="O330" s="9"/>
      <c r="P330" s="9"/>
      <c r="Q330" s="9"/>
      <c r="R330" s="9"/>
    </row>
    <row r="331" spans="5:18" ht="15.75" customHeight="1" x14ac:dyDescent="0.3">
      <c r="E331" s="9"/>
      <c r="F331" s="9"/>
      <c r="H331" s="9"/>
      <c r="M331" s="9"/>
      <c r="N331" s="9"/>
      <c r="O331" s="9"/>
      <c r="P331" s="9"/>
      <c r="Q331" s="9"/>
      <c r="R331" s="9"/>
    </row>
    <row r="332" spans="5:18" ht="15.75" customHeight="1" x14ac:dyDescent="0.3">
      <c r="E332" s="9"/>
      <c r="F332" s="9"/>
      <c r="H332" s="9"/>
      <c r="M332" s="9"/>
      <c r="N332" s="9"/>
      <c r="O332" s="9"/>
      <c r="P332" s="9"/>
      <c r="Q332" s="9"/>
      <c r="R332" s="9"/>
    </row>
    <row r="333" spans="5:18" ht="15.75" customHeight="1" x14ac:dyDescent="0.3">
      <c r="E333" s="9"/>
      <c r="F333" s="9"/>
      <c r="H333" s="9"/>
      <c r="M333" s="9"/>
      <c r="N333" s="9"/>
      <c r="O333" s="9"/>
      <c r="P333" s="9"/>
      <c r="Q333" s="9"/>
      <c r="R333" s="9"/>
    </row>
    <row r="334" spans="5:18" ht="15.75" customHeight="1" x14ac:dyDescent="0.3">
      <c r="E334" s="9"/>
      <c r="F334" s="9"/>
      <c r="H334" s="9"/>
      <c r="M334" s="9"/>
      <c r="N334" s="9"/>
      <c r="O334" s="9"/>
      <c r="P334" s="9"/>
      <c r="Q334" s="9"/>
      <c r="R334" s="9"/>
    </row>
    <row r="335" spans="5:18" ht="15.75" customHeight="1" x14ac:dyDescent="0.3">
      <c r="E335" s="9"/>
      <c r="F335" s="9"/>
      <c r="H335" s="9"/>
      <c r="M335" s="9"/>
      <c r="N335" s="9"/>
      <c r="O335" s="9"/>
      <c r="P335" s="9"/>
      <c r="Q335" s="9"/>
      <c r="R335" s="9"/>
    </row>
    <row r="336" spans="5:18" ht="15.75" customHeight="1" x14ac:dyDescent="0.3">
      <c r="E336" s="9"/>
      <c r="F336" s="9"/>
      <c r="H336" s="9"/>
      <c r="M336" s="9"/>
      <c r="N336" s="9"/>
      <c r="O336" s="9"/>
      <c r="P336" s="9"/>
      <c r="Q336" s="9"/>
      <c r="R336" s="9"/>
    </row>
    <row r="337" spans="5:18" ht="15.75" customHeight="1" x14ac:dyDescent="0.3">
      <c r="E337" s="9"/>
      <c r="F337" s="9"/>
      <c r="H337" s="9"/>
      <c r="M337" s="9"/>
      <c r="N337" s="9"/>
      <c r="O337" s="9"/>
      <c r="P337" s="9"/>
      <c r="Q337" s="9"/>
      <c r="R337" s="9"/>
    </row>
    <row r="338" spans="5:18" ht="15.75" customHeight="1" x14ac:dyDescent="0.3">
      <c r="E338" s="9"/>
      <c r="F338" s="9"/>
      <c r="H338" s="9"/>
      <c r="M338" s="9"/>
      <c r="N338" s="9"/>
      <c r="O338" s="9"/>
      <c r="P338" s="9"/>
      <c r="Q338" s="9"/>
      <c r="R338" s="9"/>
    </row>
    <row r="339" spans="5:18" ht="15.75" customHeight="1" x14ac:dyDescent="0.3">
      <c r="E339" s="9"/>
      <c r="F339" s="9"/>
      <c r="H339" s="9"/>
      <c r="M339" s="9"/>
      <c r="N339" s="9"/>
      <c r="O339" s="9"/>
      <c r="P339" s="9"/>
      <c r="Q339" s="9"/>
      <c r="R339" s="9"/>
    </row>
    <row r="340" spans="5:18" ht="15.75" customHeight="1" x14ac:dyDescent="0.3">
      <c r="E340" s="9"/>
      <c r="F340" s="9"/>
      <c r="H340" s="9"/>
      <c r="M340" s="9"/>
      <c r="N340" s="9"/>
      <c r="O340" s="9"/>
      <c r="P340" s="9"/>
      <c r="Q340" s="9"/>
      <c r="R340" s="9"/>
    </row>
    <row r="341" spans="5:18" ht="15.75" customHeight="1" x14ac:dyDescent="0.3">
      <c r="E341" s="9"/>
      <c r="F341" s="9"/>
      <c r="H341" s="9"/>
      <c r="M341" s="9"/>
      <c r="N341" s="9"/>
      <c r="O341" s="9"/>
      <c r="P341" s="9"/>
      <c r="Q341" s="9"/>
      <c r="R341" s="9"/>
    </row>
    <row r="342" spans="5:18" ht="15.75" customHeight="1" x14ac:dyDescent="0.3">
      <c r="E342" s="9"/>
      <c r="F342" s="9"/>
      <c r="H342" s="9"/>
      <c r="M342" s="9"/>
      <c r="N342" s="9"/>
      <c r="O342" s="9"/>
      <c r="P342" s="9"/>
      <c r="Q342" s="9"/>
      <c r="R342" s="9"/>
    </row>
    <row r="343" spans="5:18" ht="15.75" customHeight="1" x14ac:dyDescent="0.3">
      <c r="E343" s="9"/>
      <c r="F343" s="9"/>
      <c r="H343" s="9"/>
      <c r="M343" s="9"/>
      <c r="N343" s="9"/>
      <c r="O343" s="9"/>
      <c r="P343" s="9"/>
      <c r="Q343" s="9"/>
      <c r="R343" s="9"/>
    </row>
    <row r="344" spans="5:18" ht="15.75" customHeight="1" x14ac:dyDescent="0.3">
      <c r="E344" s="9"/>
      <c r="F344" s="9"/>
      <c r="H344" s="9"/>
      <c r="M344" s="9"/>
      <c r="N344" s="9"/>
      <c r="O344" s="9"/>
      <c r="P344" s="9"/>
      <c r="Q344" s="9"/>
      <c r="R344" s="9"/>
    </row>
    <row r="345" spans="5:18" ht="15.75" customHeight="1" x14ac:dyDescent="0.3">
      <c r="E345" s="9"/>
      <c r="F345" s="9"/>
      <c r="H345" s="9"/>
      <c r="M345" s="9"/>
      <c r="N345" s="9"/>
      <c r="O345" s="9"/>
      <c r="P345" s="9"/>
      <c r="Q345" s="9"/>
      <c r="R345" s="9"/>
    </row>
    <row r="346" spans="5:18" ht="15.75" customHeight="1" x14ac:dyDescent="0.3">
      <c r="E346" s="9"/>
      <c r="F346" s="9"/>
      <c r="H346" s="9"/>
      <c r="M346" s="9"/>
      <c r="N346" s="9"/>
      <c r="O346" s="9"/>
      <c r="P346" s="9"/>
      <c r="Q346" s="9"/>
      <c r="R346" s="9"/>
    </row>
    <row r="347" spans="5:18" ht="15.75" customHeight="1" x14ac:dyDescent="0.3">
      <c r="E347" s="9"/>
      <c r="F347" s="9"/>
      <c r="H347" s="9"/>
      <c r="M347" s="9"/>
      <c r="N347" s="9"/>
      <c r="O347" s="9"/>
      <c r="P347" s="9"/>
      <c r="Q347" s="9"/>
      <c r="R347" s="9"/>
    </row>
    <row r="348" spans="5:18" ht="15.75" customHeight="1" x14ac:dyDescent="0.3">
      <c r="E348" s="9"/>
      <c r="F348" s="9"/>
      <c r="H348" s="9"/>
      <c r="M348" s="9"/>
      <c r="N348" s="9"/>
      <c r="O348" s="9"/>
      <c r="P348" s="9"/>
      <c r="Q348" s="9"/>
      <c r="R348" s="9"/>
    </row>
    <row r="349" spans="5:18" ht="15.75" customHeight="1" x14ac:dyDescent="0.3">
      <c r="E349" s="9"/>
      <c r="F349" s="9"/>
      <c r="H349" s="9"/>
      <c r="M349" s="9"/>
      <c r="N349" s="9"/>
      <c r="O349" s="9"/>
      <c r="P349" s="9"/>
      <c r="Q349" s="9"/>
      <c r="R349" s="9"/>
    </row>
    <row r="350" spans="5:18" ht="15.75" customHeight="1" x14ac:dyDescent="0.3">
      <c r="E350" s="9"/>
      <c r="F350" s="9"/>
      <c r="H350" s="9"/>
      <c r="M350" s="9"/>
      <c r="N350" s="9"/>
      <c r="O350" s="9"/>
      <c r="P350" s="9"/>
      <c r="Q350" s="9"/>
      <c r="R350" s="9"/>
    </row>
    <row r="351" spans="5:18" ht="15.75" customHeight="1" x14ac:dyDescent="0.3">
      <c r="E351" s="9"/>
      <c r="F351" s="9"/>
      <c r="H351" s="9"/>
      <c r="M351" s="9"/>
      <c r="N351" s="9"/>
      <c r="O351" s="9"/>
      <c r="P351" s="9"/>
      <c r="Q351" s="9"/>
      <c r="R351" s="9"/>
    </row>
    <row r="352" spans="5:18" ht="15.75" customHeight="1" x14ac:dyDescent="0.3">
      <c r="E352" s="9"/>
      <c r="F352" s="9"/>
      <c r="H352" s="9"/>
      <c r="M352" s="9"/>
      <c r="N352" s="9"/>
      <c r="O352" s="9"/>
      <c r="P352" s="9"/>
      <c r="Q352" s="9"/>
      <c r="R352" s="9"/>
    </row>
    <row r="353" spans="5:18" ht="15.75" customHeight="1" x14ac:dyDescent="0.3">
      <c r="E353" s="9"/>
      <c r="F353" s="9"/>
      <c r="H353" s="9"/>
      <c r="M353" s="9"/>
      <c r="N353" s="9"/>
      <c r="O353" s="9"/>
      <c r="P353" s="9"/>
      <c r="Q353" s="9"/>
      <c r="R353" s="9"/>
    </row>
    <row r="354" spans="5:18" ht="15.75" customHeight="1" x14ac:dyDescent="0.3">
      <c r="E354" s="9"/>
      <c r="F354" s="9"/>
      <c r="H354" s="9"/>
      <c r="M354" s="9"/>
      <c r="N354" s="9"/>
      <c r="O354" s="9"/>
      <c r="P354" s="9"/>
      <c r="Q354" s="9"/>
      <c r="R354" s="9"/>
    </row>
    <row r="355" spans="5:18" ht="15.75" customHeight="1" x14ac:dyDescent="0.3">
      <c r="E355" s="9"/>
      <c r="F355" s="9"/>
      <c r="H355" s="9"/>
      <c r="M355" s="9"/>
      <c r="N355" s="9"/>
      <c r="O355" s="9"/>
      <c r="P355" s="9"/>
      <c r="Q355" s="9"/>
      <c r="R355" s="9"/>
    </row>
    <row r="356" spans="5:18" ht="15.75" customHeight="1" x14ac:dyDescent="0.3">
      <c r="E356" s="9"/>
      <c r="F356" s="9"/>
      <c r="H356" s="9"/>
      <c r="M356" s="9"/>
      <c r="N356" s="9"/>
      <c r="O356" s="9"/>
      <c r="P356" s="9"/>
      <c r="Q356" s="9"/>
      <c r="R356" s="9"/>
    </row>
    <row r="357" spans="5:18" ht="15.75" customHeight="1" x14ac:dyDescent="0.3">
      <c r="E357" s="9"/>
      <c r="F357" s="9"/>
      <c r="H357" s="9"/>
      <c r="M357" s="9"/>
      <c r="N357" s="9"/>
      <c r="O357" s="9"/>
      <c r="P357" s="9"/>
      <c r="Q357" s="9"/>
      <c r="R357" s="9"/>
    </row>
    <row r="358" spans="5:18" ht="15.75" customHeight="1" x14ac:dyDescent="0.3">
      <c r="E358" s="9"/>
      <c r="F358" s="9"/>
      <c r="H358" s="9"/>
      <c r="M358" s="9"/>
      <c r="N358" s="9"/>
      <c r="O358" s="9"/>
      <c r="P358" s="9"/>
      <c r="Q358" s="9"/>
      <c r="R358" s="9"/>
    </row>
    <row r="359" spans="5:18" ht="15.75" customHeight="1" x14ac:dyDescent="0.3">
      <c r="E359" s="9"/>
      <c r="F359" s="9"/>
      <c r="H359" s="9"/>
      <c r="M359" s="9"/>
      <c r="N359" s="9"/>
      <c r="O359" s="9"/>
      <c r="P359" s="9"/>
      <c r="Q359" s="9"/>
      <c r="R359" s="9"/>
    </row>
    <row r="360" spans="5:18" ht="15.75" customHeight="1" x14ac:dyDescent="0.3">
      <c r="E360" s="9"/>
      <c r="F360" s="9"/>
      <c r="H360" s="9"/>
      <c r="M360" s="9"/>
      <c r="N360" s="9"/>
      <c r="O360" s="9"/>
      <c r="P360" s="9"/>
      <c r="Q360" s="9"/>
      <c r="R360" s="9"/>
    </row>
    <row r="361" spans="5:18" ht="15.75" customHeight="1" x14ac:dyDescent="0.3">
      <c r="E361" s="9"/>
      <c r="F361" s="9"/>
      <c r="H361" s="9"/>
      <c r="M361" s="9"/>
      <c r="N361" s="9"/>
      <c r="O361" s="9"/>
      <c r="P361" s="9"/>
      <c r="Q361" s="9"/>
      <c r="R361" s="9"/>
    </row>
    <row r="362" spans="5:18" ht="15.75" customHeight="1" x14ac:dyDescent="0.3">
      <c r="E362" s="9"/>
      <c r="F362" s="9"/>
      <c r="H362" s="9"/>
      <c r="M362" s="9"/>
      <c r="N362" s="9"/>
      <c r="O362" s="9"/>
      <c r="P362" s="9"/>
      <c r="Q362" s="9"/>
      <c r="R362" s="9"/>
    </row>
    <row r="363" spans="5:18" ht="15.75" customHeight="1" x14ac:dyDescent="0.3">
      <c r="E363" s="9"/>
      <c r="F363" s="9"/>
      <c r="H363" s="9"/>
      <c r="M363" s="9"/>
      <c r="N363" s="9"/>
      <c r="O363" s="9"/>
      <c r="P363" s="9"/>
      <c r="Q363" s="9"/>
      <c r="R363" s="9"/>
    </row>
    <row r="364" spans="5:18" ht="15.75" customHeight="1" x14ac:dyDescent="0.3">
      <c r="E364" s="9"/>
      <c r="F364" s="9"/>
      <c r="H364" s="9"/>
      <c r="M364" s="9"/>
      <c r="N364" s="9"/>
      <c r="O364" s="9"/>
      <c r="P364" s="9"/>
      <c r="Q364" s="9"/>
      <c r="R364" s="9"/>
    </row>
    <row r="365" spans="5:18" ht="15.75" customHeight="1" x14ac:dyDescent="0.3">
      <c r="E365" s="9"/>
      <c r="F365" s="9"/>
      <c r="H365" s="9"/>
      <c r="M365" s="9"/>
      <c r="N365" s="9"/>
      <c r="O365" s="9"/>
      <c r="P365" s="9"/>
      <c r="Q365" s="9"/>
      <c r="R365" s="9"/>
    </row>
    <row r="366" spans="5:18" ht="15.75" customHeight="1" x14ac:dyDescent="0.3">
      <c r="E366" s="9"/>
      <c r="F366" s="9"/>
      <c r="H366" s="9"/>
      <c r="M366" s="9"/>
      <c r="N366" s="9"/>
      <c r="O366" s="9"/>
      <c r="P366" s="9"/>
      <c r="Q366" s="9"/>
      <c r="R366" s="9"/>
    </row>
    <row r="367" spans="5:18" ht="15.75" customHeight="1" x14ac:dyDescent="0.3">
      <c r="E367" s="9"/>
      <c r="F367" s="9"/>
      <c r="H367" s="9"/>
      <c r="M367" s="9"/>
      <c r="N367" s="9"/>
      <c r="O367" s="9"/>
      <c r="P367" s="9"/>
      <c r="Q367" s="9"/>
      <c r="R367" s="9"/>
    </row>
    <row r="368" spans="5:18" ht="15.75" customHeight="1" x14ac:dyDescent="0.3">
      <c r="E368" s="9"/>
      <c r="F368" s="9"/>
      <c r="H368" s="9"/>
      <c r="M368" s="9"/>
      <c r="N368" s="9"/>
      <c r="O368" s="9"/>
      <c r="P368" s="9"/>
      <c r="Q368" s="9"/>
      <c r="R368" s="9"/>
    </row>
    <row r="369" spans="5:18" ht="15.75" customHeight="1" x14ac:dyDescent="0.3">
      <c r="E369" s="9"/>
      <c r="F369" s="9"/>
      <c r="H369" s="9"/>
      <c r="M369" s="9"/>
      <c r="N369" s="9"/>
      <c r="O369" s="9"/>
      <c r="P369" s="9"/>
      <c r="Q369" s="9"/>
      <c r="R369" s="9"/>
    </row>
    <row r="370" spans="5:18" ht="15.75" customHeight="1" x14ac:dyDescent="0.3">
      <c r="E370" s="9"/>
      <c r="F370" s="9"/>
      <c r="H370" s="9"/>
      <c r="M370" s="9"/>
      <c r="N370" s="9"/>
      <c r="O370" s="9"/>
      <c r="P370" s="9"/>
      <c r="Q370" s="9"/>
      <c r="R370" s="9"/>
    </row>
    <row r="371" spans="5:18" ht="15.75" customHeight="1" x14ac:dyDescent="0.3">
      <c r="E371" s="9"/>
      <c r="F371" s="9"/>
      <c r="H371" s="9"/>
      <c r="M371" s="9"/>
      <c r="N371" s="9"/>
      <c r="O371" s="9"/>
      <c r="P371" s="9"/>
      <c r="Q371" s="9"/>
      <c r="R371" s="9"/>
    </row>
    <row r="372" spans="5:18" ht="15.75" customHeight="1" x14ac:dyDescent="0.3">
      <c r="E372" s="9"/>
      <c r="F372" s="9"/>
      <c r="H372" s="9"/>
      <c r="M372" s="9"/>
      <c r="N372" s="9"/>
      <c r="O372" s="9"/>
      <c r="P372" s="9"/>
      <c r="Q372" s="9"/>
      <c r="R372" s="9"/>
    </row>
    <row r="373" spans="5:18" ht="15.75" customHeight="1" x14ac:dyDescent="0.3">
      <c r="E373" s="9"/>
      <c r="F373" s="9"/>
      <c r="H373" s="9"/>
      <c r="M373" s="9"/>
      <c r="N373" s="9"/>
      <c r="O373" s="9"/>
      <c r="P373" s="9"/>
      <c r="Q373" s="9"/>
      <c r="R373" s="9"/>
    </row>
    <row r="374" spans="5:18" ht="15.75" customHeight="1" x14ac:dyDescent="0.3">
      <c r="E374" s="9"/>
      <c r="F374" s="9"/>
      <c r="H374" s="9"/>
      <c r="M374" s="9"/>
      <c r="N374" s="9"/>
      <c r="O374" s="9"/>
      <c r="P374" s="9"/>
      <c r="Q374" s="9"/>
      <c r="R374" s="9"/>
    </row>
    <row r="375" spans="5:18" ht="15.75" customHeight="1" x14ac:dyDescent="0.3">
      <c r="E375" s="9"/>
      <c r="F375" s="9"/>
      <c r="H375" s="9"/>
      <c r="M375" s="9"/>
      <c r="N375" s="9"/>
      <c r="O375" s="9"/>
      <c r="P375" s="9"/>
      <c r="Q375" s="9"/>
      <c r="R375" s="9"/>
    </row>
    <row r="376" spans="5:18" ht="15.75" customHeight="1" x14ac:dyDescent="0.3">
      <c r="E376" s="9"/>
      <c r="F376" s="9"/>
      <c r="H376" s="9"/>
      <c r="M376" s="9"/>
      <c r="N376" s="9"/>
      <c r="O376" s="9"/>
      <c r="P376" s="9"/>
      <c r="Q376" s="9"/>
      <c r="R376" s="9"/>
    </row>
    <row r="377" spans="5:18" ht="15.75" customHeight="1" x14ac:dyDescent="0.3">
      <c r="E377" s="9"/>
      <c r="F377" s="9"/>
      <c r="H377" s="9"/>
      <c r="M377" s="9"/>
      <c r="N377" s="9"/>
      <c r="O377" s="9"/>
      <c r="P377" s="9"/>
      <c r="Q377" s="9"/>
      <c r="R377" s="9"/>
    </row>
    <row r="378" spans="5:18" ht="15.75" customHeight="1" x14ac:dyDescent="0.3">
      <c r="E378" s="9"/>
      <c r="F378" s="9"/>
      <c r="H378" s="9"/>
      <c r="M378" s="9"/>
      <c r="N378" s="9"/>
      <c r="O378" s="9"/>
      <c r="P378" s="9"/>
      <c r="Q378" s="9"/>
      <c r="R378" s="9"/>
    </row>
    <row r="379" spans="5:18" ht="15.75" customHeight="1" x14ac:dyDescent="0.3">
      <c r="E379" s="9"/>
      <c r="F379" s="9"/>
      <c r="H379" s="9"/>
      <c r="M379" s="9"/>
      <c r="N379" s="9"/>
      <c r="O379" s="9"/>
      <c r="P379" s="9"/>
      <c r="Q379" s="9"/>
      <c r="R379" s="9"/>
    </row>
    <row r="380" spans="5:18" ht="15.75" customHeight="1" x14ac:dyDescent="0.3">
      <c r="E380" s="9"/>
      <c r="F380" s="9"/>
      <c r="H380" s="9"/>
      <c r="M380" s="9"/>
      <c r="N380" s="9"/>
      <c r="O380" s="9"/>
      <c r="P380" s="9"/>
      <c r="Q380" s="9"/>
      <c r="R380" s="9"/>
    </row>
    <row r="381" spans="5:18" ht="15.75" customHeight="1" x14ac:dyDescent="0.3">
      <c r="E381" s="9"/>
      <c r="F381" s="9"/>
      <c r="H381" s="9"/>
      <c r="M381" s="9"/>
      <c r="N381" s="9"/>
      <c r="O381" s="9"/>
      <c r="P381" s="9"/>
      <c r="Q381" s="9"/>
      <c r="R381" s="9"/>
    </row>
    <row r="382" spans="5:18" ht="15.75" customHeight="1" x14ac:dyDescent="0.3">
      <c r="E382" s="9"/>
      <c r="F382" s="9"/>
      <c r="H382" s="9"/>
      <c r="M382" s="9"/>
      <c r="N382" s="9"/>
      <c r="O382" s="9"/>
      <c r="P382" s="9"/>
      <c r="Q382" s="9"/>
      <c r="R382" s="9"/>
    </row>
    <row r="383" spans="5:18" ht="15.75" customHeight="1" x14ac:dyDescent="0.3">
      <c r="E383" s="9"/>
      <c r="F383" s="9"/>
      <c r="H383" s="9"/>
      <c r="M383" s="9"/>
      <c r="N383" s="9"/>
      <c r="O383" s="9"/>
      <c r="P383" s="9"/>
      <c r="Q383" s="9"/>
      <c r="R383" s="9"/>
    </row>
    <row r="384" spans="5:18" ht="15.75" customHeight="1" x14ac:dyDescent="0.3">
      <c r="E384" s="9"/>
      <c r="F384" s="9"/>
      <c r="H384" s="9"/>
      <c r="M384" s="9"/>
      <c r="N384" s="9"/>
      <c r="O384" s="9"/>
      <c r="P384" s="9"/>
      <c r="Q384" s="9"/>
      <c r="R384" s="9"/>
    </row>
    <row r="385" spans="5:18" ht="15.75" customHeight="1" x14ac:dyDescent="0.3">
      <c r="E385" s="9"/>
      <c r="F385" s="9"/>
      <c r="H385" s="9"/>
      <c r="M385" s="9"/>
      <c r="N385" s="9"/>
      <c r="O385" s="9"/>
      <c r="P385" s="9"/>
      <c r="Q385" s="9"/>
      <c r="R385" s="9"/>
    </row>
    <row r="386" spans="5:18" ht="15.75" customHeight="1" x14ac:dyDescent="0.3">
      <c r="E386" s="9"/>
      <c r="F386" s="9"/>
      <c r="H386" s="9"/>
      <c r="M386" s="9"/>
      <c r="N386" s="9"/>
      <c r="O386" s="9"/>
      <c r="P386" s="9"/>
      <c r="Q386" s="9"/>
      <c r="R386" s="9"/>
    </row>
    <row r="387" spans="5:18" ht="15.75" customHeight="1" x14ac:dyDescent="0.3">
      <c r="E387" s="9"/>
      <c r="F387" s="9"/>
      <c r="H387" s="9"/>
      <c r="M387" s="9"/>
      <c r="N387" s="9"/>
      <c r="O387" s="9"/>
      <c r="P387" s="9"/>
      <c r="Q387" s="9"/>
      <c r="R387" s="9"/>
    </row>
    <row r="388" spans="5:18" ht="15.75" customHeight="1" x14ac:dyDescent="0.3">
      <c r="E388" s="9"/>
      <c r="F388" s="9"/>
      <c r="H388" s="9"/>
      <c r="M388" s="9"/>
      <c r="N388" s="9"/>
      <c r="O388" s="9"/>
      <c r="P388" s="9"/>
      <c r="Q388" s="9"/>
      <c r="R388" s="9"/>
    </row>
    <row r="389" spans="5:18" ht="15.75" customHeight="1" x14ac:dyDescent="0.3">
      <c r="E389" s="9"/>
      <c r="F389" s="9"/>
      <c r="H389" s="9"/>
      <c r="M389" s="9"/>
      <c r="N389" s="9"/>
      <c r="O389" s="9"/>
      <c r="P389" s="9"/>
      <c r="Q389" s="9"/>
      <c r="R389" s="9"/>
    </row>
    <row r="390" spans="5:18" ht="15.75" customHeight="1" x14ac:dyDescent="0.3">
      <c r="E390" s="9"/>
      <c r="F390" s="9"/>
      <c r="H390" s="9"/>
      <c r="M390" s="9"/>
      <c r="N390" s="9"/>
      <c r="O390" s="9"/>
      <c r="P390" s="9"/>
      <c r="Q390" s="9"/>
      <c r="R390" s="9"/>
    </row>
    <row r="391" spans="5:18" ht="15.75" customHeight="1" x14ac:dyDescent="0.3">
      <c r="E391" s="9"/>
      <c r="F391" s="9"/>
      <c r="H391" s="9"/>
      <c r="M391" s="9"/>
      <c r="N391" s="9"/>
      <c r="O391" s="9"/>
      <c r="P391" s="9"/>
      <c r="Q391" s="9"/>
      <c r="R391" s="9"/>
    </row>
    <row r="392" spans="5:18" ht="15.75" customHeight="1" x14ac:dyDescent="0.3">
      <c r="E392" s="9"/>
      <c r="F392" s="9"/>
      <c r="H392" s="9"/>
      <c r="M392" s="9"/>
      <c r="N392" s="9"/>
      <c r="O392" s="9"/>
      <c r="P392" s="9"/>
      <c r="Q392" s="9"/>
      <c r="R392" s="9"/>
    </row>
    <row r="393" spans="5:18" ht="15.75" customHeight="1" x14ac:dyDescent="0.3">
      <c r="E393" s="9"/>
      <c r="F393" s="9"/>
      <c r="H393" s="9"/>
      <c r="M393" s="9"/>
      <c r="N393" s="9"/>
      <c r="O393" s="9"/>
      <c r="P393" s="9"/>
      <c r="Q393" s="9"/>
      <c r="R393" s="9"/>
    </row>
    <row r="394" spans="5:18" ht="15.75" customHeight="1" x14ac:dyDescent="0.3">
      <c r="E394" s="9"/>
      <c r="F394" s="9"/>
      <c r="H394" s="9"/>
      <c r="M394" s="9"/>
      <c r="N394" s="9"/>
      <c r="O394" s="9"/>
      <c r="P394" s="9"/>
      <c r="Q394" s="9"/>
      <c r="R394" s="9"/>
    </row>
    <row r="395" spans="5:18" ht="15.75" customHeight="1" x14ac:dyDescent="0.3">
      <c r="E395" s="9"/>
      <c r="F395" s="9"/>
      <c r="H395" s="9"/>
      <c r="M395" s="9"/>
      <c r="N395" s="9"/>
      <c r="O395" s="9"/>
      <c r="P395" s="9"/>
      <c r="Q395" s="9"/>
      <c r="R395" s="9"/>
    </row>
    <row r="396" spans="5:18" ht="15.75" customHeight="1" x14ac:dyDescent="0.3">
      <c r="E396" s="9"/>
      <c r="F396" s="9"/>
      <c r="H396" s="9"/>
      <c r="M396" s="9"/>
      <c r="N396" s="9"/>
      <c r="O396" s="9"/>
      <c r="P396" s="9"/>
      <c r="Q396" s="9"/>
      <c r="R396" s="9"/>
    </row>
    <row r="397" spans="5:18" ht="15.75" customHeight="1" x14ac:dyDescent="0.3">
      <c r="E397" s="9"/>
      <c r="F397" s="9"/>
      <c r="H397" s="9"/>
      <c r="M397" s="9"/>
      <c r="N397" s="9"/>
      <c r="O397" s="9"/>
      <c r="P397" s="9"/>
      <c r="Q397" s="9"/>
      <c r="R397" s="9"/>
    </row>
    <row r="398" spans="5:18" ht="15.75" customHeight="1" x14ac:dyDescent="0.3">
      <c r="E398" s="9"/>
      <c r="F398" s="9"/>
      <c r="H398" s="9"/>
      <c r="M398" s="9"/>
      <c r="N398" s="9"/>
      <c r="O398" s="9"/>
      <c r="P398" s="9"/>
      <c r="Q398" s="9"/>
      <c r="R398" s="9"/>
    </row>
    <row r="399" spans="5:18" ht="15.75" customHeight="1" x14ac:dyDescent="0.3">
      <c r="E399" s="9"/>
      <c r="F399" s="9"/>
      <c r="H399" s="9"/>
      <c r="M399" s="9"/>
      <c r="N399" s="9"/>
      <c r="O399" s="9"/>
      <c r="P399" s="9"/>
      <c r="Q399" s="9"/>
      <c r="R399" s="9"/>
    </row>
    <row r="400" spans="5:18" ht="15.75" customHeight="1" x14ac:dyDescent="0.3">
      <c r="E400" s="9"/>
      <c r="F400" s="9"/>
      <c r="H400" s="9"/>
      <c r="M400" s="9"/>
      <c r="N400" s="9"/>
      <c r="O400" s="9"/>
      <c r="P400" s="9"/>
      <c r="Q400" s="9"/>
      <c r="R400" s="9"/>
    </row>
    <row r="401" spans="5:18" ht="15.75" customHeight="1" x14ac:dyDescent="0.3">
      <c r="E401" s="9"/>
      <c r="F401" s="9"/>
      <c r="H401" s="9"/>
      <c r="M401" s="9"/>
      <c r="N401" s="9"/>
      <c r="O401" s="9"/>
      <c r="P401" s="9"/>
      <c r="Q401" s="9"/>
      <c r="R401" s="9"/>
    </row>
    <row r="402" spans="5:18" ht="15.75" customHeight="1" x14ac:dyDescent="0.3">
      <c r="E402" s="9"/>
      <c r="F402" s="9"/>
      <c r="H402" s="9"/>
      <c r="M402" s="9"/>
      <c r="N402" s="9"/>
      <c r="O402" s="9"/>
      <c r="P402" s="9"/>
      <c r="Q402" s="9"/>
      <c r="R402" s="9"/>
    </row>
    <row r="403" spans="5:18" ht="15.75" customHeight="1" x14ac:dyDescent="0.3">
      <c r="E403" s="9"/>
      <c r="F403" s="9"/>
      <c r="H403" s="9"/>
      <c r="M403" s="9"/>
      <c r="N403" s="9"/>
      <c r="O403" s="9"/>
      <c r="P403" s="9"/>
      <c r="Q403" s="9"/>
      <c r="R403" s="9"/>
    </row>
    <row r="404" spans="5:18" ht="15.75" customHeight="1" x14ac:dyDescent="0.3">
      <c r="E404" s="9"/>
      <c r="F404" s="9"/>
      <c r="H404" s="9"/>
      <c r="M404" s="9"/>
      <c r="N404" s="9"/>
      <c r="O404" s="9"/>
      <c r="P404" s="9"/>
      <c r="Q404" s="9"/>
      <c r="R404" s="9"/>
    </row>
    <row r="405" spans="5:18" ht="15.75" customHeight="1" x14ac:dyDescent="0.3">
      <c r="E405" s="9"/>
      <c r="F405" s="9"/>
      <c r="H405" s="9"/>
      <c r="M405" s="9"/>
      <c r="N405" s="9"/>
      <c r="O405" s="9"/>
      <c r="P405" s="9"/>
      <c r="Q405" s="9"/>
      <c r="R405" s="9"/>
    </row>
    <row r="406" spans="5:18" ht="15.75" customHeight="1" x14ac:dyDescent="0.3">
      <c r="E406" s="9"/>
      <c r="F406" s="9"/>
      <c r="H406" s="9"/>
      <c r="M406" s="9"/>
      <c r="N406" s="9"/>
      <c r="O406" s="9"/>
      <c r="P406" s="9"/>
      <c r="Q406" s="9"/>
      <c r="R406" s="9"/>
    </row>
    <row r="407" spans="5:18" ht="15.75" customHeight="1" x14ac:dyDescent="0.3">
      <c r="E407" s="9"/>
      <c r="F407" s="9"/>
      <c r="H407" s="9"/>
      <c r="M407" s="9"/>
      <c r="N407" s="9"/>
      <c r="O407" s="9"/>
      <c r="P407" s="9"/>
      <c r="Q407" s="9"/>
      <c r="R407" s="9"/>
    </row>
    <row r="408" spans="5:18" ht="15.75" customHeight="1" x14ac:dyDescent="0.3">
      <c r="E408" s="9"/>
      <c r="F408" s="9"/>
      <c r="H408" s="9"/>
      <c r="M408" s="9"/>
      <c r="N408" s="9"/>
      <c r="O408" s="9"/>
      <c r="P408" s="9"/>
      <c r="Q408" s="9"/>
      <c r="R408" s="9"/>
    </row>
    <row r="409" spans="5:18" ht="15.75" customHeight="1" x14ac:dyDescent="0.3">
      <c r="E409" s="9"/>
      <c r="F409" s="9"/>
      <c r="H409" s="9"/>
      <c r="M409" s="9"/>
      <c r="N409" s="9"/>
      <c r="O409" s="9"/>
      <c r="P409" s="9"/>
      <c r="Q409" s="9"/>
      <c r="R409" s="9"/>
    </row>
    <row r="410" spans="5:18" ht="15.75" customHeight="1" x14ac:dyDescent="0.3">
      <c r="E410" s="9"/>
      <c r="F410" s="9"/>
      <c r="H410" s="9"/>
      <c r="M410" s="9"/>
      <c r="N410" s="9"/>
      <c r="O410" s="9"/>
      <c r="P410" s="9"/>
      <c r="Q410" s="9"/>
      <c r="R410" s="9"/>
    </row>
    <row r="411" spans="5:18" ht="15.75" customHeight="1" x14ac:dyDescent="0.3">
      <c r="E411" s="9"/>
      <c r="F411" s="9"/>
      <c r="H411" s="9"/>
      <c r="M411" s="9"/>
      <c r="N411" s="9"/>
      <c r="O411" s="9"/>
      <c r="P411" s="9"/>
      <c r="Q411" s="9"/>
      <c r="R411" s="9"/>
    </row>
    <row r="412" spans="5:18" ht="15.75" customHeight="1" x14ac:dyDescent="0.3">
      <c r="E412" s="9"/>
      <c r="F412" s="9"/>
      <c r="H412" s="9"/>
      <c r="M412" s="9"/>
      <c r="N412" s="9"/>
      <c r="O412" s="9"/>
      <c r="P412" s="9"/>
      <c r="Q412" s="9"/>
      <c r="R412" s="9"/>
    </row>
    <row r="413" spans="5:18" ht="15.75" customHeight="1" x14ac:dyDescent="0.3">
      <c r="E413" s="9"/>
      <c r="F413" s="9"/>
      <c r="H413" s="9"/>
      <c r="M413" s="9"/>
      <c r="N413" s="9"/>
      <c r="O413" s="9"/>
      <c r="P413" s="9"/>
      <c r="Q413" s="9"/>
      <c r="R413" s="9"/>
    </row>
    <row r="414" spans="5:18" ht="15.75" customHeight="1" x14ac:dyDescent="0.3">
      <c r="E414" s="9"/>
      <c r="F414" s="9"/>
      <c r="H414" s="9"/>
      <c r="M414" s="9"/>
      <c r="N414" s="9"/>
      <c r="O414" s="9"/>
      <c r="P414" s="9"/>
      <c r="Q414" s="9"/>
      <c r="R414" s="9"/>
    </row>
    <row r="415" spans="5:18" ht="15.75" customHeight="1" x14ac:dyDescent="0.3">
      <c r="E415" s="9"/>
      <c r="F415" s="9"/>
      <c r="H415" s="9"/>
      <c r="M415" s="9"/>
      <c r="N415" s="9"/>
      <c r="O415" s="9"/>
      <c r="P415" s="9"/>
      <c r="Q415" s="9"/>
      <c r="R415" s="9"/>
    </row>
    <row r="416" spans="5:18" ht="15.75" customHeight="1" x14ac:dyDescent="0.3">
      <c r="E416" s="9"/>
      <c r="F416" s="9"/>
      <c r="H416" s="9"/>
      <c r="M416" s="9"/>
      <c r="N416" s="9"/>
      <c r="O416" s="9"/>
      <c r="P416" s="9"/>
      <c r="Q416" s="9"/>
      <c r="R416" s="9"/>
    </row>
    <row r="417" spans="5:18" ht="15.75" customHeight="1" x14ac:dyDescent="0.3">
      <c r="E417" s="9"/>
      <c r="F417" s="9"/>
      <c r="H417" s="9"/>
      <c r="M417" s="9"/>
      <c r="N417" s="9"/>
      <c r="O417" s="9"/>
      <c r="P417" s="9"/>
      <c r="Q417" s="9"/>
      <c r="R417" s="9"/>
    </row>
    <row r="418" spans="5:18" ht="15.75" customHeight="1" x14ac:dyDescent="0.3">
      <c r="E418" s="9"/>
      <c r="F418" s="9"/>
      <c r="H418" s="9"/>
      <c r="M418" s="9"/>
      <c r="N418" s="9"/>
      <c r="O418" s="9"/>
      <c r="P418" s="9"/>
      <c r="Q418" s="9"/>
      <c r="R418" s="9"/>
    </row>
    <row r="419" spans="5:18" ht="15.75" customHeight="1" x14ac:dyDescent="0.3">
      <c r="E419" s="9"/>
      <c r="F419" s="9"/>
      <c r="H419" s="9"/>
      <c r="M419" s="9"/>
      <c r="N419" s="9"/>
      <c r="O419" s="9"/>
      <c r="P419" s="9"/>
      <c r="Q419" s="9"/>
      <c r="R419" s="9"/>
    </row>
    <row r="420" spans="5:18" ht="15.75" customHeight="1" x14ac:dyDescent="0.3">
      <c r="E420" s="9"/>
      <c r="F420" s="9"/>
      <c r="H420" s="9"/>
      <c r="M420" s="9"/>
      <c r="N420" s="9"/>
      <c r="O420" s="9"/>
      <c r="P420" s="9"/>
      <c r="Q420" s="9"/>
      <c r="R420" s="9"/>
    </row>
    <row r="421" spans="5:18" ht="15.75" customHeight="1" x14ac:dyDescent="0.3">
      <c r="E421" s="9"/>
      <c r="F421" s="9"/>
      <c r="H421" s="9"/>
      <c r="M421" s="9"/>
      <c r="N421" s="9"/>
      <c r="O421" s="9"/>
      <c r="P421" s="9"/>
      <c r="Q421" s="9"/>
      <c r="R421" s="9"/>
    </row>
    <row r="422" spans="5:18" ht="15.75" customHeight="1" x14ac:dyDescent="0.3">
      <c r="E422" s="9"/>
      <c r="F422" s="9"/>
      <c r="H422" s="9"/>
      <c r="M422" s="9"/>
      <c r="N422" s="9"/>
      <c r="O422" s="9"/>
      <c r="P422" s="9"/>
      <c r="Q422" s="9"/>
      <c r="R422" s="9"/>
    </row>
    <row r="423" spans="5:18" ht="15.75" customHeight="1" x14ac:dyDescent="0.3">
      <c r="E423" s="9"/>
      <c r="F423" s="9"/>
      <c r="H423" s="9"/>
      <c r="M423" s="9"/>
      <c r="N423" s="9"/>
      <c r="O423" s="9"/>
      <c r="P423" s="9"/>
      <c r="Q423" s="9"/>
      <c r="R423" s="9"/>
    </row>
    <row r="424" spans="5:18" ht="15.75" customHeight="1" x14ac:dyDescent="0.3">
      <c r="E424" s="9"/>
      <c r="F424" s="9"/>
      <c r="H424" s="9"/>
      <c r="M424" s="9"/>
      <c r="N424" s="9"/>
      <c r="O424" s="9"/>
      <c r="P424" s="9"/>
      <c r="Q424" s="9"/>
      <c r="R424" s="9"/>
    </row>
    <row r="425" spans="5:18" ht="15.75" customHeight="1" x14ac:dyDescent="0.3">
      <c r="E425" s="9"/>
      <c r="F425" s="9"/>
      <c r="H425" s="9"/>
      <c r="M425" s="9"/>
      <c r="N425" s="9"/>
      <c r="O425" s="9"/>
      <c r="P425" s="9"/>
      <c r="Q425" s="9"/>
      <c r="R425" s="9"/>
    </row>
    <row r="426" spans="5:18" ht="15.75" customHeight="1" x14ac:dyDescent="0.3">
      <c r="E426" s="9"/>
      <c r="F426" s="9"/>
      <c r="H426" s="9"/>
      <c r="M426" s="9"/>
      <c r="N426" s="9"/>
      <c r="O426" s="9"/>
      <c r="P426" s="9"/>
      <c r="Q426" s="9"/>
      <c r="R426" s="9"/>
    </row>
    <row r="427" spans="5:18" ht="15.75" customHeight="1" x14ac:dyDescent="0.3">
      <c r="E427" s="9"/>
      <c r="F427" s="9"/>
      <c r="H427" s="9"/>
      <c r="M427" s="9"/>
      <c r="N427" s="9"/>
      <c r="O427" s="9"/>
      <c r="P427" s="9"/>
      <c r="Q427" s="9"/>
      <c r="R427" s="9"/>
    </row>
    <row r="428" spans="5:18" ht="15.75" customHeight="1" x14ac:dyDescent="0.3">
      <c r="E428" s="9"/>
      <c r="F428" s="9"/>
      <c r="H428" s="9"/>
      <c r="M428" s="9"/>
      <c r="N428" s="9"/>
      <c r="O428" s="9"/>
      <c r="P428" s="9"/>
      <c r="Q428" s="9"/>
      <c r="R428" s="9"/>
    </row>
    <row r="429" spans="5:18" ht="15.75" customHeight="1" x14ac:dyDescent="0.3">
      <c r="E429" s="9"/>
      <c r="F429" s="9"/>
      <c r="H429" s="9"/>
      <c r="M429" s="9"/>
      <c r="N429" s="9"/>
      <c r="O429" s="9"/>
      <c r="P429" s="9"/>
      <c r="Q429" s="9"/>
      <c r="R429" s="9"/>
    </row>
    <row r="430" spans="5:18" ht="15.75" customHeight="1" x14ac:dyDescent="0.3">
      <c r="E430" s="9"/>
      <c r="F430" s="9"/>
      <c r="H430" s="9"/>
      <c r="M430" s="9"/>
      <c r="N430" s="9"/>
      <c r="O430" s="9"/>
      <c r="P430" s="9"/>
      <c r="Q430" s="9"/>
      <c r="R430" s="9"/>
    </row>
    <row r="431" spans="5:18" ht="15.75" customHeight="1" x14ac:dyDescent="0.3">
      <c r="E431" s="9"/>
      <c r="F431" s="9"/>
      <c r="H431" s="9"/>
      <c r="M431" s="9"/>
      <c r="N431" s="9"/>
      <c r="O431" s="9"/>
      <c r="P431" s="9"/>
      <c r="Q431" s="9"/>
      <c r="R431" s="9"/>
    </row>
    <row r="432" spans="5:18" ht="15.75" customHeight="1" x14ac:dyDescent="0.3">
      <c r="E432" s="9"/>
      <c r="F432" s="9"/>
      <c r="H432" s="9"/>
      <c r="M432" s="9"/>
      <c r="N432" s="9"/>
      <c r="O432" s="9"/>
      <c r="P432" s="9"/>
      <c r="Q432" s="9"/>
      <c r="R432" s="9"/>
    </row>
    <row r="433" spans="5:18" ht="15.75" customHeight="1" x14ac:dyDescent="0.3">
      <c r="E433" s="9"/>
      <c r="F433" s="9"/>
      <c r="H433" s="9"/>
      <c r="M433" s="9"/>
      <c r="N433" s="9"/>
      <c r="O433" s="9"/>
      <c r="P433" s="9"/>
      <c r="Q433" s="9"/>
      <c r="R433" s="9"/>
    </row>
    <row r="434" spans="5:18" ht="15.75" customHeight="1" x14ac:dyDescent="0.3">
      <c r="E434" s="9"/>
      <c r="F434" s="9"/>
      <c r="H434" s="9"/>
      <c r="M434" s="9"/>
      <c r="N434" s="9"/>
      <c r="O434" s="9"/>
      <c r="P434" s="9"/>
      <c r="Q434" s="9"/>
      <c r="R434" s="9"/>
    </row>
    <row r="435" spans="5:18" ht="15.75" customHeight="1" x14ac:dyDescent="0.3">
      <c r="E435" s="9"/>
      <c r="F435" s="9"/>
      <c r="H435" s="9"/>
      <c r="M435" s="9"/>
      <c r="N435" s="9"/>
      <c r="O435" s="9"/>
      <c r="P435" s="9"/>
      <c r="Q435" s="9"/>
      <c r="R435" s="9"/>
    </row>
    <row r="436" spans="5:18" ht="15.75" customHeight="1" x14ac:dyDescent="0.3">
      <c r="E436" s="9"/>
      <c r="F436" s="9"/>
      <c r="H436" s="9"/>
      <c r="M436" s="9"/>
      <c r="N436" s="9"/>
      <c r="O436" s="9"/>
      <c r="P436" s="9"/>
      <c r="Q436" s="9"/>
      <c r="R436" s="9"/>
    </row>
    <row r="437" spans="5:18" ht="15.75" customHeight="1" x14ac:dyDescent="0.3">
      <c r="E437" s="9"/>
      <c r="F437" s="9"/>
      <c r="H437" s="9"/>
      <c r="M437" s="9"/>
      <c r="N437" s="9"/>
      <c r="O437" s="9"/>
      <c r="P437" s="9"/>
      <c r="Q437" s="9"/>
      <c r="R437" s="9"/>
    </row>
    <row r="438" spans="5:18" ht="15.75" customHeight="1" x14ac:dyDescent="0.3">
      <c r="E438" s="9"/>
      <c r="F438" s="9"/>
      <c r="H438" s="9"/>
      <c r="M438" s="9"/>
      <c r="N438" s="9"/>
      <c r="O438" s="9"/>
      <c r="P438" s="9"/>
      <c r="Q438" s="9"/>
      <c r="R438" s="9"/>
    </row>
    <row r="439" spans="5:18" ht="15.75" customHeight="1" x14ac:dyDescent="0.3">
      <c r="E439" s="9"/>
      <c r="F439" s="9"/>
      <c r="H439" s="9"/>
      <c r="M439" s="9"/>
      <c r="N439" s="9"/>
      <c r="O439" s="9"/>
      <c r="P439" s="9"/>
      <c r="Q439" s="9"/>
      <c r="R439" s="9"/>
    </row>
    <row r="440" spans="5:18" ht="15.75" customHeight="1" x14ac:dyDescent="0.3">
      <c r="E440" s="9"/>
      <c r="F440" s="9"/>
      <c r="H440" s="9"/>
      <c r="M440" s="9"/>
      <c r="N440" s="9"/>
      <c r="O440" s="9"/>
      <c r="P440" s="9"/>
      <c r="Q440" s="9"/>
      <c r="R440" s="9"/>
    </row>
    <row r="441" spans="5:18" ht="15.75" customHeight="1" x14ac:dyDescent="0.3">
      <c r="E441" s="9"/>
      <c r="F441" s="9"/>
      <c r="H441" s="9"/>
      <c r="M441" s="9"/>
      <c r="N441" s="9"/>
      <c r="O441" s="9"/>
      <c r="P441" s="9"/>
      <c r="Q441" s="9"/>
      <c r="R441" s="9"/>
    </row>
    <row r="442" spans="5:18" ht="15.75" customHeight="1" x14ac:dyDescent="0.3">
      <c r="E442" s="9"/>
      <c r="F442" s="9"/>
      <c r="H442" s="9"/>
      <c r="M442" s="9"/>
      <c r="N442" s="9"/>
      <c r="O442" s="9"/>
      <c r="P442" s="9"/>
      <c r="Q442" s="9"/>
      <c r="R442" s="9"/>
    </row>
    <row r="443" spans="5:18" ht="15.75" customHeight="1" x14ac:dyDescent="0.3">
      <c r="E443" s="9"/>
      <c r="F443" s="9"/>
      <c r="H443" s="9"/>
      <c r="M443" s="9"/>
      <c r="N443" s="9"/>
      <c r="O443" s="9"/>
      <c r="P443" s="9"/>
      <c r="Q443" s="9"/>
      <c r="R443" s="9"/>
    </row>
    <row r="444" spans="5:18" ht="15.75" customHeight="1" x14ac:dyDescent="0.3">
      <c r="E444" s="9"/>
      <c r="F444" s="9"/>
      <c r="H444" s="9"/>
      <c r="M444" s="9"/>
      <c r="N444" s="9"/>
      <c r="O444" s="9"/>
      <c r="P444" s="9"/>
      <c r="Q444" s="9"/>
      <c r="R444" s="9"/>
    </row>
    <row r="445" spans="5:18" ht="15.75" customHeight="1" x14ac:dyDescent="0.3">
      <c r="E445" s="9"/>
      <c r="F445" s="9"/>
      <c r="H445" s="9"/>
      <c r="M445" s="9"/>
      <c r="N445" s="9"/>
      <c r="O445" s="9"/>
      <c r="P445" s="9"/>
      <c r="Q445" s="9"/>
      <c r="R445" s="9"/>
    </row>
    <row r="446" spans="5:18" ht="15.75" customHeight="1" x14ac:dyDescent="0.3">
      <c r="E446" s="9"/>
      <c r="F446" s="9"/>
      <c r="H446" s="9"/>
      <c r="M446" s="9"/>
      <c r="N446" s="9"/>
      <c r="O446" s="9"/>
      <c r="P446" s="9"/>
      <c r="Q446" s="9"/>
      <c r="R446" s="9"/>
    </row>
    <row r="447" spans="5:18" ht="15.75" customHeight="1" x14ac:dyDescent="0.3">
      <c r="E447" s="9"/>
      <c r="F447" s="9"/>
      <c r="H447" s="9"/>
      <c r="M447" s="9"/>
      <c r="N447" s="9"/>
      <c r="O447" s="9"/>
      <c r="P447" s="9"/>
      <c r="Q447" s="9"/>
      <c r="R447" s="9"/>
    </row>
    <row r="448" spans="5:18" ht="15.75" customHeight="1" x14ac:dyDescent="0.3">
      <c r="E448" s="9"/>
      <c r="F448" s="9"/>
      <c r="H448" s="9"/>
      <c r="M448" s="9"/>
      <c r="N448" s="9"/>
      <c r="O448" s="9"/>
      <c r="P448" s="9"/>
      <c r="Q448" s="9"/>
      <c r="R448" s="9"/>
    </row>
    <row r="449" spans="5:18" ht="15.75" customHeight="1" x14ac:dyDescent="0.3">
      <c r="E449" s="9"/>
      <c r="F449" s="9"/>
      <c r="H449" s="9"/>
      <c r="M449" s="9"/>
      <c r="N449" s="9"/>
      <c r="O449" s="9"/>
      <c r="P449" s="9"/>
      <c r="Q449" s="9"/>
      <c r="R449" s="9"/>
    </row>
    <row r="450" spans="5:18" ht="15.75" customHeight="1" x14ac:dyDescent="0.3">
      <c r="E450" s="9"/>
      <c r="F450" s="9"/>
      <c r="H450" s="9"/>
      <c r="M450" s="9"/>
      <c r="N450" s="9"/>
      <c r="O450" s="9"/>
      <c r="P450" s="9"/>
      <c r="Q450" s="9"/>
      <c r="R450" s="9"/>
    </row>
    <row r="451" spans="5:18" ht="15.75" customHeight="1" x14ac:dyDescent="0.3">
      <c r="E451" s="9"/>
      <c r="F451" s="9"/>
      <c r="H451" s="9"/>
      <c r="M451" s="9"/>
      <c r="N451" s="9"/>
      <c r="O451" s="9"/>
      <c r="P451" s="9"/>
      <c r="Q451" s="9"/>
      <c r="R451" s="9"/>
    </row>
    <row r="452" spans="5:18" ht="15.75" customHeight="1" x14ac:dyDescent="0.3">
      <c r="E452" s="9"/>
      <c r="F452" s="9"/>
      <c r="H452" s="9"/>
      <c r="M452" s="9"/>
      <c r="N452" s="9"/>
      <c r="O452" s="9"/>
      <c r="P452" s="9"/>
      <c r="Q452" s="9"/>
      <c r="R452" s="9"/>
    </row>
    <row r="453" spans="5:18" ht="15.75" customHeight="1" x14ac:dyDescent="0.3">
      <c r="E453" s="9"/>
      <c r="F453" s="9"/>
      <c r="H453" s="9"/>
      <c r="M453" s="9"/>
      <c r="N453" s="9"/>
      <c r="O453" s="9"/>
      <c r="P453" s="9"/>
      <c r="Q453" s="9"/>
      <c r="R453" s="9"/>
    </row>
    <row r="454" spans="5:18" ht="15.75" customHeight="1" x14ac:dyDescent="0.3">
      <c r="E454" s="9"/>
      <c r="F454" s="9"/>
      <c r="H454" s="9"/>
      <c r="M454" s="9"/>
      <c r="N454" s="9"/>
      <c r="O454" s="9"/>
      <c r="P454" s="9"/>
      <c r="Q454" s="9"/>
      <c r="R454" s="9"/>
    </row>
    <row r="455" spans="5:18" ht="15.75" customHeight="1" x14ac:dyDescent="0.3">
      <c r="E455" s="9"/>
      <c r="F455" s="9"/>
      <c r="H455" s="9"/>
      <c r="M455" s="9"/>
      <c r="N455" s="9"/>
      <c r="O455" s="9"/>
      <c r="P455" s="9"/>
      <c r="Q455" s="9"/>
      <c r="R455" s="9"/>
    </row>
    <row r="456" spans="5:18" ht="15.75" customHeight="1" x14ac:dyDescent="0.3">
      <c r="E456" s="9"/>
      <c r="F456" s="9"/>
      <c r="H456" s="9"/>
      <c r="M456" s="9"/>
      <c r="N456" s="9"/>
      <c r="O456" s="9"/>
      <c r="P456" s="9"/>
      <c r="Q456" s="9"/>
      <c r="R456" s="9"/>
    </row>
    <row r="457" spans="5:18" ht="15.75" customHeight="1" x14ac:dyDescent="0.3">
      <c r="E457" s="9"/>
      <c r="F457" s="9"/>
      <c r="H457" s="9"/>
      <c r="M457" s="9"/>
      <c r="N457" s="9"/>
      <c r="O457" s="9"/>
      <c r="P457" s="9"/>
      <c r="Q457" s="9"/>
      <c r="R457" s="9"/>
    </row>
    <row r="458" spans="5:18" ht="15.75" customHeight="1" x14ac:dyDescent="0.3">
      <c r="E458" s="9"/>
      <c r="F458" s="9"/>
      <c r="H458" s="9"/>
      <c r="M458" s="9"/>
      <c r="N458" s="9"/>
      <c r="O458" s="9"/>
      <c r="P458" s="9"/>
      <c r="Q458" s="9"/>
      <c r="R458" s="9"/>
    </row>
    <row r="459" spans="5:18" ht="15.75" customHeight="1" x14ac:dyDescent="0.3">
      <c r="E459" s="9"/>
      <c r="F459" s="9"/>
      <c r="H459" s="9"/>
      <c r="M459" s="9"/>
      <c r="N459" s="9"/>
      <c r="O459" s="9"/>
      <c r="P459" s="9"/>
      <c r="Q459" s="9"/>
      <c r="R459" s="9"/>
    </row>
    <row r="460" spans="5:18" ht="15.75" customHeight="1" x14ac:dyDescent="0.3">
      <c r="E460" s="9"/>
      <c r="F460" s="9"/>
      <c r="H460" s="9"/>
      <c r="M460" s="9"/>
      <c r="N460" s="9"/>
      <c r="O460" s="9"/>
      <c r="P460" s="9"/>
      <c r="Q460" s="9"/>
      <c r="R460" s="9"/>
    </row>
    <row r="461" spans="5:18" ht="15.75" customHeight="1" x14ac:dyDescent="0.3">
      <c r="E461" s="9"/>
      <c r="F461" s="9"/>
      <c r="H461" s="9"/>
      <c r="M461" s="9"/>
      <c r="N461" s="9"/>
      <c r="O461" s="9"/>
      <c r="P461" s="9"/>
      <c r="Q461" s="9"/>
      <c r="R461" s="9"/>
    </row>
    <row r="462" spans="5:18" ht="15.75" customHeight="1" x14ac:dyDescent="0.3">
      <c r="E462" s="9"/>
      <c r="F462" s="9"/>
      <c r="H462" s="9"/>
      <c r="M462" s="9"/>
      <c r="N462" s="9"/>
      <c r="O462" s="9"/>
      <c r="P462" s="9"/>
      <c r="Q462" s="9"/>
      <c r="R462" s="9"/>
    </row>
    <row r="463" spans="5:18" ht="15.75" customHeight="1" x14ac:dyDescent="0.3">
      <c r="E463" s="9"/>
      <c r="F463" s="9"/>
      <c r="H463" s="9"/>
      <c r="M463" s="9"/>
      <c r="N463" s="9"/>
      <c r="O463" s="9"/>
      <c r="P463" s="9"/>
      <c r="Q463" s="9"/>
      <c r="R463" s="9"/>
    </row>
    <row r="464" spans="5:18" ht="15.75" customHeight="1" x14ac:dyDescent="0.3">
      <c r="E464" s="9"/>
      <c r="F464" s="9"/>
      <c r="H464" s="9"/>
      <c r="M464" s="9"/>
      <c r="N464" s="9"/>
      <c r="O464" s="9"/>
      <c r="P464" s="9"/>
      <c r="Q464" s="9"/>
      <c r="R464" s="9"/>
    </row>
    <row r="465" spans="5:18" ht="15.75" customHeight="1" x14ac:dyDescent="0.3">
      <c r="E465" s="9"/>
      <c r="F465" s="9"/>
      <c r="H465" s="9"/>
      <c r="M465" s="9"/>
      <c r="N465" s="9"/>
      <c r="O465" s="9"/>
      <c r="P465" s="9"/>
      <c r="Q465" s="9"/>
      <c r="R465" s="9"/>
    </row>
    <row r="466" spans="5:18" ht="15.75" customHeight="1" x14ac:dyDescent="0.3">
      <c r="E466" s="9"/>
      <c r="F466" s="9"/>
      <c r="H466" s="9"/>
      <c r="M466" s="9"/>
      <c r="N466" s="9"/>
      <c r="O466" s="9"/>
      <c r="P466" s="9"/>
      <c r="Q466" s="9"/>
      <c r="R466" s="9"/>
    </row>
    <row r="467" spans="5:18" ht="15.75" customHeight="1" x14ac:dyDescent="0.3">
      <c r="E467" s="9"/>
      <c r="F467" s="9"/>
      <c r="H467" s="9"/>
      <c r="M467" s="9"/>
      <c r="N467" s="9"/>
      <c r="O467" s="9"/>
      <c r="P467" s="9"/>
      <c r="Q467" s="9"/>
      <c r="R467" s="9"/>
    </row>
    <row r="468" spans="5:18" ht="15.75" customHeight="1" x14ac:dyDescent="0.3">
      <c r="E468" s="9"/>
      <c r="F468" s="9"/>
      <c r="H468" s="9"/>
      <c r="M468" s="9"/>
      <c r="N468" s="9"/>
      <c r="O468" s="9"/>
      <c r="P468" s="9"/>
      <c r="Q468" s="9"/>
      <c r="R468" s="9"/>
    </row>
    <row r="469" spans="5:18" ht="15.75" customHeight="1" x14ac:dyDescent="0.3">
      <c r="E469" s="9"/>
      <c r="F469" s="9"/>
      <c r="H469" s="9"/>
      <c r="M469" s="9"/>
      <c r="N469" s="9"/>
      <c r="O469" s="9"/>
      <c r="P469" s="9"/>
      <c r="Q469" s="9"/>
      <c r="R469" s="9"/>
    </row>
    <row r="470" spans="5:18" ht="15.75" customHeight="1" x14ac:dyDescent="0.3">
      <c r="E470" s="9"/>
      <c r="F470" s="9"/>
      <c r="H470" s="9"/>
      <c r="M470" s="9"/>
      <c r="N470" s="9"/>
      <c r="O470" s="9"/>
      <c r="P470" s="9"/>
      <c r="Q470" s="9"/>
      <c r="R470" s="9"/>
    </row>
    <row r="471" spans="5:18" ht="15.75" customHeight="1" x14ac:dyDescent="0.3">
      <c r="E471" s="9"/>
      <c r="F471" s="9"/>
      <c r="H471" s="9"/>
      <c r="M471" s="9"/>
      <c r="N471" s="9"/>
      <c r="O471" s="9"/>
      <c r="P471" s="9"/>
      <c r="Q471" s="9"/>
      <c r="R471" s="9"/>
    </row>
    <row r="472" spans="5:18" ht="15.75" customHeight="1" x14ac:dyDescent="0.3">
      <c r="E472" s="9"/>
      <c r="F472" s="9"/>
      <c r="H472" s="9"/>
      <c r="M472" s="9"/>
      <c r="N472" s="9"/>
      <c r="O472" s="9"/>
      <c r="P472" s="9"/>
      <c r="Q472" s="9"/>
      <c r="R472" s="9"/>
    </row>
    <row r="473" spans="5:18" ht="15.75" customHeight="1" x14ac:dyDescent="0.3">
      <c r="E473" s="9"/>
      <c r="F473" s="9"/>
      <c r="H473" s="9"/>
      <c r="M473" s="9"/>
      <c r="N473" s="9"/>
      <c r="O473" s="9"/>
      <c r="P473" s="9"/>
      <c r="Q473" s="9"/>
      <c r="R473" s="9"/>
    </row>
    <row r="474" spans="5:18" ht="15.75" customHeight="1" x14ac:dyDescent="0.3">
      <c r="E474" s="9"/>
      <c r="F474" s="9"/>
      <c r="H474" s="9"/>
      <c r="M474" s="9"/>
      <c r="N474" s="9"/>
      <c r="O474" s="9"/>
      <c r="P474" s="9"/>
      <c r="Q474" s="9"/>
      <c r="R474" s="9"/>
    </row>
    <row r="475" spans="5:18" ht="15.75" customHeight="1" x14ac:dyDescent="0.3">
      <c r="E475" s="9"/>
      <c r="F475" s="9"/>
      <c r="H475" s="9"/>
      <c r="M475" s="9"/>
      <c r="N475" s="9"/>
      <c r="O475" s="9"/>
      <c r="P475" s="9"/>
      <c r="Q475" s="9"/>
      <c r="R475" s="9"/>
    </row>
    <row r="476" spans="5:18" ht="15.75" customHeight="1" x14ac:dyDescent="0.3">
      <c r="E476" s="9"/>
      <c r="F476" s="9"/>
      <c r="H476" s="9"/>
      <c r="M476" s="9"/>
      <c r="N476" s="9"/>
      <c r="O476" s="9"/>
      <c r="P476" s="9"/>
      <c r="Q476" s="9"/>
      <c r="R476" s="9"/>
    </row>
    <row r="477" spans="5:18" ht="15.75" customHeight="1" x14ac:dyDescent="0.3">
      <c r="E477" s="9"/>
      <c r="F477" s="9"/>
      <c r="H477" s="9"/>
      <c r="M477" s="9"/>
      <c r="N477" s="9"/>
      <c r="O477" s="9"/>
      <c r="P477" s="9"/>
      <c r="Q477" s="9"/>
      <c r="R477" s="9"/>
    </row>
    <row r="478" spans="5:18" ht="15.75" customHeight="1" x14ac:dyDescent="0.3">
      <c r="E478" s="9"/>
      <c r="F478" s="9"/>
      <c r="H478" s="9"/>
      <c r="M478" s="9"/>
      <c r="N478" s="9"/>
      <c r="O478" s="9"/>
      <c r="P478" s="9"/>
      <c r="Q478" s="9"/>
      <c r="R478" s="9"/>
    </row>
    <row r="479" spans="5:18" ht="15.75" customHeight="1" x14ac:dyDescent="0.3">
      <c r="E479" s="9"/>
      <c r="F479" s="9"/>
      <c r="H479" s="9"/>
      <c r="M479" s="9"/>
      <c r="N479" s="9"/>
      <c r="O479" s="9"/>
      <c r="P479" s="9"/>
      <c r="Q479" s="9"/>
      <c r="R479" s="9"/>
    </row>
    <row r="480" spans="5:18" ht="15.75" customHeight="1" x14ac:dyDescent="0.3">
      <c r="E480" s="9"/>
      <c r="F480" s="9"/>
      <c r="H480" s="9"/>
      <c r="M480" s="9"/>
      <c r="N480" s="9"/>
      <c r="O480" s="9"/>
      <c r="P480" s="9"/>
      <c r="Q480" s="9"/>
      <c r="R480" s="9"/>
    </row>
    <row r="481" spans="5:18" ht="15.75" customHeight="1" x14ac:dyDescent="0.3">
      <c r="E481" s="9"/>
      <c r="F481" s="9"/>
      <c r="H481" s="9"/>
      <c r="M481" s="9"/>
      <c r="N481" s="9"/>
      <c r="O481" s="9"/>
      <c r="P481" s="9"/>
      <c r="Q481" s="9"/>
      <c r="R481" s="9"/>
    </row>
    <row r="482" spans="5:18" ht="15.75" customHeight="1" x14ac:dyDescent="0.3">
      <c r="E482" s="9"/>
      <c r="F482" s="9"/>
      <c r="H482" s="9"/>
      <c r="M482" s="9"/>
      <c r="N482" s="9"/>
      <c r="O482" s="9"/>
      <c r="P482" s="9"/>
      <c r="Q482" s="9"/>
      <c r="R482" s="9"/>
    </row>
    <row r="483" spans="5:18" ht="15.75" customHeight="1" x14ac:dyDescent="0.3">
      <c r="E483" s="9"/>
      <c r="F483" s="9"/>
      <c r="H483" s="9"/>
      <c r="M483" s="9"/>
      <c r="N483" s="9"/>
      <c r="O483" s="9"/>
      <c r="P483" s="9"/>
      <c r="Q483" s="9"/>
      <c r="R483" s="9"/>
    </row>
    <row r="484" spans="5:18" ht="15.75" customHeight="1" x14ac:dyDescent="0.3">
      <c r="E484" s="9"/>
      <c r="F484" s="9"/>
      <c r="H484" s="9"/>
      <c r="M484" s="9"/>
      <c r="N484" s="9"/>
      <c r="O484" s="9"/>
      <c r="P484" s="9"/>
      <c r="Q484" s="9"/>
      <c r="R484" s="9"/>
    </row>
    <row r="485" spans="5:18" ht="15.75" customHeight="1" x14ac:dyDescent="0.3">
      <c r="E485" s="9"/>
      <c r="F485" s="9"/>
      <c r="H485" s="9"/>
      <c r="M485" s="9"/>
      <c r="N485" s="9"/>
      <c r="O485" s="9"/>
      <c r="P485" s="9"/>
      <c r="Q485" s="9"/>
      <c r="R485" s="9"/>
    </row>
    <row r="486" spans="5:18" ht="15.75" customHeight="1" x14ac:dyDescent="0.3">
      <c r="E486" s="9"/>
      <c r="F486" s="9"/>
      <c r="H486" s="9"/>
      <c r="M486" s="9"/>
      <c r="N486" s="9"/>
      <c r="O486" s="9"/>
      <c r="P486" s="9"/>
      <c r="Q486" s="9"/>
      <c r="R486" s="9"/>
    </row>
    <row r="487" spans="5:18" ht="15.75" customHeight="1" x14ac:dyDescent="0.3">
      <c r="E487" s="9"/>
      <c r="F487" s="9"/>
      <c r="H487" s="9"/>
      <c r="M487" s="9"/>
      <c r="N487" s="9"/>
      <c r="O487" s="9"/>
      <c r="P487" s="9"/>
      <c r="Q487" s="9"/>
      <c r="R487" s="9"/>
    </row>
    <row r="488" spans="5:18" ht="15.75" customHeight="1" x14ac:dyDescent="0.3">
      <c r="E488" s="9"/>
      <c r="F488" s="9"/>
      <c r="H488" s="9"/>
      <c r="M488" s="9"/>
      <c r="N488" s="9"/>
      <c r="O488" s="9"/>
      <c r="P488" s="9"/>
      <c r="Q488" s="9"/>
      <c r="R488" s="9"/>
    </row>
    <row r="489" spans="5:18" ht="15.75" customHeight="1" x14ac:dyDescent="0.3">
      <c r="E489" s="9"/>
      <c r="F489" s="9"/>
      <c r="H489" s="9"/>
      <c r="M489" s="9"/>
      <c r="N489" s="9"/>
      <c r="O489" s="9"/>
      <c r="P489" s="9"/>
      <c r="Q489" s="9"/>
      <c r="R489" s="9"/>
    </row>
    <row r="490" spans="5:18" ht="15.75" customHeight="1" x14ac:dyDescent="0.3">
      <c r="E490" s="9"/>
      <c r="F490" s="9"/>
      <c r="H490" s="9"/>
      <c r="M490" s="9"/>
      <c r="N490" s="9"/>
      <c r="O490" s="9"/>
      <c r="P490" s="9"/>
      <c r="Q490" s="9"/>
      <c r="R490" s="9"/>
    </row>
    <row r="491" spans="5:18" ht="15.75" customHeight="1" x14ac:dyDescent="0.3">
      <c r="E491" s="9"/>
      <c r="F491" s="9"/>
      <c r="H491" s="9"/>
      <c r="M491" s="9"/>
      <c r="N491" s="9"/>
      <c r="O491" s="9"/>
      <c r="P491" s="9"/>
      <c r="Q491" s="9"/>
      <c r="R491" s="9"/>
    </row>
    <row r="492" spans="5:18" ht="15.75" customHeight="1" x14ac:dyDescent="0.3">
      <c r="E492" s="9"/>
      <c r="F492" s="9"/>
      <c r="H492" s="9"/>
      <c r="M492" s="9"/>
      <c r="N492" s="9"/>
      <c r="O492" s="9"/>
      <c r="P492" s="9"/>
      <c r="Q492" s="9"/>
      <c r="R492" s="9"/>
    </row>
    <row r="493" spans="5:18" ht="15.75" customHeight="1" x14ac:dyDescent="0.3">
      <c r="E493" s="9"/>
      <c r="F493" s="9"/>
      <c r="H493" s="9"/>
      <c r="M493" s="9"/>
      <c r="N493" s="9"/>
      <c r="O493" s="9"/>
      <c r="P493" s="9"/>
      <c r="Q493" s="9"/>
      <c r="R493" s="9"/>
    </row>
    <row r="494" spans="5:18" ht="15.75" customHeight="1" x14ac:dyDescent="0.3">
      <c r="E494" s="9"/>
      <c r="F494" s="9"/>
      <c r="H494" s="9"/>
      <c r="M494" s="9"/>
      <c r="N494" s="9"/>
      <c r="O494" s="9"/>
      <c r="P494" s="9"/>
      <c r="Q494" s="9"/>
      <c r="R494" s="9"/>
    </row>
    <row r="495" spans="5:18" ht="15.75" customHeight="1" x14ac:dyDescent="0.3">
      <c r="E495" s="9"/>
      <c r="F495" s="9"/>
      <c r="H495" s="9"/>
      <c r="M495" s="9"/>
      <c r="N495" s="9"/>
      <c r="O495" s="9"/>
      <c r="P495" s="9"/>
      <c r="Q495" s="9"/>
      <c r="R495" s="9"/>
    </row>
    <row r="496" spans="5:18" ht="15.75" customHeight="1" x14ac:dyDescent="0.3">
      <c r="E496" s="9"/>
      <c r="F496" s="9"/>
      <c r="H496" s="9"/>
      <c r="M496" s="9"/>
      <c r="N496" s="9"/>
      <c r="O496" s="9"/>
      <c r="P496" s="9"/>
      <c r="Q496" s="9"/>
      <c r="R496" s="9"/>
    </row>
    <row r="497" spans="5:18" ht="15.75" customHeight="1" x14ac:dyDescent="0.3">
      <c r="E497" s="9"/>
      <c r="F497" s="9"/>
      <c r="H497" s="9"/>
      <c r="M497" s="9"/>
      <c r="N497" s="9"/>
      <c r="O497" s="9"/>
      <c r="P497" s="9"/>
      <c r="Q497" s="9"/>
      <c r="R497" s="9"/>
    </row>
    <row r="498" spans="5:18" ht="15.75" customHeight="1" x14ac:dyDescent="0.3">
      <c r="E498" s="9"/>
      <c r="F498" s="9"/>
      <c r="H498" s="9"/>
      <c r="M498" s="9"/>
      <c r="N498" s="9"/>
      <c r="O498" s="9"/>
      <c r="P498" s="9"/>
      <c r="Q498" s="9"/>
      <c r="R498" s="9"/>
    </row>
    <row r="499" spans="5:18" ht="15.75" customHeight="1" x14ac:dyDescent="0.3">
      <c r="E499" s="9"/>
      <c r="F499" s="9"/>
      <c r="H499" s="9"/>
      <c r="M499" s="9"/>
      <c r="N499" s="9"/>
      <c r="O499" s="9"/>
      <c r="P499" s="9"/>
      <c r="Q499" s="9"/>
      <c r="R499" s="9"/>
    </row>
    <row r="500" spans="5:18" ht="15.75" customHeight="1" x14ac:dyDescent="0.3">
      <c r="E500" s="9"/>
      <c r="F500" s="9"/>
      <c r="H500" s="9"/>
      <c r="M500" s="9"/>
      <c r="N500" s="9"/>
      <c r="O500" s="9"/>
      <c r="P500" s="9"/>
      <c r="Q500" s="9"/>
      <c r="R500" s="9"/>
    </row>
    <row r="501" spans="5:18" ht="15.75" customHeight="1" x14ac:dyDescent="0.3">
      <c r="E501" s="9"/>
      <c r="F501" s="9"/>
      <c r="H501" s="9"/>
      <c r="M501" s="9"/>
      <c r="N501" s="9"/>
      <c r="O501" s="9"/>
      <c r="P501" s="9"/>
      <c r="Q501" s="9"/>
      <c r="R501" s="9"/>
    </row>
    <row r="502" spans="5:18" ht="15.75" customHeight="1" x14ac:dyDescent="0.3">
      <c r="E502" s="9"/>
      <c r="F502" s="9"/>
      <c r="H502" s="9"/>
      <c r="M502" s="9"/>
      <c r="N502" s="9"/>
      <c r="O502" s="9"/>
      <c r="P502" s="9"/>
      <c r="Q502" s="9"/>
      <c r="R502" s="9"/>
    </row>
    <row r="503" spans="5:18" ht="15.75" customHeight="1" x14ac:dyDescent="0.3">
      <c r="E503" s="9"/>
      <c r="F503" s="9"/>
      <c r="H503" s="9"/>
      <c r="M503" s="9"/>
      <c r="N503" s="9"/>
      <c r="O503" s="9"/>
      <c r="P503" s="9"/>
      <c r="Q503" s="9"/>
      <c r="R503" s="9"/>
    </row>
    <row r="504" spans="5:18" ht="15.75" customHeight="1" x14ac:dyDescent="0.3">
      <c r="E504" s="9"/>
      <c r="F504" s="9"/>
      <c r="H504" s="9"/>
      <c r="M504" s="9"/>
      <c r="N504" s="9"/>
      <c r="O504" s="9"/>
      <c r="P504" s="9"/>
      <c r="Q504" s="9"/>
      <c r="R504" s="9"/>
    </row>
    <row r="505" spans="5:18" ht="15.75" customHeight="1" x14ac:dyDescent="0.3">
      <c r="E505" s="9"/>
      <c r="F505" s="9"/>
      <c r="H505" s="9"/>
      <c r="M505" s="9"/>
      <c r="N505" s="9"/>
      <c r="O505" s="9"/>
      <c r="P505" s="9"/>
      <c r="Q505" s="9"/>
      <c r="R505" s="9"/>
    </row>
    <row r="506" spans="5:18" ht="15.75" customHeight="1" x14ac:dyDescent="0.3">
      <c r="E506" s="9"/>
      <c r="F506" s="9"/>
      <c r="H506" s="9"/>
      <c r="M506" s="9"/>
      <c r="N506" s="9"/>
      <c r="O506" s="9"/>
      <c r="P506" s="9"/>
      <c r="Q506" s="9"/>
      <c r="R506" s="9"/>
    </row>
    <row r="507" spans="5:18" ht="15.75" customHeight="1" x14ac:dyDescent="0.3">
      <c r="E507" s="9"/>
      <c r="F507" s="9"/>
      <c r="H507" s="9"/>
      <c r="M507" s="9"/>
      <c r="N507" s="9"/>
      <c r="O507" s="9"/>
      <c r="P507" s="9"/>
      <c r="Q507" s="9"/>
      <c r="R507" s="9"/>
    </row>
    <row r="508" spans="5:18" ht="15.75" customHeight="1" x14ac:dyDescent="0.3">
      <c r="E508" s="9"/>
      <c r="F508" s="9"/>
      <c r="H508" s="9"/>
      <c r="M508" s="9"/>
      <c r="N508" s="9"/>
      <c r="O508" s="9"/>
      <c r="P508" s="9"/>
      <c r="Q508" s="9"/>
      <c r="R508" s="9"/>
    </row>
    <row r="509" spans="5:18" ht="15.75" customHeight="1" x14ac:dyDescent="0.3">
      <c r="E509" s="9"/>
      <c r="F509" s="9"/>
      <c r="H509" s="9"/>
      <c r="M509" s="9"/>
      <c r="N509" s="9"/>
      <c r="O509" s="9"/>
      <c r="P509" s="9"/>
      <c r="Q509" s="9"/>
      <c r="R509" s="9"/>
    </row>
    <row r="510" spans="5:18" ht="15.75" customHeight="1" x14ac:dyDescent="0.3">
      <c r="E510" s="9"/>
      <c r="F510" s="9"/>
      <c r="H510" s="9"/>
      <c r="M510" s="9"/>
      <c r="N510" s="9"/>
      <c r="O510" s="9"/>
      <c r="P510" s="9"/>
      <c r="Q510" s="9"/>
      <c r="R510" s="9"/>
    </row>
    <row r="511" spans="5:18" ht="15.75" customHeight="1" x14ac:dyDescent="0.3">
      <c r="E511" s="9"/>
      <c r="F511" s="9"/>
      <c r="H511" s="9"/>
      <c r="M511" s="9"/>
      <c r="N511" s="9"/>
      <c r="O511" s="9"/>
      <c r="P511" s="9"/>
      <c r="Q511" s="9"/>
      <c r="R511" s="9"/>
    </row>
    <row r="512" spans="5:18" ht="15.75" customHeight="1" x14ac:dyDescent="0.3">
      <c r="E512" s="9"/>
      <c r="F512" s="9"/>
      <c r="H512" s="9"/>
      <c r="M512" s="9"/>
      <c r="N512" s="9"/>
      <c r="O512" s="9"/>
      <c r="P512" s="9"/>
      <c r="Q512" s="9"/>
      <c r="R512" s="9"/>
    </row>
    <row r="513" spans="5:18" ht="15.75" customHeight="1" x14ac:dyDescent="0.3">
      <c r="E513" s="9"/>
      <c r="F513" s="9"/>
      <c r="H513" s="9"/>
      <c r="M513" s="9"/>
      <c r="N513" s="9"/>
      <c r="O513" s="9"/>
      <c r="P513" s="9"/>
      <c r="Q513" s="9"/>
      <c r="R513" s="9"/>
    </row>
    <row r="514" spans="5:18" ht="15.75" customHeight="1" x14ac:dyDescent="0.3">
      <c r="E514" s="9"/>
      <c r="F514" s="9"/>
      <c r="H514" s="9"/>
      <c r="M514" s="9"/>
      <c r="N514" s="9"/>
      <c r="O514" s="9"/>
      <c r="P514" s="9"/>
      <c r="Q514" s="9"/>
      <c r="R514" s="9"/>
    </row>
    <row r="515" spans="5:18" ht="15.75" customHeight="1" x14ac:dyDescent="0.3">
      <c r="E515" s="9"/>
      <c r="F515" s="9"/>
      <c r="H515" s="9"/>
      <c r="M515" s="9"/>
      <c r="N515" s="9"/>
      <c r="O515" s="9"/>
      <c r="P515" s="9"/>
      <c r="Q515" s="9"/>
      <c r="R515" s="9"/>
    </row>
    <row r="516" spans="5:18" ht="15.75" customHeight="1" x14ac:dyDescent="0.3">
      <c r="E516" s="9"/>
      <c r="F516" s="9"/>
      <c r="H516" s="9"/>
      <c r="M516" s="9"/>
      <c r="N516" s="9"/>
      <c r="O516" s="9"/>
      <c r="P516" s="9"/>
      <c r="Q516" s="9"/>
      <c r="R516" s="9"/>
    </row>
    <row r="517" spans="5:18" ht="15.75" customHeight="1" x14ac:dyDescent="0.3">
      <c r="E517" s="9"/>
      <c r="F517" s="9"/>
      <c r="H517" s="9"/>
      <c r="M517" s="9"/>
      <c r="N517" s="9"/>
      <c r="O517" s="9"/>
      <c r="P517" s="9"/>
      <c r="Q517" s="9"/>
      <c r="R517" s="9"/>
    </row>
    <row r="518" spans="5:18" ht="15.75" customHeight="1" x14ac:dyDescent="0.3">
      <c r="E518" s="9"/>
      <c r="F518" s="9"/>
      <c r="H518" s="9"/>
      <c r="M518" s="9"/>
      <c r="N518" s="9"/>
      <c r="O518" s="9"/>
      <c r="P518" s="9"/>
      <c r="Q518" s="9"/>
      <c r="R518" s="9"/>
    </row>
    <row r="519" spans="5:18" ht="15.75" customHeight="1" x14ac:dyDescent="0.3">
      <c r="E519" s="9"/>
      <c r="F519" s="9"/>
      <c r="H519" s="9"/>
      <c r="M519" s="9"/>
      <c r="N519" s="9"/>
      <c r="O519" s="9"/>
      <c r="P519" s="9"/>
      <c r="Q519" s="9"/>
      <c r="R519" s="9"/>
    </row>
    <row r="520" spans="5:18" ht="15.75" customHeight="1" x14ac:dyDescent="0.3">
      <c r="E520" s="9"/>
      <c r="F520" s="9"/>
      <c r="H520" s="9"/>
      <c r="M520" s="9"/>
      <c r="N520" s="9"/>
      <c r="O520" s="9"/>
      <c r="P520" s="9"/>
      <c r="Q520" s="9"/>
      <c r="R520" s="9"/>
    </row>
    <row r="521" spans="5:18" ht="15.75" customHeight="1" x14ac:dyDescent="0.3">
      <c r="E521" s="9"/>
      <c r="F521" s="9"/>
      <c r="H521" s="9"/>
      <c r="M521" s="9"/>
      <c r="N521" s="9"/>
      <c r="O521" s="9"/>
      <c r="P521" s="9"/>
      <c r="Q521" s="9"/>
      <c r="R521" s="9"/>
    </row>
    <row r="522" spans="5:18" ht="15.75" customHeight="1" x14ac:dyDescent="0.3">
      <c r="E522" s="9"/>
      <c r="F522" s="9"/>
      <c r="H522" s="9"/>
      <c r="M522" s="9"/>
      <c r="N522" s="9"/>
      <c r="O522" s="9"/>
      <c r="P522" s="9"/>
      <c r="Q522" s="9"/>
      <c r="R522" s="9"/>
    </row>
    <row r="523" spans="5:18" ht="15.75" customHeight="1" x14ac:dyDescent="0.3">
      <c r="E523" s="9"/>
      <c r="F523" s="9"/>
      <c r="H523" s="9"/>
      <c r="M523" s="9"/>
      <c r="N523" s="9"/>
      <c r="O523" s="9"/>
      <c r="P523" s="9"/>
      <c r="Q523" s="9"/>
      <c r="R523" s="9"/>
    </row>
    <row r="524" spans="5:18" ht="15.75" customHeight="1" x14ac:dyDescent="0.3">
      <c r="E524" s="9"/>
      <c r="F524" s="9"/>
      <c r="H524" s="9"/>
      <c r="M524" s="9"/>
      <c r="N524" s="9"/>
      <c r="O524" s="9"/>
      <c r="P524" s="9"/>
      <c r="Q524" s="9"/>
      <c r="R524" s="9"/>
    </row>
    <row r="525" spans="5:18" ht="15.75" customHeight="1" x14ac:dyDescent="0.3">
      <c r="E525" s="9"/>
      <c r="F525" s="9"/>
      <c r="H525" s="9"/>
      <c r="M525" s="9"/>
      <c r="N525" s="9"/>
      <c r="O525" s="9"/>
      <c r="P525" s="9"/>
      <c r="Q525" s="9"/>
      <c r="R525" s="9"/>
    </row>
    <row r="526" spans="5:18" ht="15.75" customHeight="1" x14ac:dyDescent="0.3">
      <c r="E526" s="9"/>
      <c r="F526" s="9"/>
      <c r="H526" s="9"/>
      <c r="M526" s="9"/>
      <c r="N526" s="9"/>
      <c r="O526" s="9"/>
      <c r="P526" s="9"/>
      <c r="Q526" s="9"/>
      <c r="R526" s="9"/>
    </row>
    <row r="527" spans="5:18" ht="15.75" customHeight="1" x14ac:dyDescent="0.3">
      <c r="E527" s="9"/>
      <c r="F527" s="9"/>
      <c r="H527" s="9"/>
      <c r="M527" s="9"/>
      <c r="N527" s="9"/>
      <c r="O527" s="9"/>
      <c r="P527" s="9"/>
      <c r="Q527" s="9"/>
      <c r="R527" s="9"/>
    </row>
    <row r="528" spans="5:18" ht="15.75" customHeight="1" x14ac:dyDescent="0.3">
      <c r="E528" s="9"/>
      <c r="F528" s="9"/>
      <c r="H528" s="9"/>
      <c r="M528" s="9"/>
      <c r="N528" s="9"/>
      <c r="O528" s="9"/>
      <c r="P528" s="9"/>
      <c r="Q528" s="9"/>
      <c r="R528" s="9"/>
    </row>
    <row r="529" spans="5:18" ht="15.75" customHeight="1" x14ac:dyDescent="0.3">
      <c r="E529" s="9"/>
      <c r="F529" s="9"/>
      <c r="H529" s="9"/>
      <c r="M529" s="9"/>
      <c r="N529" s="9"/>
      <c r="O529" s="9"/>
      <c r="P529" s="9"/>
      <c r="Q529" s="9"/>
      <c r="R529" s="9"/>
    </row>
    <row r="530" spans="5:18" ht="15.75" customHeight="1" x14ac:dyDescent="0.3">
      <c r="E530" s="9"/>
      <c r="F530" s="9"/>
      <c r="H530" s="9"/>
      <c r="M530" s="9"/>
      <c r="N530" s="9"/>
      <c r="O530" s="9"/>
      <c r="P530" s="9"/>
      <c r="Q530" s="9"/>
      <c r="R530" s="9"/>
    </row>
    <row r="531" spans="5:18" ht="15.75" customHeight="1" x14ac:dyDescent="0.3">
      <c r="E531" s="9"/>
      <c r="F531" s="9"/>
      <c r="H531" s="9"/>
      <c r="M531" s="9"/>
      <c r="N531" s="9"/>
      <c r="O531" s="9"/>
      <c r="P531" s="9"/>
      <c r="Q531" s="9"/>
      <c r="R531" s="9"/>
    </row>
    <row r="532" spans="5:18" ht="15.75" customHeight="1" x14ac:dyDescent="0.3">
      <c r="E532" s="9"/>
      <c r="F532" s="9"/>
      <c r="H532" s="9"/>
      <c r="M532" s="9"/>
      <c r="N532" s="9"/>
      <c r="O532" s="9"/>
      <c r="P532" s="9"/>
      <c r="Q532" s="9"/>
      <c r="R532" s="9"/>
    </row>
    <row r="533" spans="5:18" ht="15.75" customHeight="1" x14ac:dyDescent="0.3">
      <c r="E533" s="9"/>
      <c r="F533" s="9"/>
      <c r="H533" s="9"/>
      <c r="M533" s="9"/>
      <c r="N533" s="9"/>
      <c r="O533" s="9"/>
      <c r="P533" s="9"/>
      <c r="Q533" s="9"/>
      <c r="R533" s="9"/>
    </row>
    <row r="534" spans="5:18" ht="15.75" customHeight="1" x14ac:dyDescent="0.3">
      <c r="E534" s="9"/>
      <c r="F534" s="9"/>
      <c r="H534" s="9"/>
      <c r="M534" s="9"/>
      <c r="N534" s="9"/>
      <c r="O534" s="9"/>
      <c r="P534" s="9"/>
      <c r="Q534" s="9"/>
      <c r="R534" s="9"/>
    </row>
    <row r="535" spans="5:18" ht="15.75" customHeight="1" x14ac:dyDescent="0.3">
      <c r="E535" s="9"/>
      <c r="F535" s="9"/>
      <c r="H535" s="9"/>
      <c r="M535" s="9"/>
      <c r="N535" s="9"/>
      <c r="O535" s="9"/>
      <c r="P535" s="9"/>
      <c r="Q535" s="9"/>
      <c r="R535" s="9"/>
    </row>
    <row r="536" spans="5:18" ht="15.75" customHeight="1" x14ac:dyDescent="0.3">
      <c r="E536" s="9"/>
      <c r="F536" s="9"/>
      <c r="H536" s="9"/>
      <c r="M536" s="9"/>
      <c r="N536" s="9"/>
      <c r="O536" s="9"/>
      <c r="P536" s="9"/>
      <c r="Q536" s="9"/>
      <c r="R536" s="9"/>
    </row>
    <row r="537" spans="5:18" ht="15.75" customHeight="1" x14ac:dyDescent="0.3">
      <c r="E537" s="9"/>
      <c r="F537" s="9"/>
      <c r="H537" s="9"/>
      <c r="M537" s="9"/>
      <c r="N537" s="9"/>
      <c r="O537" s="9"/>
      <c r="P537" s="9"/>
      <c r="Q537" s="9"/>
      <c r="R537" s="9"/>
    </row>
    <row r="538" spans="5:18" ht="15.75" customHeight="1" x14ac:dyDescent="0.3">
      <c r="E538" s="9"/>
      <c r="F538" s="9"/>
      <c r="H538" s="9"/>
      <c r="M538" s="9"/>
      <c r="N538" s="9"/>
      <c r="O538" s="9"/>
      <c r="P538" s="9"/>
      <c r="Q538" s="9"/>
      <c r="R538" s="9"/>
    </row>
    <row r="539" spans="5:18" ht="15.75" customHeight="1" x14ac:dyDescent="0.3">
      <c r="E539" s="9"/>
      <c r="F539" s="9"/>
      <c r="H539" s="9"/>
      <c r="M539" s="9"/>
      <c r="N539" s="9"/>
      <c r="O539" s="9"/>
      <c r="P539" s="9"/>
      <c r="Q539" s="9"/>
      <c r="R539" s="9"/>
    </row>
    <row r="540" spans="5:18" ht="15.75" customHeight="1" x14ac:dyDescent="0.3">
      <c r="E540" s="9"/>
      <c r="F540" s="9"/>
      <c r="H540" s="9"/>
      <c r="M540" s="9"/>
      <c r="N540" s="9"/>
      <c r="O540" s="9"/>
      <c r="P540" s="9"/>
      <c r="Q540" s="9"/>
      <c r="R540" s="9"/>
    </row>
    <row r="541" spans="5:18" ht="15.75" customHeight="1" x14ac:dyDescent="0.3">
      <c r="E541" s="9"/>
      <c r="F541" s="9"/>
      <c r="H541" s="9"/>
      <c r="M541" s="9"/>
      <c r="N541" s="9"/>
      <c r="O541" s="9"/>
      <c r="P541" s="9"/>
      <c r="Q541" s="9"/>
      <c r="R541" s="9"/>
    </row>
    <row r="542" spans="5:18" ht="15.75" customHeight="1" x14ac:dyDescent="0.3">
      <c r="E542" s="9"/>
      <c r="F542" s="9"/>
      <c r="H542" s="9"/>
      <c r="M542" s="9"/>
      <c r="N542" s="9"/>
      <c r="O542" s="9"/>
      <c r="P542" s="9"/>
      <c r="Q542" s="9"/>
      <c r="R542" s="9"/>
    </row>
    <row r="543" spans="5:18" ht="15.75" customHeight="1" x14ac:dyDescent="0.3">
      <c r="E543" s="9"/>
      <c r="F543" s="9"/>
      <c r="H543" s="9"/>
      <c r="M543" s="9"/>
      <c r="N543" s="9"/>
      <c r="O543" s="9"/>
      <c r="P543" s="9"/>
      <c r="Q543" s="9"/>
      <c r="R543" s="9"/>
    </row>
    <row r="544" spans="5:18" ht="15.75" customHeight="1" x14ac:dyDescent="0.3">
      <c r="E544" s="9"/>
      <c r="F544" s="9"/>
      <c r="H544" s="9"/>
      <c r="M544" s="9"/>
      <c r="N544" s="9"/>
      <c r="O544" s="9"/>
      <c r="P544" s="9"/>
      <c r="Q544" s="9"/>
      <c r="R544" s="9"/>
    </row>
    <row r="545" spans="5:18" ht="15.75" customHeight="1" x14ac:dyDescent="0.3">
      <c r="E545" s="9"/>
      <c r="F545" s="9"/>
      <c r="H545" s="9"/>
      <c r="M545" s="9"/>
      <c r="N545" s="9"/>
      <c r="O545" s="9"/>
      <c r="P545" s="9"/>
      <c r="Q545" s="9"/>
      <c r="R545" s="9"/>
    </row>
    <row r="546" spans="5:18" ht="15.75" customHeight="1" x14ac:dyDescent="0.3">
      <c r="E546" s="9"/>
      <c r="F546" s="9"/>
      <c r="H546" s="9"/>
      <c r="M546" s="9"/>
      <c r="N546" s="9"/>
      <c r="O546" s="9"/>
      <c r="P546" s="9"/>
      <c r="Q546" s="9"/>
      <c r="R546" s="9"/>
    </row>
    <row r="547" spans="5:18" ht="15.75" customHeight="1" x14ac:dyDescent="0.3">
      <c r="E547" s="9"/>
      <c r="F547" s="9"/>
      <c r="H547" s="9"/>
      <c r="M547" s="9"/>
      <c r="N547" s="9"/>
      <c r="O547" s="9"/>
      <c r="P547" s="9"/>
      <c r="Q547" s="9"/>
      <c r="R547" s="9"/>
    </row>
    <row r="548" spans="5:18" ht="15.75" customHeight="1" x14ac:dyDescent="0.3">
      <c r="E548" s="9"/>
      <c r="F548" s="9"/>
      <c r="H548" s="9"/>
      <c r="M548" s="9"/>
      <c r="N548" s="9"/>
      <c r="O548" s="9"/>
      <c r="P548" s="9"/>
      <c r="Q548" s="9"/>
      <c r="R548" s="9"/>
    </row>
    <row r="549" spans="5:18" ht="15.75" customHeight="1" x14ac:dyDescent="0.3">
      <c r="E549" s="9"/>
      <c r="F549" s="9"/>
      <c r="H549" s="9"/>
      <c r="M549" s="9"/>
      <c r="N549" s="9"/>
      <c r="O549" s="9"/>
      <c r="P549" s="9"/>
      <c r="Q549" s="9"/>
      <c r="R549" s="9"/>
    </row>
    <row r="550" spans="5:18" ht="15.75" customHeight="1" x14ac:dyDescent="0.3">
      <c r="E550" s="9"/>
      <c r="F550" s="9"/>
      <c r="H550" s="9"/>
      <c r="M550" s="9"/>
      <c r="N550" s="9"/>
      <c r="O550" s="9"/>
      <c r="P550" s="9"/>
      <c r="Q550" s="9"/>
      <c r="R550" s="9"/>
    </row>
    <row r="551" spans="5:18" ht="15.75" customHeight="1" x14ac:dyDescent="0.3">
      <c r="E551" s="9"/>
      <c r="F551" s="9"/>
      <c r="H551" s="9"/>
      <c r="M551" s="9"/>
      <c r="N551" s="9"/>
      <c r="O551" s="9"/>
      <c r="P551" s="9"/>
      <c r="Q551" s="9"/>
      <c r="R551" s="9"/>
    </row>
    <row r="552" spans="5:18" ht="15.75" customHeight="1" x14ac:dyDescent="0.3">
      <c r="E552" s="9"/>
      <c r="F552" s="9"/>
      <c r="H552" s="9"/>
      <c r="M552" s="9"/>
      <c r="N552" s="9"/>
      <c r="O552" s="9"/>
      <c r="P552" s="9"/>
      <c r="Q552" s="9"/>
      <c r="R552" s="9"/>
    </row>
    <row r="553" spans="5:18" ht="15.75" customHeight="1" x14ac:dyDescent="0.3">
      <c r="E553" s="9"/>
      <c r="F553" s="9"/>
      <c r="H553" s="9"/>
      <c r="M553" s="9"/>
      <c r="N553" s="9"/>
      <c r="O553" s="9"/>
      <c r="P553" s="9"/>
      <c r="Q553" s="9"/>
      <c r="R553" s="9"/>
    </row>
    <row r="554" spans="5:18" ht="15.75" customHeight="1" x14ac:dyDescent="0.3">
      <c r="E554" s="9"/>
      <c r="F554" s="9"/>
      <c r="H554" s="9"/>
      <c r="M554" s="9"/>
      <c r="N554" s="9"/>
      <c r="O554" s="9"/>
      <c r="P554" s="9"/>
      <c r="Q554" s="9"/>
      <c r="R554" s="9"/>
    </row>
    <row r="555" spans="5:18" ht="15.75" customHeight="1" x14ac:dyDescent="0.3">
      <c r="E555" s="9"/>
      <c r="F555" s="9"/>
      <c r="H555" s="9"/>
      <c r="M555" s="9"/>
      <c r="N555" s="9"/>
      <c r="O555" s="9"/>
      <c r="P555" s="9"/>
      <c r="Q555" s="9"/>
      <c r="R555" s="9"/>
    </row>
    <row r="556" spans="5:18" ht="15.75" customHeight="1" x14ac:dyDescent="0.3">
      <c r="E556" s="9"/>
      <c r="F556" s="9"/>
      <c r="H556" s="9"/>
      <c r="M556" s="9"/>
      <c r="N556" s="9"/>
      <c r="O556" s="9"/>
      <c r="P556" s="9"/>
      <c r="Q556" s="9"/>
      <c r="R556" s="9"/>
    </row>
    <row r="557" spans="5:18" ht="15.75" customHeight="1" x14ac:dyDescent="0.3">
      <c r="E557" s="9"/>
      <c r="F557" s="9"/>
      <c r="H557" s="9"/>
      <c r="M557" s="9"/>
      <c r="N557" s="9"/>
      <c r="O557" s="9"/>
      <c r="P557" s="9"/>
      <c r="Q557" s="9"/>
      <c r="R557" s="9"/>
    </row>
    <row r="558" spans="5:18" ht="15.75" customHeight="1" x14ac:dyDescent="0.3">
      <c r="E558" s="9"/>
      <c r="F558" s="9"/>
      <c r="H558" s="9"/>
      <c r="M558" s="9"/>
      <c r="N558" s="9"/>
      <c r="O558" s="9"/>
      <c r="P558" s="9"/>
      <c r="Q558" s="9"/>
      <c r="R558" s="9"/>
    </row>
    <row r="559" spans="5:18" ht="15.75" customHeight="1" x14ac:dyDescent="0.3">
      <c r="E559" s="9"/>
      <c r="F559" s="9"/>
      <c r="H559" s="9"/>
      <c r="M559" s="9"/>
      <c r="N559" s="9"/>
      <c r="O559" s="9"/>
      <c r="P559" s="9"/>
      <c r="Q559" s="9"/>
      <c r="R559" s="9"/>
    </row>
    <row r="560" spans="5:18" ht="15.75" customHeight="1" x14ac:dyDescent="0.3">
      <c r="E560" s="9"/>
      <c r="F560" s="9"/>
      <c r="H560" s="9"/>
      <c r="M560" s="9"/>
      <c r="N560" s="9"/>
      <c r="O560" s="9"/>
      <c r="P560" s="9"/>
      <c r="Q560" s="9"/>
      <c r="R560" s="9"/>
    </row>
    <row r="561" spans="5:18" ht="15.75" customHeight="1" x14ac:dyDescent="0.3">
      <c r="E561" s="9"/>
      <c r="F561" s="9"/>
      <c r="H561" s="9"/>
      <c r="M561" s="9"/>
      <c r="N561" s="9"/>
      <c r="O561" s="9"/>
      <c r="P561" s="9"/>
      <c r="Q561" s="9"/>
      <c r="R561" s="9"/>
    </row>
    <row r="562" spans="5:18" ht="15.75" customHeight="1" x14ac:dyDescent="0.3">
      <c r="E562" s="9"/>
      <c r="F562" s="9"/>
      <c r="H562" s="9"/>
      <c r="M562" s="9"/>
      <c r="N562" s="9"/>
      <c r="O562" s="9"/>
      <c r="P562" s="9"/>
      <c r="Q562" s="9"/>
      <c r="R562" s="9"/>
    </row>
    <row r="563" spans="5:18" ht="15.75" customHeight="1" x14ac:dyDescent="0.3">
      <c r="E563" s="9"/>
      <c r="F563" s="9"/>
      <c r="H563" s="9"/>
      <c r="M563" s="9"/>
      <c r="N563" s="9"/>
      <c r="O563" s="9"/>
      <c r="P563" s="9"/>
      <c r="Q563" s="9"/>
      <c r="R563" s="9"/>
    </row>
    <row r="564" spans="5:18" ht="15.75" customHeight="1" x14ac:dyDescent="0.3">
      <c r="E564" s="9"/>
      <c r="F564" s="9"/>
      <c r="H564" s="9"/>
      <c r="M564" s="9"/>
      <c r="N564" s="9"/>
      <c r="O564" s="9"/>
      <c r="P564" s="9"/>
      <c r="Q564" s="9"/>
      <c r="R564" s="9"/>
    </row>
    <row r="565" spans="5:18" ht="15.75" customHeight="1" x14ac:dyDescent="0.3">
      <c r="E565" s="9"/>
      <c r="F565" s="9"/>
      <c r="H565" s="9"/>
      <c r="M565" s="9"/>
      <c r="N565" s="9"/>
      <c r="O565" s="9"/>
      <c r="P565" s="9"/>
      <c r="Q565" s="9"/>
      <c r="R565" s="9"/>
    </row>
    <row r="566" spans="5:18" ht="15.75" customHeight="1" x14ac:dyDescent="0.3">
      <c r="E566" s="9"/>
      <c r="F566" s="9"/>
      <c r="H566" s="9"/>
      <c r="M566" s="9"/>
      <c r="N566" s="9"/>
      <c r="O566" s="9"/>
      <c r="P566" s="9"/>
      <c r="Q566" s="9"/>
      <c r="R566" s="9"/>
    </row>
    <row r="567" spans="5:18" ht="15.75" customHeight="1" x14ac:dyDescent="0.3">
      <c r="E567" s="9"/>
      <c r="F567" s="9"/>
      <c r="H567" s="9"/>
      <c r="M567" s="9"/>
      <c r="N567" s="9"/>
      <c r="O567" s="9"/>
      <c r="P567" s="9"/>
      <c r="Q567" s="9"/>
      <c r="R567" s="9"/>
    </row>
    <row r="568" spans="5:18" ht="15.75" customHeight="1" x14ac:dyDescent="0.3">
      <c r="E568" s="9"/>
      <c r="F568" s="9"/>
      <c r="H568" s="9"/>
      <c r="M568" s="9"/>
      <c r="N568" s="9"/>
      <c r="O568" s="9"/>
      <c r="P568" s="9"/>
      <c r="Q568" s="9"/>
      <c r="R568" s="9"/>
    </row>
    <row r="569" spans="5:18" ht="15.75" customHeight="1" x14ac:dyDescent="0.3">
      <c r="E569" s="9"/>
      <c r="F569" s="9"/>
      <c r="H569" s="9"/>
      <c r="M569" s="9"/>
      <c r="N569" s="9"/>
      <c r="O569" s="9"/>
      <c r="P569" s="9"/>
      <c r="Q569" s="9"/>
      <c r="R569" s="9"/>
    </row>
    <row r="570" spans="5:18" ht="15.75" customHeight="1" x14ac:dyDescent="0.3">
      <c r="E570" s="9"/>
      <c r="F570" s="9"/>
      <c r="H570" s="9"/>
      <c r="M570" s="9"/>
      <c r="N570" s="9"/>
      <c r="O570" s="9"/>
      <c r="P570" s="9"/>
      <c r="Q570" s="9"/>
      <c r="R570" s="9"/>
    </row>
    <row r="571" spans="5:18" ht="15.75" customHeight="1" x14ac:dyDescent="0.3">
      <c r="E571" s="9"/>
      <c r="F571" s="9"/>
      <c r="H571" s="9"/>
      <c r="M571" s="9"/>
      <c r="N571" s="9"/>
      <c r="O571" s="9"/>
      <c r="P571" s="9"/>
      <c r="Q571" s="9"/>
      <c r="R571" s="9"/>
    </row>
    <row r="572" spans="5:18" ht="15.75" customHeight="1" x14ac:dyDescent="0.3">
      <c r="E572" s="9"/>
      <c r="F572" s="9"/>
      <c r="H572" s="9"/>
      <c r="M572" s="9"/>
      <c r="N572" s="9"/>
      <c r="O572" s="9"/>
      <c r="P572" s="9"/>
      <c r="Q572" s="9"/>
      <c r="R572" s="9"/>
    </row>
    <row r="573" spans="5:18" ht="15.75" customHeight="1" x14ac:dyDescent="0.3">
      <c r="E573" s="9"/>
      <c r="F573" s="9"/>
      <c r="H573" s="9"/>
      <c r="M573" s="9"/>
      <c r="N573" s="9"/>
      <c r="O573" s="9"/>
      <c r="P573" s="9"/>
      <c r="Q573" s="9"/>
      <c r="R573" s="9"/>
    </row>
    <row r="574" spans="5:18" ht="15.75" customHeight="1" x14ac:dyDescent="0.3">
      <c r="E574" s="9"/>
      <c r="F574" s="9"/>
      <c r="H574" s="9"/>
      <c r="M574" s="9"/>
      <c r="N574" s="9"/>
      <c r="O574" s="9"/>
      <c r="P574" s="9"/>
      <c r="Q574" s="9"/>
      <c r="R574" s="9"/>
    </row>
    <row r="575" spans="5:18" ht="15.75" customHeight="1" x14ac:dyDescent="0.3">
      <c r="E575" s="9"/>
      <c r="F575" s="9"/>
      <c r="H575" s="9"/>
      <c r="M575" s="9"/>
      <c r="N575" s="9"/>
      <c r="O575" s="9"/>
      <c r="P575" s="9"/>
      <c r="Q575" s="9"/>
      <c r="R575" s="9"/>
    </row>
    <row r="576" spans="5:18" ht="15.75" customHeight="1" x14ac:dyDescent="0.3">
      <c r="E576" s="9"/>
      <c r="F576" s="9"/>
      <c r="H576" s="9"/>
      <c r="M576" s="9"/>
      <c r="N576" s="9"/>
      <c r="O576" s="9"/>
      <c r="P576" s="9"/>
      <c r="Q576" s="9"/>
      <c r="R576" s="9"/>
    </row>
    <row r="577" spans="5:18" ht="15.75" customHeight="1" x14ac:dyDescent="0.3">
      <c r="E577" s="9"/>
      <c r="F577" s="9"/>
      <c r="H577" s="9"/>
      <c r="M577" s="9"/>
      <c r="N577" s="9"/>
      <c r="O577" s="9"/>
      <c r="P577" s="9"/>
      <c r="Q577" s="9"/>
      <c r="R577" s="9"/>
    </row>
    <row r="578" spans="5:18" ht="15.75" customHeight="1" x14ac:dyDescent="0.3">
      <c r="E578" s="9"/>
      <c r="F578" s="9"/>
      <c r="H578" s="9"/>
      <c r="M578" s="9"/>
      <c r="N578" s="9"/>
      <c r="O578" s="9"/>
      <c r="P578" s="9"/>
      <c r="Q578" s="9"/>
      <c r="R578" s="9"/>
    </row>
    <row r="579" spans="5:18" ht="15.75" customHeight="1" x14ac:dyDescent="0.3">
      <c r="E579" s="9"/>
      <c r="F579" s="9"/>
      <c r="H579" s="9"/>
      <c r="M579" s="9"/>
      <c r="N579" s="9"/>
      <c r="O579" s="9"/>
      <c r="P579" s="9"/>
      <c r="Q579" s="9"/>
      <c r="R579" s="9"/>
    </row>
    <row r="580" spans="5:18" ht="15.75" customHeight="1" x14ac:dyDescent="0.3">
      <c r="E580" s="9"/>
      <c r="F580" s="9"/>
      <c r="H580" s="9"/>
      <c r="M580" s="9"/>
      <c r="N580" s="9"/>
      <c r="O580" s="9"/>
      <c r="P580" s="9"/>
      <c r="Q580" s="9"/>
      <c r="R580" s="9"/>
    </row>
    <row r="581" spans="5:18" ht="15.75" customHeight="1" x14ac:dyDescent="0.3">
      <c r="E581" s="9"/>
      <c r="F581" s="9"/>
      <c r="H581" s="9"/>
      <c r="M581" s="9"/>
      <c r="N581" s="9"/>
      <c r="O581" s="9"/>
      <c r="P581" s="9"/>
      <c r="Q581" s="9"/>
      <c r="R581" s="9"/>
    </row>
    <row r="582" spans="5:18" ht="15.75" customHeight="1" x14ac:dyDescent="0.3">
      <c r="E582" s="9"/>
      <c r="F582" s="9"/>
      <c r="H582" s="9"/>
      <c r="M582" s="9"/>
      <c r="N582" s="9"/>
      <c r="O582" s="9"/>
      <c r="P582" s="9"/>
      <c r="Q582" s="9"/>
      <c r="R582" s="9"/>
    </row>
    <row r="583" spans="5:18" ht="15.75" customHeight="1" x14ac:dyDescent="0.3">
      <c r="E583" s="9"/>
      <c r="F583" s="9"/>
      <c r="H583" s="9"/>
      <c r="M583" s="9"/>
      <c r="N583" s="9"/>
      <c r="O583" s="9"/>
      <c r="P583" s="9"/>
      <c r="Q583" s="9"/>
      <c r="R583" s="9"/>
    </row>
    <row r="584" spans="5:18" ht="15.75" customHeight="1" x14ac:dyDescent="0.3">
      <c r="E584" s="9"/>
      <c r="F584" s="9"/>
      <c r="H584" s="9"/>
      <c r="M584" s="9"/>
      <c r="N584" s="9"/>
      <c r="O584" s="9"/>
      <c r="P584" s="9"/>
      <c r="Q584" s="9"/>
      <c r="R584" s="9"/>
    </row>
    <row r="585" spans="5:18" ht="15.75" customHeight="1" x14ac:dyDescent="0.3">
      <c r="E585" s="9"/>
      <c r="F585" s="9"/>
      <c r="H585" s="9"/>
      <c r="M585" s="9"/>
      <c r="N585" s="9"/>
      <c r="O585" s="9"/>
      <c r="P585" s="9"/>
      <c r="Q585" s="9"/>
      <c r="R585" s="9"/>
    </row>
    <row r="586" spans="5:18" ht="15.75" customHeight="1" x14ac:dyDescent="0.3">
      <c r="E586" s="9"/>
      <c r="F586" s="9"/>
      <c r="H586" s="9"/>
      <c r="M586" s="9"/>
      <c r="N586" s="9"/>
      <c r="O586" s="9"/>
      <c r="P586" s="9"/>
      <c r="Q586" s="9"/>
      <c r="R586" s="9"/>
    </row>
    <row r="587" spans="5:18" ht="15.75" customHeight="1" x14ac:dyDescent="0.3">
      <c r="E587" s="9"/>
      <c r="F587" s="9"/>
      <c r="H587" s="9"/>
      <c r="M587" s="9"/>
      <c r="N587" s="9"/>
      <c r="O587" s="9"/>
      <c r="P587" s="9"/>
      <c r="Q587" s="9"/>
      <c r="R587" s="9"/>
    </row>
    <row r="588" spans="5:18" ht="15.75" customHeight="1" x14ac:dyDescent="0.3">
      <c r="E588" s="9"/>
      <c r="F588" s="9"/>
      <c r="H588" s="9"/>
      <c r="M588" s="9"/>
      <c r="N588" s="9"/>
      <c r="O588" s="9"/>
      <c r="P588" s="9"/>
      <c r="Q588" s="9"/>
      <c r="R588" s="9"/>
    </row>
    <row r="589" spans="5:18" ht="15.75" customHeight="1" x14ac:dyDescent="0.3">
      <c r="E589" s="9"/>
      <c r="F589" s="9"/>
      <c r="H589" s="9"/>
      <c r="M589" s="9"/>
      <c r="N589" s="9"/>
      <c r="O589" s="9"/>
      <c r="P589" s="9"/>
      <c r="Q589" s="9"/>
      <c r="R589" s="9"/>
    </row>
    <row r="590" spans="5:18" ht="15.75" customHeight="1" x14ac:dyDescent="0.3">
      <c r="E590" s="9"/>
      <c r="F590" s="9"/>
      <c r="H590" s="9"/>
      <c r="M590" s="9"/>
      <c r="N590" s="9"/>
      <c r="O590" s="9"/>
      <c r="P590" s="9"/>
      <c r="Q590" s="9"/>
      <c r="R590" s="9"/>
    </row>
    <row r="591" spans="5:18" ht="15.75" customHeight="1" x14ac:dyDescent="0.3">
      <c r="E591" s="9"/>
      <c r="F591" s="9"/>
      <c r="H591" s="9"/>
      <c r="M591" s="9"/>
      <c r="N591" s="9"/>
      <c r="O591" s="9"/>
      <c r="P591" s="9"/>
      <c r="Q591" s="9"/>
      <c r="R591" s="9"/>
    </row>
    <row r="592" spans="5:18" ht="15.75" customHeight="1" x14ac:dyDescent="0.3">
      <c r="E592" s="9"/>
      <c r="F592" s="9"/>
      <c r="H592" s="9"/>
      <c r="M592" s="9"/>
      <c r="N592" s="9"/>
      <c r="O592" s="9"/>
      <c r="P592" s="9"/>
      <c r="Q592" s="9"/>
      <c r="R592" s="9"/>
    </row>
    <row r="593" spans="5:18" ht="15.75" customHeight="1" x14ac:dyDescent="0.3">
      <c r="E593" s="9"/>
      <c r="F593" s="9"/>
      <c r="H593" s="9"/>
      <c r="M593" s="9"/>
      <c r="N593" s="9"/>
      <c r="O593" s="9"/>
      <c r="P593" s="9"/>
      <c r="Q593" s="9"/>
      <c r="R593" s="9"/>
    </row>
    <row r="594" spans="5:18" ht="15.75" customHeight="1" x14ac:dyDescent="0.3">
      <c r="E594" s="9"/>
      <c r="F594" s="9"/>
      <c r="H594" s="9"/>
      <c r="M594" s="9"/>
      <c r="N594" s="9"/>
      <c r="O594" s="9"/>
      <c r="P594" s="9"/>
      <c r="Q594" s="9"/>
      <c r="R594" s="9"/>
    </row>
    <row r="595" spans="5:18" ht="15.75" customHeight="1" x14ac:dyDescent="0.3">
      <c r="E595" s="9"/>
      <c r="F595" s="9"/>
      <c r="H595" s="9"/>
      <c r="M595" s="9"/>
      <c r="N595" s="9"/>
      <c r="O595" s="9"/>
      <c r="P595" s="9"/>
      <c r="Q595" s="9"/>
      <c r="R595" s="9"/>
    </row>
    <row r="596" spans="5:18" ht="15.75" customHeight="1" x14ac:dyDescent="0.3">
      <c r="E596" s="9"/>
      <c r="F596" s="9"/>
      <c r="H596" s="9"/>
      <c r="M596" s="9"/>
      <c r="N596" s="9"/>
      <c r="O596" s="9"/>
      <c r="P596" s="9"/>
      <c r="Q596" s="9"/>
      <c r="R596" s="9"/>
    </row>
    <row r="597" spans="5:18" ht="15.75" customHeight="1" x14ac:dyDescent="0.3">
      <c r="E597" s="9"/>
      <c r="F597" s="9"/>
      <c r="H597" s="9"/>
      <c r="M597" s="9"/>
      <c r="N597" s="9"/>
      <c r="O597" s="9"/>
      <c r="P597" s="9"/>
      <c r="Q597" s="9"/>
      <c r="R597" s="9"/>
    </row>
    <row r="598" spans="5:18" ht="15.75" customHeight="1" x14ac:dyDescent="0.3">
      <c r="E598" s="9"/>
      <c r="F598" s="9"/>
      <c r="H598" s="9"/>
      <c r="M598" s="9"/>
      <c r="N598" s="9"/>
      <c r="O598" s="9"/>
      <c r="P598" s="9"/>
      <c r="Q598" s="9"/>
      <c r="R598" s="9"/>
    </row>
    <row r="599" spans="5:18" ht="15.75" customHeight="1" x14ac:dyDescent="0.3">
      <c r="E599" s="9"/>
      <c r="F599" s="9"/>
      <c r="H599" s="9"/>
      <c r="M599" s="9"/>
      <c r="N599" s="9"/>
      <c r="O599" s="9"/>
      <c r="P599" s="9"/>
      <c r="Q599" s="9"/>
      <c r="R599" s="9"/>
    </row>
    <row r="600" spans="5:18" ht="15.75" customHeight="1" x14ac:dyDescent="0.3">
      <c r="E600" s="9"/>
      <c r="F600" s="9"/>
      <c r="H600" s="9"/>
      <c r="M600" s="9"/>
      <c r="N600" s="9"/>
      <c r="O600" s="9"/>
      <c r="P600" s="9"/>
      <c r="Q600" s="9"/>
      <c r="R600" s="9"/>
    </row>
    <row r="601" spans="5:18" ht="15.75" customHeight="1" x14ac:dyDescent="0.3">
      <c r="E601" s="9"/>
      <c r="F601" s="9"/>
      <c r="H601" s="9"/>
      <c r="M601" s="9"/>
      <c r="N601" s="9"/>
      <c r="O601" s="9"/>
      <c r="P601" s="9"/>
      <c r="Q601" s="9"/>
      <c r="R601" s="9"/>
    </row>
    <row r="602" spans="5:18" ht="15.75" customHeight="1" x14ac:dyDescent="0.3">
      <c r="E602" s="9"/>
      <c r="F602" s="9"/>
      <c r="H602" s="9"/>
      <c r="M602" s="9"/>
      <c r="N602" s="9"/>
      <c r="O602" s="9"/>
      <c r="P602" s="9"/>
      <c r="Q602" s="9"/>
      <c r="R602" s="9"/>
    </row>
    <row r="603" spans="5:18" ht="15.75" customHeight="1" x14ac:dyDescent="0.3">
      <c r="E603" s="9"/>
      <c r="F603" s="9"/>
      <c r="H603" s="9"/>
      <c r="M603" s="9"/>
      <c r="N603" s="9"/>
      <c r="O603" s="9"/>
      <c r="P603" s="9"/>
      <c r="Q603" s="9"/>
      <c r="R603" s="9"/>
    </row>
    <row r="604" spans="5:18" ht="15.75" customHeight="1" x14ac:dyDescent="0.3">
      <c r="E604" s="9"/>
      <c r="F604" s="9"/>
      <c r="H604" s="9"/>
      <c r="M604" s="9"/>
      <c r="N604" s="9"/>
      <c r="O604" s="9"/>
      <c r="P604" s="9"/>
      <c r="Q604" s="9"/>
      <c r="R604" s="9"/>
    </row>
    <row r="605" spans="5:18" ht="15.75" customHeight="1" x14ac:dyDescent="0.3">
      <c r="E605" s="9"/>
      <c r="F605" s="9"/>
      <c r="H605" s="9"/>
      <c r="M605" s="9"/>
      <c r="N605" s="9"/>
      <c r="O605" s="9"/>
      <c r="P605" s="9"/>
      <c r="Q605" s="9"/>
      <c r="R605" s="9"/>
    </row>
    <row r="606" spans="5:18" ht="15.75" customHeight="1" x14ac:dyDescent="0.3">
      <c r="E606" s="9"/>
      <c r="F606" s="9"/>
      <c r="H606" s="9"/>
      <c r="M606" s="9"/>
      <c r="N606" s="9"/>
      <c r="O606" s="9"/>
      <c r="P606" s="9"/>
      <c r="Q606" s="9"/>
      <c r="R606" s="9"/>
    </row>
    <row r="607" spans="5:18" ht="15.75" customHeight="1" x14ac:dyDescent="0.3">
      <c r="E607" s="9"/>
      <c r="F607" s="9"/>
      <c r="H607" s="9"/>
      <c r="M607" s="9"/>
      <c r="N607" s="9"/>
      <c r="O607" s="9"/>
      <c r="P607" s="9"/>
      <c r="Q607" s="9"/>
      <c r="R607" s="9"/>
    </row>
    <row r="608" spans="5:18" ht="15.75" customHeight="1" x14ac:dyDescent="0.3">
      <c r="E608" s="9"/>
      <c r="F608" s="9"/>
      <c r="H608" s="9"/>
      <c r="M608" s="9"/>
      <c r="N608" s="9"/>
      <c r="O608" s="9"/>
      <c r="P608" s="9"/>
      <c r="Q608" s="9"/>
      <c r="R608" s="9"/>
    </row>
    <row r="609" spans="5:18" ht="15.75" customHeight="1" x14ac:dyDescent="0.3">
      <c r="E609" s="9"/>
      <c r="F609" s="9"/>
      <c r="H609" s="9"/>
      <c r="M609" s="9"/>
      <c r="N609" s="9"/>
      <c r="O609" s="9"/>
      <c r="P609" s="9"/>
      <c r="Q609" s="9"/>
      <c r="R609" s="9"/>
    </row>
    <row r="610" spans="5:18" ht="15.75" customHeight="1" x14ac:dyDescent="0.3">
      <c r="E610" s="9"/>
      <c r="F610" s="9"/>
      <c r="H610" s="9"/>
      <c r="M610" s="9"/>
      <c r="N610" s="9"/>
      <c r="O610" s="9"/>
      <c r="P610" s="9"/>
      <c r="Q610" s="9"/>
      <c r="R610" s="9"/>
    </row>
    <row r="611" spans="5:18" ht="15.75" customHeight="1" x14ac:dyDescent="0.3">
      <c r="E611" s="9"/>
      <c r="F611" s="9"/>
      <c r="H611" s="9"/>
      <c r="M611" s="9"/>
      <c r="N611" s="9"/>
      <c r="O611" s="9"/>
      <c r="P611" s="9"/>
      <c r="Q611" s="9"/>
      <c r="R611" s="9"/>
    </row>
    <row r="612" spans="5:18" ht="15.75" customHeight="1" x14ac:dyDescent="0.3">
      <c r="E612" s="9"/>
      <c r="F612" s="9"/>
      <c r="H612" s="9"/>
      <c r="M612" s="9"/>
      <c r="N612" s="9"/>
      <c r="O612" s="9"/>
      <c r="P612" s="9"/>
      <c r="Q612" s="9"/>
      <c r="R612" s="9"/>
    </row>
    <row r="613" spans="5:18" ht="15.75" customHeight="1" x14ac:dyDescent="0.3">
      <c r="E613" s="9"/>
      <c r="F613" s="9"/>
      <c r="H613" s="9"/>
      <c r="M613" s="9"/>
      <c r="N613" s="9"/>
      <c r="O613" s="9"/>
      <c r="P613" s="9"/>
      <c r="Q613" s="9"/>
      <c r="R613" s="9"/>
    </row>
    <row r="614" spans="5:18" ht="15.75" customHeight="1" x14ac:dyDescent="0.3">
      <c r="E614" s="9"/>
      <c r="F614" s="9"/>
      <c r="H614" s="9"/>
      <c r="M614" s="9"/>
      <c r="N614" s="9"/>
      <c r="O614" s="9"/>
      <c r="P614" s="9"/>
      <c r="Q614" s="9"/>
      <c r="R614" s="9"/>
    </row>
    <row r="615" spans="5:18" ht="15.75" customHeight="1" x14ac:dyDescent="0.3">
      <c r="E615" s="9"/>
      <c r="F615" s="9"/>
      <c r="H615" s="9"/>
      <c r="M615" s="9"/>
      <c r="N615" s="9"/>
      <c r="O615" s="9"/>
      <c r="P615" s="9"/>
      <c r="Q615" s="9"/>
      <c r="R615" s="9"/>
    </row>
    <row r="616" spans="5:18" ht="15.75" customHeight="1" x14ac:dyDescent="0.3">
      <c r="E616" s="9"/>
      <c r="F616" s="9"/>
      <c r="H616" s="9"/>
      <c r="M616" s="9"/>
      <c r="N616" s="9"/>
      <c r="O616" s="9"/>
      <c r="P616" s="9"/>
      <c r="Q616" s="9"/>
      <c r="R616" s="9"/>
    </row>
    <row r="617" spans="5:18" ht="15.75" customHeight="1" x14ac:dyDescent="0.3">
      <c r="E617" s="9"/>
      <c r="F617" s="9"/>
      <c r="H617" s="9"/>
      <c r="M617" s="9"/>
      <c r="N617" s="9"/>
      <c r="O617" s="9"/>
      <c r="P617" s="9"/>
      <c r="Q617" s="9"/>
      <c r="R617" s="9"/>
    </row>
    <row r="618" spans="5:18" ht="15.75" customHeight="1" x14ac:dyDescent="0.3">
      <c r="E618" s="9"/>
      <c r="F618" s="9"/>
      <c r="H618" s="9"/>
      <c r="M618" s="9"/>
      <c r="N618" s="9"/>
      <c r="O618" s="9"/>
      <c r="P618" s="9"/>
      <c r="Q618" s="9"/>
      <c r="R618" s="9"/>
    </row>
    <row r="619" spans="5:18" ht="15.75" customHeight="1" x14ac:dyDescent="0.3">
      <c r="E619" s="9"/>
      <c r="F619" s="9"/>
      <c r="H619" s="9"/>
      <c r="M619" s="9"/>
      <c r="N619" s="9"/>
      <c r="O619" s="9"/>
      <c r="P619" s="9"/>
      <c r="Q619" s="9"/>
      <c r="R619" s="9"/>
    </row>
    <row r="620" spans="5:18" ht="15.75" customHeight="1" x14ac:dyDescent="0.3">
      <c r="E620" s="9"/>
      <c r="F620" s="9"/>
      <c r="H620" s="9"/>
      <c r="M620" s="9"/>
      <c r="N620" s="9"/>
      <c r="O620" s="9"/>
      <c r="P620" s="9"/>
      <c r="Q620" s="9"/>
      <c r="R620" s="9"/>
    </row>
    <row r="621" spans="5:18" ht="15.75" customHeight="1" x14ac:dyDescent="0.3">
      <c r="E621" s="9"/>
      <c r="F621" s="9"/>
      <c r="H621" s="9"/>
      <c r="M621" s="9"/>
      <c r="N621" s="9"/>
      <c r="O621" s="9"/>
      <c r="P621" s="9"/>
      <c r="Q621" s="9"/>
      <c r="R621" s="9"/>
    </row>
    <row r="622" spans="5:18" ht="15.75" customHeight="1" x14ac:dyDescent="0.3">
      <c r="E622" s="9"/>
      <c r="F622" s="9"/>
      <c r="H622" s="9"/>
      <c r="M622" s="9"/>
      <c r="N622" s="9"/>
      <c r="O622" s="9"/>
      <c r="P622" s="9"/>
      <c r="Q622" s="9"/>
      <c r="R622" s="9"/>
    </row>
    <row r="623" spans="5:18" ht="15.75" customHeight="1" x14ac:dyDescent="0.3">
      <c r="E623" s="9"/>
      <c r="F623" s="9"/>
      <c r="H623" s="9"/>
      <c r="M623" s="9"/>
      <c r="N623" s="9"/>
      <c r="O623" s="9"/>
      <c r="P623" s="9"/>
      <c r="Q623" s="9"/>
      <c r="R623" s="9"/>
    </row>
    <row r="624" spans="5:18" ht="15.75" customHeight="1" x14ac:dyDescent="0.3">
      <c r="E624" s="9"/>
      <c r="F624" s="9"/>
      <c r="H624" s="9"/>
      <c r="M624" s="9"/>
      <c r="N624" s="9"/>
      <c r="O624" s="9"/>
      <c r="P624" s="9"/>
      <c r="Q624" s="9"/>
      <c r="R624" s="9"/>
    </row>
    <row r="625" spans="5:18" ht="15.75" customHeight="1" x14ac:dyDescent="0.3">
      <c r="E625" s="9"/>
      <c r="F625" s="9"/>
      <c r="H625" s="9"/>
      <c r="M625" s="9"/>
      <c r="N625" s="9"/>
      <c r="O625" s="9"/>
      <c r="P625" s="9"/>
      <c r="Q625" s="9"/>
      <c r="R625" s="9"/>
    </row>
    <row r="626" spans="5:18" ht="15.75" customHeight="1" x14ac:dyDescent="0.3">
      <c r="E626" s="9"/>
      <c r="F626" s="9"/>
      <c r="H626" s="9"/>
      <c r="M626" s="9"/>
      <c r="N626" s="9"/>
      <c r="O626" s="9"/>
      <c r="P626" s="9"/>
      <c r="Q626" s="9"/>
      <c r="R626" s="9"/>
    </row>
    <row r="627" spans="5:18" ht="15.75" customHeight="1" x14ac:dyDescent="0.3">
      <c r="E627" s="9"/>
      <c r="F627" s="9"/>
      <c r="H627" s="9"/>
      <c r="M627" s="9"/>
      <c r="N627" s="9"/>
      <c r="O627" s="9"/>
      <c r="P627" s="9"/>
      <c r="Q627" s="9"/>
      <c r="R627" s="9"/>
    </row>
    <row r="628" spans="5:18" ht="15.75" customHeight="1" x14ac:dyDescent="0.3">
      <c r="E628" s="9"/>
      <c r="F628" s="9"/>
      <c r="H628" s="9"/>
      <c r="M628" s="9"/>
      <c r="N628" s="9"/>
      <c r="O628" s="9"/>
      <c r="P628" s="9"/>
      <c r="Q628" s="9"/>
      <c r="R628" s="9"/>
    </row>
    <row r="629" spans="5:18" ht="15.75" customHeight="1" x14ac:dyDescent="0.3">
      <c r="E629" s="9"/>
      <c r="F629" s="9"/>
      <c r="H629" s="9"/>
      <c r="M629" s="9"/>
      <c r="N629" s="9"/>
      <c r="O629" s="9"/>
      <c r="P629" s="9"/>
      <c r="Q629" s="9"/>
      <c r="R629" s="9"/>
    </row>
    <row r="630" spans="5:18" ht="15.75" customHeight="1" x14ac:dyDescent="0.3">
      <c r="E630" s="9"/>
      <c r="F630" s="9"/>
      <c r="H630" s="9"/>
      <c r="M630" s="9"/>
      <c r="N630" s="9"/>
      <c r="O630" s="9"/>
      <c r="P630" s="9"/>
      <c r="Q630" s="9"/>
      <c r="R630" s="9"/>
    </row>
    <row r="631" spans="5:18" ht="15.75" customHeight="1" x14ac:dyDescent="0.3">
      <c r="E631" s="9"/>
      <c r="F631" s="9"/>
      <c r="H631" s="9"/>
      <c r="M631" s="9"/>
      <c r="N631" s="9"/>
      <c r="O631" s="9"/>
      <c r="P631" s="9"/>
      <c r="Q631" s="9"/>
      <c r="R631" s="9"/>
    </row>
    <row r="632" spans="5:18" ht="15.75" customHeight="1" x14ac:dyDescent="0.3">
      <c r="E632" s="9"/>
      <c r="F632" s="9"/>
      <c r="H632" s="9"/>
      <c r="M632" s="9"/>
      <c r="N632" s="9"/>
      <c r="O632" s="9"/>
      <c r="P632" s="9"/>
      <c r="Q632" s="9"/>
      <c r="R632" s="9"/>
    </row>
    <row r="633" spans="5:18" ht="15.75" customHeight="1" x14ac:dyDescent="0.3">
      <c r="E633" s="9"/>
      <c r="F633" s="9"/>
      <c r="H633" s="9"/>
      <c r="M633" s="9"/>
      <c r="N633" s="9"/>
      <c r="O633" s="9"/>
      <c r="P633" s="9"/>
      <c r="Q633" s="9"/>
      <c r="R633" s="9"/>
    </row>
    <row r="634" spans="5:18" ht="15.75" customHeight="1" x14ac:dyDescent="0.3">
      <c r="E634" s="9"/>
      <c r="F634" s="9"/>
      <c r="H634" s="9"/>
      <c r="M634" s="9"/>
      <c r="N634" s="9"/>
      <c r="O634" s="9"/>
      <c r="P634" s="9"/>
      <c r="Q634" s="9"/>
      <c r="R634" s="9"/>
    </row>
    <row r="635" spans="5:18" ht="15.75" customHeight="1" x14ac:dyDescent="0.3">
      <c r="E635" s="9"/>
      <c r="F635" s="9"/>
      <c r="H635" s="9"/>
      <c r="M635" s="9"/>
      <c r="N635" s="9"/>
      <c r="O635" s="9"/>
      <c r="P635" s="9"/>
      <c r="Q635" s="9"/>
      <c r="R635" s="9"/>
    </row>
    <row r="636" spans="5:18" ht="15.75" customHeight="1" x14ac:dyDescent="0.3">
      <c r="E636" s="9"/>
      <c r="F636" s="9"/>
      <c r="H636" s="9"/>
      <c r="M636" s="9"/>
      <c r="N636" s="9"/>
      <c r="O636" s="9"/>
      <c r="P636" s="9"/>
      <c r="Q636" s="9"/>
      <c r="R636" s="9"/>
    </row>
    <row r="637" spans="5:18" ht="15.75" customHeight="1" x14ac:dyDescent="0.3">
      <c r="E637" s="9"/>
      <c r="F637" s="9"/>
      <c r="H637" s="9"/>
      <c r="M637" s="9"/>
      <c r="N637" s="9"/>
      <c r="O637" s="9"/>
      <c r="P637" s="9"/>
      <c r="Q637" s="9"/>
      <c r="R637" s="9"/>
    </row>
    <row r="638" spans="5:18" ht="15.75" customHeight="1" x14ac:dyDescent="0.3">
      <c r="E638" s="9"/>
      <c r="F638" s="9"/>
      <c r="H638" s="9"/>
      <c r="M638" s="9"/>
      <c r="N638" s="9"/>
      <c r="O638" s="9"/>
      <c r="P638" s="9"/>
      <c r="Q638" s="9"/>
      <c r="R638" s="9"/>
    </row>
    <row r="639" spans="5:18" ht="15.75" customHeight="1" x14ac:dyDescent="0.3">
      <c r="E639" s="9"/>
      <c r="F639" s="9"/>
      <c r="H639" s="9"/>
      <c r="M639" s="9"/>
      <c r="N639" s="9"/>
      <c r="O639" s="9"/>
      <c r="P639" s="9"/>
      <c r="Q639" s="9"/>
      <c r="R639" s="9"/>
    </row>
    <row r="640" spans="5:18" ht="15.75" customHeight="1" x14ac:dyDescent="0.3">
      <c r="E640" s="9"/>
      <c r="F640" s="9"/>
      <c r="H640" s="9"/>
      <c r="M640" s="9"/>
      <c r="N640" s="9"/>
      <c r="O640" s="9"/>
      <c r="P640" s="9"/>
      <c r="Q640" s="9"/>
      <c r="R640" s="9"/>
    </row>
    <row r="641" spans="5:18" ht="15.75" customHeight="1" x14ac:dyDescent="0.3">
      <c r="E641" s="9"/>
      <c r="F641" s="9"/>
      <c r="H641" s="9"/>
      <c r="M641" s="9"/>
      <c r="N641" s="9"/>
      <c r="O641" s="9"/>
      <c r="P641" s="9"/>
      <c r="Q641" s="9"/>
      <c r="R641" s="9"/>
    </row>
    <row r="642" spans="5:18" ht="15.75" customHeight="1" x14ac:dyDescent="0.3">
      <c r="E642" s="9"/>
      <c r="F642" s="9"/>
      <c r="H642" s="9"/>
      <c r="M642" s="9"/>
      <c r="N642" s="9"/>
      <c r="O642" s="9"/>
      <c r="P642" s="9"/>
      <c r="Q642" s="9"/>
      <c r="R642" s="9"/>
    </row>
    <row r="643" spans="5:18" ht="15.75" customHeight="1" x14ac:dyDescent="0.3">
      <c r="E643" s="9"/>
      <c r="F643" s="9"/>
      <c r="H643" s="9"/>
      <c r="M643" s="9"/>
      <c r="N643" s="9"/>
      <c r="O643" s="9"/>
      <c r="P643" s="9"/>
      <c r="Q643" s="9"/>
      <c r="R643" s="9"/>
    </row>
    <row r="644" spans="5:18" ht="15.75" customHeight="1" x14ac:dyDescent="0.3">
      <c r="E644" s="9"/>
      <c r="F644" s="9"/>
      <c r="H644" s="9"/>
      <c r="M644" s="9"/>
      <c r="N644" s="9"/>
      <c r="O644" s="9"/>
      <c r="P644" s="9"/>
      <c r="Q644" s="9"/>
      <c r="R644" s="9"/>
    </row>
    <row r="645" spans="5:18" ht="15.75" customHeight="1" x14ac:dyDescent="0.3">
      <c r="E645" s="9"/>
      <c r="F645" s="9"/>
      <c r="H645" s="9"/>
      <c r="M645" s="9"/>
      <c r="N645" s="9"/>
      <c r="O645" s="9"/>
      <c r="P645" s="9"/>
      <c r="Q645" s="9"/>
      <c r="R645" s="9"/>
    </row>
    <row r="646" spans="5:18" ht="15.75" customHeight="1" x14ac:dyDescent="0.3">
      <c r="E646" s="9"/>
      <c r="F646" s="9"/>
      <c r="H646" s="9"/>
      <c r="M646" s="9"/>
      <c r="N646" s="9"/>
      <c r="O646" s="9"/>
      <c r="P646" s="9"/>
      <c r="Q646" s="9"/>
      <c r="R646" s="9"/>
    </row>
    <row r="647" spans="5:18" ht="15.75" customHeight="1" x14ac:dyDescent="0.3">
      <c r="E647" s="9"/>
      <c r="F647" s="9"/>
      <c r="H647" s="9"/>
      <c r="M647" s="9"/>
      <c r="N647" s="9"/>
      <c r="O647" s="9"/>
      <c r="P647" s="9"/>
      <c r="Q647" s="9"/>
      <c r="R647" s="9"/>
    </row>
    <row r="648" spans="5:18" ht="15.75" customHeight="1" x14ac:dyDescent="0.3">
      <c r="E648" s="9"/>
      <c r="F648" s="9"/>
      <c r="H648" s="9"/>
      <c r="M648" s="9"/>
      <c r="N648" s="9"/>
      <c r="O648" s="9"/>
      <c r="P648" s="9"/>
      <c r="Q648" s="9"/>
      <c r="R648" s="9"/>
    </row>
    <row r="649" spans="5:18" ht="15.75" customHeight="1" x14ac:dyDescent="0.3">
      <c r="E649" s="9"/>
      <c r="F649" s="9"/>
      <c r="H649" s="9"/>
      <c r="M649" s="9"/>
      <c r="N649" s="9"/>
      <c r="O649" s="9"/>
      <c r="P649" s="9"/>
      <c r="Q649" s="9"/>
      <c r="R649" s="9"/>
    </row>
    <row r="650" spans="5:18" ht="15.75" customHeight="1" x14ac:dyDescent="0.3">
      <c r="E650" s="9"/>
      <c r="F650" s="9"/>
      <c r="H650" s="9"/>
      <c r="M650" s="9"/>
      <c r="N650" s="9"/>
      <c r="O650" s="9"/>
      <c r="P650" s="9"/>
      <c r="Q650" s="9"/>
      <c r="R650" s="9"/>
    </row>
    <row r="651" spans="5:18" ht="15.75" customHeight="1" x14ac:dyDescent="0.3">
      <c r="E651" s="9"/>
      <c r="F651" s="9"/>
      <c r="H651" s="9"/>
      <c r="M651" s="9"/>
      <c r="N651" s="9"/>
      <c r="O651" s="9"/>
      <c r="P651" s="9"/>
      <c r="Q651" s="9"/>
      <c r="R651" s="9"/>
    </row>
    <row r="652" spans="5:18" ht="15.75" customHeight="1" x14ac:dyDescent="0.3">
      <c r="E652" s="9"/>
      <c r="F652" s="9"/>
      <c r="H652" s="9"/>
      <c r="M652" s="9"/>
      <c r="N652" s="9"/>
      <c r="O652" s="9"/>
      <c r="P652" s="9"/>
      <c r="Q652" s="9"/>
      <c r="R652" s="9"/>
    </row>
    <row r="653" spans="5:18" ht="15.75" customHeight="1" x14ac:dyDescent="0.3">
      <c r="E653" s="9"/>
      <c r="F653" s="9"/>
      <c r="H653" s="9"/>
      <c r="M653" s="9"/>
      <c r="N653" s="9"/>
      <c r="O653" s="9"/>
      <c r="P653" s="9"/>
      <c r="Q653" s="9"/>
      <c r="R653" s="9"/>
    </row>
    <row r="654" spans="5:18" ht="15.75" customHeight="1" x14ac:dyDescent="0.3">
      <c r="E654" s="9"/>
      <c r="F654" s="9"/>
      <c r="H654" s="9"/>
      <c r="M654" s="9"/>
      <c r="N654" s="9"/>
      <c r="O654" s="9"/>
      <c r="P654" s="9"/>
      <c r="Q654" s="9"/>
      <c r="R654" s="9"/>
    </row>
    <row r="655" spans="5:18" ht="15.75" customHeight="1" x14ac:dyDescent="0.3">
      <c r="E655" s="9"/>
      <c r="F655" s="9"/>
      <c r="H655" s="9"/>
      <c r="M655" s="9"/>
      <c r="N655" s="9"/>
      <c r="O655" s="9"/>
      <c r="P655" s="9"/>
      <c r="Q655" s="9"/>
      <c r="R655" s="9"/>
    </row>
    <row r="656" spans="5:18" ht="15.75" customHeight="1" x14ac:dyDescent="0.3">
      <c r="E656" s="9"/>
      <c r="F656" s="9"/>
      <c r="H656" s="9"/>
      <c r="M656" s="9"/>
      <c r="N656" s="9"/>
      <c r="O656" s="9"/>
      <c r="P656" s="9"/>
      <c r="Q656" s="9"/>
      <c r="R656" s="9"/>
    </row>
    <row r="657" spans="5:18" ht="15.75" customHeight="1" x14ac:dyDescent="0.3">
      <c r="E657" s="9"/>
      <c r="F657" s="9"/>
      <c r="H657" s="9"/>
      <c r="M657" s="9"/>
      <c r="N657" s="9"/>
      <c r="O657" s="9"/>
      <c r="P657" s="9"/>
      <c r="Q657" s="9"/>
      <c r="R657" s="9"/>
    </row>
    <row r="658" spans="5:18" ht="15.75" customHeight="1" x14ac:dyDescent="0.3">
      <c r="E658" s="9"/>
      <c r="F658" s="9"/>
      <c r="H658" s="9"/>
      <c r="M658" s="9"/>
      <c r="N658" s="9"/>
      <c r="O658" s="9"/>
      <c r="P658" s="9"/>
      <c r="Q658" s="9"/>
      <c r="R658" s="9"/>
    </row>
    <row r="659" spans="5:18" ht="15.75" customHeight="1" x14ac:dyDescent="0.3">
      <c r="E659" s="9"/>
      <c r="F659" s="9"/>
      <c r="H659" s="9"/>
      <c r="M659" s="9"/>
      <c r="N659" s="9"/>
      <c r="O659" s="9"/>
      <c r="P659" s="9"/>
      <c r="Q659" s="9"/>
      <c r="R659" s="9"/>
    </row>
    <row r="660" spans="5:18" ht="15.75" customHeight="1" x14ac:dyDescent="0.3">
      <c r="E660" s="9"/>
      <c r="F660" s="9"/>
      <c r="H660" s="9"/>
      <c r="M660" s="9"/>
      <c r="N660" s="9"/>
      <c r="O660" s="9"/>
      <c r="P660" s="9"/>
      <c r="Q660" s="9"/>
      <c r="R660" s="9"/>
    </row>
    <row r="661" spans="5:18" ht="15.75" customHeight="1" x14ac:dyDescent="0.3">
      <c r="E661" s="9"/>
      <c r="F661" s="9"/>
      <c r="H661" s="9"/>
      <c r="M661" s="9"/>
      <c r="N661" s="9"/>
      <c r="O661" s="9"/>
      <c r="P661" s="9"/>
      <c r="Q661" s="9"/>
      <c r="R661" s="9"/>
    </row>
    <row r="662" spans="5:18" ht="15.75" customHeight="1" x14ac:dyDescent="0.3">
      <c r="E662" s="9"/>
      <c r="F662" s="9"/>
      <c r="H662" s="9"/>
      <c r="M662" s="9"/>
      <c r="N662" s="9"/>
      <c r="O662" s="9"/>
      <c r="P662" s="9"/>
      <c r="Q662" s="9"/>
      <c r="R662" s="9"/>
    </row>
    <row r="663" spans="5:18" ht="15.75" customHeight="1" x14ac:dyDescent="0.3">
      <c r="E663" s="9"/>
      <c r="F663" s="9"/>
      <c r="H663" s="9"/>
      <c r="M663" s="9"/>
      <c r="N663" s="9"/>
      <c r="O663" s="9"/>
      <c r="P663" s="9"/>
      <c r="Q663" s="9"/>
      <c r="R663" s="9"/>
    </row>
    <row r="664" spans="5:18" ht="15.75" customHeight="1" x14ac:dyDescent="0.3">
      <c r="E664" s="9"/>
      <c r="F664" s="9"/>
      <c r="H664" s="9"/>
      <c r="M664" s="9"/>
      <c r="N664" s="9"/>
      <c r="O664" s="9"/>
      <c r="P664" s="9"/>
      <c r="Q664" s="9"/>
      <c r="R664" s="9"/>
    </row>
    <row r="665" spans="5:18" ht="15.75" customHeight="1" x14ac:dyDescent="0.3">
      <c r="E665" s="9"/>
      <c r="F665" s="9"/>
      <c r="H665" s="9"/>
      <c r="M665" s="9"/>
      <c r="N665" s="9"/>
      <c r="O665" s="9"/>
      <c r="P665" s="9"/>
      <c r="Q665" s="9"/>
      <c r="R665" s="9"/>
    </row>
    <row r="666" spans="5:18" ht="15.75" customHeight="1" x14ac:dyDescent="0.3">
      <c r="E666" s="9"/>
      <c r="F666" s="9"/>
      <c r="H666" s="9"/>
      <c r="M666" s="9"/>
      <c r="N666" s="9"/>
      <c r="O666" s="9"/>
      <c r="P666" s="9"/>
      <c r="Q666" s="9"/>
      <c r="R666" s="9"/>
    </row>
    <row r="667" spans="5:18" ht="15.75" customHeight="1" x14ac:dyDescent="0.3">
      <c r="E667" s="9"/>
      <c r="F667" s="9"/>
      <c r="H667" s="9"/>
      <c r="M667" s="9"/>
      <c r="N667" s="9"/>
      <c r="O667" s="9"/>
      <c r="P667" s="9"/>
      <c r="Q667" s="9"/>
      <c r="R667" s="9"/>
    </row>
    <row r="668" spans="5:18" ht="15.75" customHeight="1" x14ac:dyDescent="0.3">
      <c r="E668" s="9"/>
      <c r="F668" s="9"/>
      <c r="H668" s="9"/>
      <c r="M668" s="9"/>
      <c r="N668" s="9"/>
      <c r="O668" s="9"/>
      <c r="P668" s="9"/>
      <c r="Q668" s="9"/>
      <c r="R668" s="9"/>
    </row>
    <row r="669" spans="5:18" ht="15.75" customHeight="1" x14ac:dyDescent="0.3">
      <c r="E669" s="9"/>
      <c r="F669" s="9"/>
      <c r="H669" s="9"/>
      <c r="M669" s="9"/>
      <c r="N669" s="9"/>
      <c r="O669" s="9"/>
      <c r="P669" s="9"/>
      <c r="Q669" s="9"/>
      <c r="R669" s="9"/>
    </row>
    <row r="670" spans="5:18" ht="15.75" customHeight="1" x14ac:dyDescent="0.3">
      <c r="E670" s="9"/>
      <c r="F670" s="9"/>
      <c r="H670" s="9"/>
      <c r="M670" s="9"/>
      <c r="N670" s="9"/>
      <c r="O670" s="9"/>
      <c r="P670" s="9"/>
      <c r="Q670" s="9"/>
      <c r="R670" s="9"/>
    </row>
    <row r="671" spans="5:18" ht="15.75" customHeight="1" x14ac:dyDescent="0.3">
      <c r="E671" s="9"/>
      <c r="F671" s="9"/>
      <c r="H671" s="9"/>
      <c r="M671" s="9"/>
      <c r="N671" s="9"/>
      <c r="O671" s="9"/>
      <c r="P671" s="9"/>
      <c r="Q671" s="9"/>
      <c r="R671" s="9"/>
    </row>
    <row r="672" spans="5:18" ht="15.75" customHeight="1" x14ac:dyDescent="0.3">
      <c r="E672" s="9"/>
      <c r="F672" s="9"/>
      <c r="H672" s="9"/>
      <c r="M672" s="9"/>
      <c r="N672" s="9"/>
      <c r="O672" s="9"/>
      <c r="P672" s="9"/>
      <c r="Q672" s="9"/>
      <c r="R672" s="9"/>
    </row>
    <row r="673" spans="5:18" ht="15.75" customHeight="1" x14ac:dyDescent="0.3">
      <c r="E673" s="9"/>
      <c r="F673" s="9"/>
      <c r="H673" s="9"/>
      <c r="M673" s="9"/>
      <c r="N673" s="9"/>
      <c r="O673" s="9"/>
      <c r="P673" s="9"/>
      <c r="Q673" s="9"/>
      <c r="R673" s="9"/>
    </row>
    <row r="674" spans="5:18" ht="15.75" customHeight="1" x14ac:dyDescent="0.3">
      <c r="E674" s="9"/>
      <c r="F674" s="9"/>
      <c r="H674" s="9"/>
      <c r="M674" s="9"/>
      <c r="N674" s="9"/>
      <c r="O674" s="9"/>
      <c r="P674" s="9"/>
      <c r="Q674" s="9"/>
      <c r="R674" s="9"/>
    </row>
    <row r="675" spans="5:18" ht="15.75" customHeight="1" x14ac:dyDescent="0.3">
      <c r="E675" s="9"/>
      <c r="F675" s="9"/>
      <c r="H675" s="9"/>
      <c r="M675" s="9"/>
      <c r="N675" s="9"/>
      <c r="O675" s="9"/>
      <c r="P675" s="9"/>
      <c r="Q675" s="9"/>
      <c r="R675" s="9"/>
    </row>
    <row r="676" spans="5:18" ht="15.75" customHeight="1" x14ac:dyDescent="0.3">
      <c r="E676" s="9"/>
      <c r="F676" s="9"/>
      <c r="H676" s="9"/>
      <c r="M676" s="9"/>
      <c r="N676" s="9"/>
      <c r="O676" s="9"/>
      <c r="P676" s="9"/>
      <c r="Q676" s="9"/>
      <c r="R676" s="9"/>
    </row>
    <row r="677" spans="5:18" ht="15.75" customHeight="1" x14ac:dyDescent="0.3">
      <c r="E677" s="9"/>
      <c r="F677" s="9"/>
      <c r="H677" s="9"/>
      <c r="M677" s="9"/>
      <c r="N677" s="9"/>
      <c r="O677" s="9"/>
      <c r="P677" s="9"/>
      <c r="Q677" s="9"/>
      <c r="R677" s="9"/>
    </row>
    <row r="678" spans="5:18" ht="15.75" customHeight="1" x14ac:dyDescent="0.3">
      <c r="E678" s="9"/>
      <c r="F678" s="9"/>
      <c r="H678" s="9"/>
      <c r="M678" s="9"/>
      <c r="N678" s="9"/>
      <c r="O678" s="9"/>
      <c r="P678" s="9"/>
      <c r="Q678" s="9"/>
      <c r="R678" s="9"/>
    </row>
    <row r="679" spans="5:18" ht="15.75" customHeight="1" x14ac:dyDescent="0.3">
      <c r="E679" s="9"/>
      <c r="F679" s="9"/>
      <c r="H679" s="9"/>
      <c r="M679" s="9"/>
      <c r="N679" s="9"/>
      <c r="O679" s="9"/>
      <c r="P679" s="9"/>
      <c r="Q679" s="9"/>
      <c r="R679" s="9"/>
    </row>
    <row r="680" spans="5:18" ht="15.75" customHeight="1" x14ac:dyDescent="0.3">
      <c r="E680" s="9"/>
      <c r="F680" s="9"/>
      <c r="H680" s="9"/>
      <c r="M680" s="9"/>
      <c r="N680" s="9"/>
      <c r="O680" s="9"/>
      <c r="P680" s="9"/>
      <c r="Q680" s="9"/>
      <c r="R680" s="9"/>
    </row>
    <row r="681" spans="5:18" ht="15.75" customHeight="1" x14ac:dyDescent="0.3">
      <c r="E681" s="9"/>
      <c r="F681" s="9"/>
      <c r="H681" s="9"/>
      <c r="M681" s="9"/>
      <c r="N681" s="9"/>
      <c r="O681" s="9"/>
      <c r="P681" s="9"/>
      <c r="Q681" s="9"/>
      <c r="R681" s="9"/>
    </row>
    <row r="682" spans="5:18" ht="15.75" customHeight="1" x14ac:dyDescent="0.3">
      <c r="E682" s="9"/>
      <c r="F682" s="9"/>
      <c r="H682" s="9"/>
      <c r="M682" s="9"/>
      <c r="N682" s="9"/>
      <c r="O682" s="9"/>
      <c r="P682" s="9"/>
      <c r="Q682" s="9"/>
      <c r="R682" s="9"/>
    </row>
    <row r="683" spans="5:18" ht="15.75" customHeight="1" x14ac:dyDescent="0.3">
      <c r="E683" s="9"/>
      <c r="F683" s="9"/>
      <c r="H683" s="9"/>
      <c r="M683" s="9"/>
      <c r="N683" s="9"/>
      <c r="O683" s="9"/>
      <c r="P683" s="9"/>
      <c r="Q683" s="9"/>
      <c r="R683" s="9"/>
    </row>
    <row r="684" spans="5:18" ht="15.75" customHeight="1" x14ac:dyDescent="0.3">
      <c r="E684" s="9"/>
      <c r="F684" s="9"/>
      <c r="H684" s="9"/>
      <c r="M684" s="9"/>
      <c r="N684" s="9"/>
      <c r="O684" s="9"/>
      <c r="P684" s="9"/>
      <c r="Q684" s="9"/>
      <c r="R684" s="9"/>
    </row>
    <row r="685" spans="5:18" ht="15.75" customHeight="1" x14ac:dyDescent="0.3">
      <c r="E685" s="9"/>
      <c r="F685" s="9"/>
      <c r="H685" s="9"/>
      <c r="M685" s="9"/>
      <c r="N685" s="9"/>
      <c r="O685" s="9"/>
      <c r="P685" s="9"/>
      <c r="Q685" s="9"/>
      <c r="R685" s="9"/>
    </row>
    <row r="686" spans="5:18" ht="15.75" customHeight="1" x14ac:dyDescent="0.3">
      <c r="E686" s="9"/>
      <c r="F686" s="9"/>
      <c r="H686" s="9"/>
      <c r="M686" s="9"/>
      <c r="N686" s="9"/>
      <c r="O686" s="9"/>
      <c r="P686" s="9"/>
      <c r="Q686" s="9"/>
      <c r="R686" s="9"/>
    </row>
    <row r="687" spans="5:18" ht="15.75" customHeight="1" x14ac:dyDescent="0.3">
      <c r="E687" s="9"/>
      <c r="F687" s="9"/>
      <c r="H687" s="9"/>
      <c r="M687" s="9"/>
      <c r="N687" s="9"/>
      <c r="O687" s="9"/>
      <c r="P687" s="9"/>
      <c r="Q687" s="9"/>
      <c r="R687" s="9"/>
    </row>
    <row r="688" spans="5:18" ht="15.75" customHeight="1" x14ac:dyDescent="0.3">
      <c r="E688" s="9"/>
      <c r="F688" s="9"/>
      <c r="H688" s="9"/>
      <c r="M688" s="9"/>
      <c r="N688" s="9"/>
      <c r="O688" s="9"/>
      <c r="P688" s="9"/>
      <c r="Q688" s="9"/>
      <c r="R688" s="9"/>
    </row>
    <row r="689" spans="5:18" ht="15.75" customHeight="1" x14ac:dyDescent="0.3">
      <c r="E689" s="9"/>
      <c r="F689" s="9"/>
      <c r="H689" s="9"/>
      <c r="M689" s="9"/>
      <c r="N689" s="9"/>
      <c r="O689" s="9"/>
      <c r="P689" s="9"/>
      <c r="Q689" s="9"/>
      <c r="R689" s="9"/>
    </row>
    <row r="690" spans="5:18" ht="15.75" customHeight="1" x14ac:dyDescent="0.3">
      <c r="E690" s="9"/>
      <c r="F690" s="9"/>
      <c r="H690" s="9"/>
      <c r="M690" s="9"/>
      <c r="N690" s="9"/>
      <c r="O690" s="9"/>
      <c r="P690" s="9"/>
      <c r="Q690" s="9"/>
      <c r="R690" s="9"/>
    </row>
    <row r="691" spans="5:18" ht="15.75" customHeight="1" x14ac:dyDescent="0.3">
      <c r="E691" s="9"/>
      <c r="F691" s="9"/>
      <c r="H691" s="9"/>
      <c r="M691" s="9"/>
      <c r="N691" s="9"/>
      <c r="O691" s="9"/>
      <c r="P691" s="9"/>
      <c r="Q691" s="9"/>
      <c r="R691" s="9"/>
    </row>
    <row r="692" spans="5:18" ht="15.75" customHeight="1" x14ac:dyDescent="0.3">
      <c r="E692" s="9"/>
      <c r="F692" s="9"/>
      <c r="H692" s="9"/>
      <c r="M692" s="9"/>
      <c r="N692" s="9"/>
      <c r="O692" s="9"/>
      <c r="P692" s="9"/>
      <c r="Q692" s="9"/>
      <c r="R692" s="9"/>
    </row>
    <row r="693" spans="5:18" ht="15.75" customHeight="1" x14ac:dyDescent="0.3">
      <c r="E693" s="9"/>
      <c r="F693" s="9"/>
      <c r="H693" s="9"/>
      <c r="M693" s="9"/>
      <c r="N693" s="9"/>
      <c r="O693" s="9"/>
      <c r="P693" s="9"/>
      <c r="Q693" s="9"/>
      <c r="R693" s="9"/>
    </row>
    <row r="694" spans="5:18" ht="15.75" customHeight="1" x14ac:dyDescent="0.3">
      <c r="E694" s="9"/>
      <c r="F694" s="9"/>
      <c r="H694" s="9"/>
      <c r="M694" s="9"/>
      <c r="N694" s="9"/>
      <c r="O694" s="9"/>
      <c r="P694" s="9"/>
      <c r="Q694" s="9"/>
      <c r="R694" s="9"/>
    </row>
    <row r="695" spans="5:18" ht="15.75" customHeight="1" x14ac:dyDescent="0.3">
      <c r="E695" s="9"/>
      <c r="F695" s="9"/>
      <c r="H695" s="9"/>
      <c r="M695" s="9"/>
      <c r="N695" s="9"/>
      <c r="O695" s="9"/>
      <c r="P695" s="9"/>
      <c r="Q695" s="9"/>
      <c r="R695" s="9"/>
    </row>
    <row r="696" spans="5:18" ht="15.75" customHeight="1" x14ac:dyDescent="0.3">
      <c r="E696" s="9"/>
      <c r="F696" s="9"/>
      <c r="H696" s="9"/>
      <c r="M696" s="9"/>
      <c r="N696" s="9"/>
      <c r="O696" s="9"/>
      <c r="P696" s="9"/>
      <c r="Q696" s="9"/>
      <c r="R696" s="9"/>
    </row>
    <row r="697" spans="5:18" ht="15.75" customHeight="1" x14ac:dyDescent="0.3">
      <c r="E697" s="9"/>
      <c r="F697" s="9"/>
      <c r="H697" s="9"/>
      <c r="M697" s="9"/>
      <c r="N697" s="9"/>
      <c r="O697" s="9"/>
      <c r="P697" s="9"/>
      <c r="Q697" s="9"/>
      <c r="R697" s="9"/>
    </row>
    <row r="698" spans="5:18" ht="15.75" customHeight="1" x14ac:dyDescent="0.3">
      <c r="E698" s="9"/>
      <c r="F698" s="9"/>
      <c r="H698" s="9"/>
      <c r="M698" s="9"/>
      <c r="N698" s="9"/>
      <c r="O698" s="9"/>
      <c r="P698" s="9"/>
      <c r="Q698" s="9"/>
      <c r="R698" s="9"/>
    </row>
    <row r="699" spans="5:18" ht="15.75" customHeight="1" x14ac:dyDescent="0.3">
      <c r="E699" s="9"/>
      <c r="F699" s="9"/>
      <c r="H699" s="9"/>
      <c r="M699" s="9"/>
      <c r="N699" s="9"/>
      <c r="O699" s="9"/>
      <c r="P699" s="9"/>
      <c r="Q699" s="9"/>
      <c r="R699" s="9"/>
    </row>
    <row r="700" spans="5:18" ht="15.75" customHeight="1" x14ac:dyDescent="0.3">
      <c r="E700" s="9"/>
      <c r="F700" s="9"/>
      <c r="H700" s="9"/>
      <c r="M700" s="9"/>
      <c r="N700" s="9"/>
      <c r="O700" s="9"/>
      <c r="P700" s="9"/>
      <c r="Q700" s="9"/>
      <c r="R700" s="9"/>
    </row>
    <row r="701" spans="5:18" ht="15.75" customHeight="1" x14ac:dyDescent="0.3">
      <c r="E701" s="9"/>
      <c r="F701" s="9"/>
      <c r="H701" s="9"/>
      <c r="M701" s="9"/>
      <c r="N701" s="9"/>
      <c r="O701" s="9"/>
      <c r="P701" s="9"/>
      <c r="Q701" s="9"/>
      <c r="R701" s="9"/>
    </row>
    <row r="702" spans="5:18" ht="15.75" customHeight="1" x14ac:dyDescent="0.3">
      <c r="E702" s="9"/>
      <c r="F702" s="9"/>
      <c r="H702" s="9"/>
      <c r="M702" s="9"/>
      <c r="N702" s="9"/>
      <c r="O702" s="9"/>
      <c r="P702" s="9"/>
      <c r="Q702" s="9"/>
      <c r="R702" s="9"/>
    </row>
    <row r="703" spans="5:18" ht="15.75" customHeight="1" x14ac:dyDescent="0.3">
      <c r="E703" s="9"/>
      <c r="F703" s="9"/>
      <c r="H703" s="9"/>
      <c r="M703" s="9"/>
      <c r="N703" s="9"/>
      <c r="O703" s="9"/>
      <c r="P703" s="9"/>
      <c r="Q703" s="9"/>
      <c r="R703" s="9"/>
    </row>
    <row r="704" spans="5:18" ht="15.75" customHeight="1" x14ac:dyDescent="0.3">
      <c r="E704" s="9"/>
      <c r="F704" s="9"/>
      <c r="H704" s="9"/>
      <c r="M704" s="9"/>
      <c r="N704" s="9"/>
      <c r="O704" s="9"/>
      <c r="P704" s="9"/>
      <c r="Q704" s="9"/>
      <c r="R704" s="9"/>
    </row>
    <row r="705" spans="5:18" ht="15.75" customHeight="1" x14ac:dyDescent="0.3">
      <c r="E705" s="9"/>
      <c r="F705" s="9"/>
      <c r="H705" s="9"/>
      <c r="M705" s="9"/>
      <c r="N705" s="9"/>
      <c r="O705" s="9"/>
      <c r="P705" s="9"/>
      <c r="Q705" s="9"/>
      <c r="R705" s="9"/>
    </row>
    <row r="706" spans="5:18" ht="15.75" customHeight="1" x14ac:dyDescent="0.3">
      <c r="E706" s="9"/>
      <c r="F706" s="9"/>
      <c r="H706" s="9"/>
      <c r="M706" s="9"/>
      <c r="N706" s="9"/>
      <c r="O706" s="9"/>
      <c r="P706" s="9"/>
      <c r="Q706" s="9"/>
      <c r="R706" s="9"/>
    </row>
    <row r="707" spans="5:18" ht="15.75" customHeight="1" x14ac:dyDescent="0.3">
      <c r="E707" s="9"/>
      <c r="F707" s="9"/>
      <c r="H707" s="9"/>
      <c r="M707" s="9"/>
      <c r="N707" s="9"/>
      <c r="O707" s="9"/>
      <c r="P707" s="9"/>
      <c r="Q707" s="9"/>
      <c r="R707" s="9"/>
    </row>
    <row r="708" spans="5:18" ht="15.75" customHeight="1" x14ac:dyDescent="0.3">
      <c r="E708" s="9"/>
      <c r="F708" s="9"/>
      <c r="H708" s="9"/>
      <c r="M708" s="9"/>
      <c r="N708" s="9"/>
      <c r="O708" s="9"/>
      <c r="P708" s="9"/>
      <c r="Q708" s="9"/>
      <c r="R708" s="9"/>
    </row>
    <row r="709" spans="5:18" ht="15.75" customHeight="1" x14ac:dyDescent="0.3">
      <c r="E709" s="9"/>
      <c r="F709" s="9"/>
      <c r="H709" s="9"/>
      <c r="M709" s="9"/>
      <c r="N709" s="9"/>
      <c r="O709" s="9"/>
      <c r="P709" s="9"/>
      <c r="Q709" s="9"/>
      <c r="R709" s="9"/>
    </row>
    <row r="710" spans="5:18" ht="15.75" customHeight="1" x14ac:dyDescent="0.3">
      <c r="E710" s="9"/>
      <c r="F710" s="9"/>
      <c r="H710" s="9"/>
      <c r="M710" s="9"/>
      <c r="N710" s="9"/>
      <c r="O710" s="9"/>
      <c r="P710" s="9"/>
      <c r="Q710" s="9"/>
      <c r="R710" s="9"/>
    </row>
    <row r="711" spans="5:18" ht="15.75" customHeight="1" x14ac:dyDescent="0.3">
      <c r="E711" s="9"/>
      <c r="F711" s="9"/>
      <c r="H711" s="9"/>
      <c r="M711" s="9"/>
      <c r="N711" s="9"/>
      <c r="O711" s="9"/>
      <c r="P711" s="9"/>
      <c r="Q711" s="9"/>
      <c r="R711" s="9"/>
    </row>
    <row r="712" spans="5:18" ht="15.75" customHeight="1" x14ac:dyDescent="0.3">
      <c r="E712" s="9"/>
      <c r="F712" s="9"/>
      <c r="H712" s="9"/>
      <c r="M712" s="9"/>
      <c r="N712" s="9"/>
      <c r="O712" s="9"/>
      <c r="P712" s="9"/>
      <c r="Q712" s="9"/>
      <c r="R712" s="9"/>
    </row>
    <row r="713" spans="5:18" ht="15.75" customHeight="1" x14ac:dyDescent="0.3">
      <c r="E713" s="9"/>
      <c r="F713" s="9"/>
      <c r="H713" s="9"/>
      <c r="M713" s="9"/>
      <c r="N713" s="9"/>
      <c r="O713" s="9"/>
      <c r="P713" s="9"/>
      <c r="Q713" s="9"/>
      <c r="R713" s="9"/>
    </row>
    <row r="714" spans="5:18" ht="15.75" customHeight="1" x14ac:dyDescent="0.3">
      <c r="E714" s="9"/>
      <c r="F714" s="9"/>
      <c r="H714" s="9"/>
      <c r="M714" s="9"/>
      <c r="N714" s="9"/>
      <c r="O714" s="9"/>
      <c r="P714" s="9"/>
      <c r="Q714" s="9"/>
      <c r="R714" s="9"/>
    </row>
    <row r="715" spans="5:18" ht="15.75" customHeight="1" x14ac:dyDescent="0.3">
      <c r="E715" s="9"/>
      <c r="F715" s="9"/>
      <c r="H715" s="9"/>
      <c r="M715" s="9"/>
      <c r="N715" s="9"/>
      <c r="O715" s="9"/>
      <c r="P715" s="9"/>
      <c r="Q715" s="9"/>
      <c r="R715" s="9"/>
    </row>
    <row r="716" spans="5:18" ht="15.75" customHeight="1" x14ac:dyDescent="0.3">
      <c r="E716" s="9"/>
      <c r="F716" s="9"/>
      <c r="H716" s="9"/>
      <c r="M716" s="9"/>
      <c r="N716" s="9"/>
      <c r="O716" s="9"/>
      <c r="P716" s="9"/>
      <c r="Q716" s="9"/>
      <c r="R716" s="9"/>
    </row>
    <row r="717" spans="5:18" ht="15.75" customHeight="1" x14ac:dyDescent="0.3">
      <c r="E717" s="9"/>
      <c r="F717" s="9"/>
      <c r="H717" s="9"/>
      <c r="M717" s="9"/>
      <c r="N717" s="9"/>
      <c r="O717" s="9"/>
      <c r="P717" s="9"/>
      <c r="Q717" s="9"/>
      <c r="R717" s="9"/>
    </row>
    <row r="718" spans="5:18" ht="15.75" customHeight="1" x14ac:dyDescent="0.3">
      <c r="E718" s="9"/>
      <c r="F718" s="9"/>
      <c r="H718" s="9"/>
      <c r="M718" s="9"/>
      <c r="N718" s="9"/>
      <c r="O718" s="9"/>
      <c r="P718" s="9"/>
      <c r="Q718" s="9"/>
      <c r="R718" s="9"/>
    </row>
    <row r="719" spans="5:18" ht="15.75" customHeight="1" x14ac:dyDescent="0.3">
      <c r="E719" s="9"/>
      <c r="F719" s="9"/>
      <c r="H719" s="9"/>
      <c r="M719" s="9"/>
      <c r="N719" s="9"/>
      <c r="O719" s="9"/>
      <c r="P719" s="9"/>
      <c r="Q719" s="9"/>
      <c r="R719" s="9"/>
    </row>
    <row r="720" spans="5:18" ht="15.75" customHeight="1" x14ac:dyDescent="0.3">
      <c r="E720" s="9"/>
      <c r="F720" s="9"/>
      <c r="H720" s="9"/>
      <c r="M720" s="9"/>
      <c r="N720" s="9"/>
      <c r="O720" s="9"/>
      <c r="P720" s="9"/>
      <c r="Q720" s="9"/>
      <c r="R720" s="9"/>
    </row>
    <row r="721" spans="5:18" ht="15.75" customHeight="1" x14ac:dyDescent="0.3">
      <c r="E721" s="9"/>
      <c r="F721" s="9"/>
      <c r="H721" s="9"/>
      <c r="M721" s="9"/>
      <c r="N721" s="9"/>
      <c r="O721" s="9"/>
      <c r="P721" s="9"/>
      <c r="Q721" s="9"/>
      <c r="R721" s="9"/>
    </row>
    <row r="722" spans="5:18" ht="15.75" customHeight="1" x14ac:dyDescent="0.3">
      <c r="E722" s="9"/>
      <c r="F722" s="9"/>
      <c r="H722" s="9"/>
      <c r="M722" s="9"/>
      <c r="N722" s="9"/>
      <c r="O722" s="9"/>
      <c r="P722" s="9"/>
      <c r="Q722" s="9"/>
      <c r="R722" s="9"/>
    </row>
    <row r="723" spans="5:18" ht="15.75" customHeight="1" x14ac:dyDescent="0.3">
      <c r="E723" s="9"/>
      <c r="F723" s="9"/>
      <c r="H723" s="9"/>
      <c r="M723" s="9"/>
      <c r="N723" s="9"/>
      <c r="O723" s="9"/>
      <c r="P723" s="9"/>
      <c r="Q723" s="9"/>
      <c r="R723" s="9"/>
    </row>
    <row r="724" spans="5:18" ht="15.75" customHeight="1" x14ac:dyDescent="0.3">
      <c r="E724" s="9"/>
      <c r="F724" s="9"/>
      <c r="H724" s="9"/>
      <c r="M724" s="9"/>
      <c r="N724" s="9"/>
      <c r="O724" s="9"/>
      <c r="P724" s="9"/>
      <c r="Q724" s="9"/>
      <c r="R724" s="9"/>
    </row>
    <row r="725" spans="5:18" ht="15.75" customHeight="1" x14ac:dyDescent="0.3">
      <c r="E725" s="9"/>
      <c r="F725" s="9"/>
      <c r="H725" s="9"/>
      <c r="M725" s="9"/>
      <c r="N725" s="9"/>
      <c r="O725" s="9"/>
      <c r="P725" s="9"/>
      <c r="Q725" s="9"/>
      <c r="R725" s="9"/>
    </row>
    <row r="726" spans="5:18" ht="15.75" customHeight="1" x14ac:dyDescent="0.3">
      <c r="E726" s="9"/>
      <c r="F726" s="9"/>
      <c r="H726" s="9"/>
      <c r="M726" s="9"/>
      <c r="N726" s="9"/>
      <c r="O726" s="9"/>
      <c r="P726" s="9"/>
      <c r="Q726" s="9"/>
      <c r="R726" s="9"/>
    </row>
    <row r="727" spans="5:18" ht="15.75" customHeight="1" x14ac:dyDescent="0.3">
      <c r="E727" s="9"/>
      <c r="F727" s="9"/>
      <c r="H727" s="9"/>
      <c r="M727" s="9"/>
      <c r="N727" s="9"/>
      <c r="O727" s="9"/>
      <c r="P727" s="9"/>
      <c r="Q727" s="9"/>
      <c r="R727" s="9"/>
    </row>
    <row r="728" spans="5:18" ht="15.75" customHeight="1" x14ac:dyDescent="0.3">
      <c r="E728" s="9"/>
      <c r="F728" s="9"/>
      <c r="H728" s="9"/>
      <c r="M728" s="9"/>
      <c r="N728" s="9"/>
      <c r="O728" s="9"/>
      <c r="P728" s="9"/>
      <c r="Q728" s="9"/>
      <c r="R728" s="9"/>
    </row>
    <row r="729" spans="5:18" ht="15.75" customHeight="1" x14ac:dyDescent="0.3">
      <c r="E729" s="9"/>
      <c r="F729" s="9"/>
      <c r="H729" s="9"/>
      <c r="M729" s="9"/>
      <c r="N729" s="9"/>
      <c r="O729" s="9"/>
      <c r="P729" s="9"/>
      <c r="Q729" s="9"/>
      <c r="R729" s="9"/>
    </row>
    <row r="730" spans="5:18" ht="15.75" customHeight="1" x14ac:dyDescent="0.3">
      <c r="E730" s="9"/>
      <c r="F730" s="9"/>
      <c r="H730" s="9"/>
      <c r="M730" s="9"/>
      <c r="N730" s="9"/>
      <c r="O730" s="9"/>
      <c r="P730" s="9"/>
      <c r="Q730" s="9"/>
      <c r="R730" s="9"/>
    </row>
    <row r="731" spans="5:18" ht="15.75" customHeight="1" x14ac:dyDescent="0.3">
      <c r="E731" s="9"/>
      <c r="F731" s="9"/>
      <c r="H731" s="9"/>
      <c r="M731" s="9"/>
      <c r="N731" s="9"/>
      <c r="O731" s="9"/>
      <c r="P731" s="9"/>
      <c r="Q731" s="9"/>
      <c r="R731" s="9"/>
    </row>
    <row r="732" spans="5:18" ht="15.75" customHeight="1" x14ac:dyDescent="0.3">
      <c r="E732" s="9"/>
      <c r="F732" s="9"/>
      <c r="H732" s="9"/>
      <c r="M732" s="9"/>
      <c r="N732" s="9"/>
      <c r="O732" s="9"/>
      <c r="P732" s="9"/>
      <c r="Q732" s="9"/>
      <c r="R732" s="9"/>
    </row>
    <row r="733" spans="5:18" ht="15.75" customHeight="1" x14ac:dyDescent="0.3">
      <c r="E733" s="9"/>
      <c r="F733" s="9"/>
      <c r="H733" s="9"/>
      <c r="M733" s="9"/>
      <c r="N733" s="9"/>
      <c r="O733" s="9"/>
      <c r="P733" s="9"/>
      <c r="Q733" s="9"/>
      <c r="R733" s="9"/>
    </row>
    <row r="734" spans="5:18" ht="15.75" customHeight="1" x14ac:dyDescent="0.3">
      <c r="E734" s="9"/>
      <c r="F734" s="9"/>
      <c r="H734" s="9"/>
      <c r="M734" s="9"/>
      <c r="N734" s="9"/>
      <c r="O734" s="9"/>
      <c r="P734" s="9"/>
      <c r="Q734" s="9"/>
      <c r="R734" s="9"/>
    </row>
    <row r="735" spans="5:18" ht="15.75" customHeight="1" x14ac:dyDescent="0.3">
      <c r="E735" s="9"/>
      <c r="F735" s="9"/>
      <c r="H735" s="9"/>
      <c r="M735" s="9"/>
      <c r="N735" s="9"/>
      <c r="O735" s="9"/>
      <c r="P735" s="9"/>
      <c r="Q735" s="9"/>
      <c r="R735" s="9"/>
    </row>
    <row r="736" spans="5:18" ht="15.75" customHeight="1" x14ac:dyDescent="0.3">
      <c r="E736" s="9"/>
      <c r="F736" s="9"/>
      <c r="H736" s="9"/>
      <c r="M736" s="9"/>
      <c r="N736" s="9"/>
      <c r="O736" s="9"/>
      <c r="P736" s="9"/>
      <c r="Q736" s="9"/>
      <c r="R736" s="9"/>
    </row>
    <row r="737" spans="5:18" ht="15.75" customHeight="1" x14ac:dyDescent="0.3">
      <c r="E737" s="9"/>
      <c r="F737" s="9"/>
      <c r="H737" s="9"/>
      <c r="M737" s="9"/>
      <c r="N737" s="9"/>
      <c r="O737" s="9"/>
      <c r="P737" s="9"/>
      <c r="Q737" s="9"/>
      <c r="R737" s="9"/>
    </row>
    <row r="738" spans="5:18" ht="15.75" customHeight="1" x14ac:dyDescent="0.3">
      <c r="E738" s="9"/>
      <c r="F738" s="9"/>
      <c r="H738" s="9"/>
      <c r="M738" s="9"/>
      <c r="N738" s="9"/>
      <c r="O738" s="9"/>
      <c r="P738" s="9"/>
      <c r="Q738" s="9"/>
      <c r="R738" s="9"/>
    </row>
    <row r="739" spans="5:18" ht="15.75" customHeight="1" x14ac:dyDescent="0.3">
      <c r="E739" s="9"/>
      <c r="F739" s="9"/>
      <c r="H739" s="9"/>
      <c r="M739" s="9"/>
      <c r="N739" s="9"/>
      <c r="O739" s="9"/>
      <c r="P739" s="9"/>
      <c r="Q739" s="9"/>
      <c r="R739" s="9"/>
    </row>
    <row r="740" spans="5:18" ht="15.75" customHeight="1" x14ac:dyDescent="0.3">
      <c r="E740" s="9"/>
      <c r="F740" s="9"/>
      <c r="H740" s="9"/>
      <c r="M740" s="9"/>
      <c r="N740" s="9"/>
      <c r="O740" s="9"/>
      <c r="P740" s="9"/>
      <c r="Q740" s="9"/>
      <c r="R740" s="9"/>
    </row>
    <row r="741" spans="5:18" ht="15.75" customHeight="1" x14ac:dyDescent="0.3">
      <c r="E741" s="9"/>
      <c r="F741" s="9"/>
      <c r="H741" s="9"/>
      <c r="M741" s="9"/>
      <c r="N741" s="9"/>
      <c r="O741" s="9"/>
      <c r="P741" s="9"/>
      <c r="Q741" s="9"/>
      <c r="R741" s="9"/>
    </row>
    <row r="742" spans="5:18" ht="15.75" customHeight="1" x14ac:dyDescent="0.3">
      <c r="E742" s="9"/>
      <c r="F742" s="9"/>
      <c r="H742" s="9"/>
      <c r="M742" s="9"/>
      <c r="N742" s="9"/>
      <c r="O742" s="9"/>
      <c r="P742" s="9"/>
      <c r="Q742" s="9"/>
      <c r="R742" s="9"/>
    </row>
    <row r="743" spans="5:18" ht="15.75" customHeight="1" x14ac:dyDescent="0.3">
      <c r="E743" s="9"/>
      <c r="F743" s="9"/>
      <c r="H743" s="9"/>
      <c r="M743" s="9"/>
      <c r="N743" s="9"/>
      <c r="O743" s="9"/>
      <c r="P743" s="9"/>
      <c r="Q743" s="9"/>
      <c r="R743" s="9"/>
    </row>
    <row r="744" spans="5:18" ht="15.75" customHeight="1" x14ac:dyDescent="0.3">
      <c r="E744" s="9"/>
      <c r="F744" s="9"/>
      <c r="H744" s="9"/>
      <c r="M744" s="9"/>
      <c r="N744" s="9"/>
      <c r="O744" s="9"/>
      <c r="P744" s="9"/>
      <c r="Q744" s="9"/>
      <c r="R744" s="9"/>
    </row>
    <row r="745" spans="5:18" ht="15.75" customHeight="1" x14ac:dyDescent="0.3">
      <c r="E745" s="9"/>
      <c r="F745" s="9"/>
      <c r="H745" s="9"/>
      <c r="M745" s="9"/>
      <c r="N745" s="9"/>
      <c r="O745" s="9"/>
      <c r="P745" s="9"/>
      <c r="Q745" s="9"/>
      <c r="R745" s="9"/>
    </row>
    <row r="746" spans="5:18" ht="15.75" customHeight="1" x14ac:dyDescent="0.3">
      <c r="E746" s="9"/>
      <c r="F746" s="9"/>
      <c r="H746" s="9"/>
      <c r="M746" s="9"/>
      <c r="N746" s="9"/>
      <c r="O746" s="9"/>
      <c r="P746" s="9"/>
      <c r="Q746" s="9"/>
      <c r="R746" s="9"/>
    </row>
    <row r="747" spans="5:18" ht="15.75" customHeight="1" x14ac:dyDescent="0.3">
      <c r="E747" s="9"/>
      <c r="F747" s="9"/>
      <c r="H747" s="9"/>
      <c r="M747" s="9"/>
      <c r="N747" s="9"/>
      <c r="O747" s="9"/>
      <c r="P747" s="9"/>
      <c r="Q747" s="9"/>
      <c r="R747" s="9"/>
    </row>
    <row r="748" spans="5:18" ht="15.75" customHeight="1" x14ac:dyDescent="0.3">
      <c r="E748" s="9"/>
      <c r="F748" s="9"/>
      <c r="H748" s="9"/>
      <c r="M748" s="9"/>
      <c r="N748" s="9"/>
      <c r="O748" s="9"/>
      <c r="P748" s="9"/>
      <c r="Q748" s="9"/>
      <c r="R748" s="9"/>
    </row>
    <row r="749" spans="5:18" ht="15.75" customHeight="1" x14ac:dyDescent="0.3">
      <c r="E749" s="9"/>
      <c r="F749" s="9"/>
      <c r="H749" s="9"/>
      <c r="M749" s="9"/>
      <c r="N749" s="9"/>
      <c r="O749" s="9"/>
      <c r="P749" s="9"/>
      <c r="Q749" s="9"/>
      <c r="R749" s="9"/>
    </row>
    <row r="750" spans="5:18" ht="15.75" customHeight="1" x14ac:dyDescent="0.3">
      <c r="E750" s="9"/>
      <c r="F750" s="9"/>
      <c r="H750" s="9"/>
      <c r="M750" s="9"/>
      <c r="N750" s="9"/>
      <c r="O750" s="9"/>
      <c r="P750" s="9"/>
      <c r="Q750" s="9"/>
      <c r="R750" s="9"/>
    </row>
    <row r="751" spans="5:18" ht="15.75" customHeight="1" x14ac:dyDescent="0.3">
      <c r="E751" s="9"/>
      <c r="F751" s="9"/>
      <c r="H751" s="9"/>
      <c r="M751" s="9"/>
      <c r="N751" s="9"/>
      <c r="O751" s="9"/>
      <c r="P751" s="9"/>
      <c r="Q751" s="9"/>
      <c r="R751" s="9"/>
    </row>
    <row r="752" spans="5:18" ht="15.75" customHeight="1" x14ac:dyDescent="0.3">
      <c r="E752" s="9"/>
      <c r="F752" s="9"/>
      <c r="H752" s="9"/>
      <c r="M752" s="9"/>
      <c r="N752" s="9"/>
      <c r="O752" s="9"/>
      <c r="P752" s="9"/>
      <c r="Q752" s="9"/>
      <c r="R752" s="9"/>
    </row>
    <row r="753" spans="5:18" ht="15.75" customHeight="1" x14ac:dyDescent="0.3">
      <c r="E753" s="9"/>
      <c r="F753" s="9"/>
      <c r="H753" s="9"/>
      <c r="M753" s="9"/>
      <c r="N753" s="9"/>
      <c r="O753" s="9"/>
      <c r="P753" s="9"/>
      <c r="Q753" s="9"/>
      <c r="R753" s="9"/>
    </row>
    <row r="754" spans="5:18" ht="15.75" customHeight="1" x14ac:dyDescent="0.3">
      <c r="E754" s="9"/>
      <c r="F754" s="9"/>
      <c r="H754" s="9"/>
      <c r="M754" s="9"/>
      <c r="N754" s="9"/>
      <c r="O754" s="9"/>
      <c r="P754" s="9"/>
      <c r="Q754" s="9"/>
      <c r="R754" s="9"/>
    </row>
    <row r="755" spans="5:18" ht="15.75" customHeight="1" x14ac:dyDescent="0.3">
      <c r="E755" s="9"/>
      <c r="F755" s="9"/>
      <c r="H755" s="9"/>
      <c r="M755" s="9"/>
      <c r="N755" s="9"/>
      <c r="O755" s="9"/>
      <c r="P755" s="9"/>
      <c r="Q755" s="9"/>
      <c r="R755" s="9"/>
    </row>
    <row r="756" spans="5:18" ht="15.75" customHeight="1" x14ac:dyDescent="0.3">
      <c r="E756" s="9"/>
      <c r="F756" s="9"/>
      <c r="H756" s="9"/>
      <c r="M756" s="9"/>
      <c r="N756" s="9"/>
      <c r="O756" s="9"/>
      <c r="P756" s="9"/>
      <c r="Q756" s="9"/>
      <c r="R756" s="9"/>
    </row>
    <row r="757" spans="5:18" ht="15.75" customHeight="1" x14ac:dyDescent="0.3">
      <c r="E757" s="9"/>
      <c r="F757" s="9"/>
      <c r="H757" s="9"/>
      <c r="M757" s="9"/>
      <c r="N757" s="9"/>
      <c r="O757" s="9"/>
      <c r="P757" s="9"/>
      <c r="Q757" s="9"/>
      <c r="R757" s="9"/>
    </row>
    <row r="758" spans="5:18" ht="15.75" customHeight="1" x14ac:dyDescent="0.3">
      <c r="E758" s="9"/>
      <c r="F758" s="9"/>
      <c r="H758" s="9"/>
      <c r="M758" s="9"/>
      <c r="N758" s="9"/>
      <c r="O758" s="9"/>
      <c r="P758" s="9"/>
      <c r="Q758" s="9"/>
      <c r="R758" s="9"/>
    </row>
    <row r="759" spans="5:18" ht="15.75" customHeight="1" x14ac:dyDescent="0.3">
      <c r="E759" s="9"/>
      <c r="F759" s="9"/>
      <c r="H759" s="9"/>
      <c r="M759" s="9"/>
      <c r="N759" s="9"/>
      <c r="O759" s="9"/>
      <c r="P759" s="9"/>
      <c r="Q759" s="9"/>
      <c r="R759" s="9"/>
    </row>
    <row r="760" spans="5:18" ht="15.75" customHeight="1" x14ac:dyDescent="0.3">
      <c r="E760" s="9"/>
      <c r="F760" s="9"/>
      <c r="H760" s="9"/>
      <c r="M760" s="9"/>
      <c r="N760" s="9"/>
      <c r="O760" s="9"/>
      <c r="P760" s="9"/>
      <c r="Q760" s="9"/>
      <c r="R760" s="9"/>
    </row>
    <row r="761" spans="5:18" ht="15.75" customHeight="1" x14ac:dyDescent="0.3">
      <c r="E761" s="9"/>
      <c r="F761" s="9"/>
      <c r="H761" s="9"/>
      <c r="M761" s="9"/>
      <c r="N761" s="9"/>
      <c r="O761" s="9"/>
      <c r="P761" s="9"/>
      <c r="Q761" s="9"/>
      <c r="R761" s="9"/>
    </row>
    <row r="762" spans="5:18" ht="15.75" customHeight="1" x14ac:dyDescent="0.3">
      <c r="E762" s="9"/>
      <c r="F762" s="9"/>
      <c r="H762" s="9"/>
      <c r="M762" s="9"/>
      <c r="N762" s="9"/>
      <c r="O762" s="9"/>
      <c r="P762" s="9"/>
      <c r="Q762" s="9"/>
      <c r="R762" s="9"/>
    </row>
    <row r="763" spans="5:18" ht="15.75" customHeight="1" x14ac:dyDescent="0.3">
      <c r="E763" s="9"/>
      <c r="F763" s="9"/>
      <c r="H763" s="9"/>
      <c r="M763" s="9"/>
      <c r="N763" s="9"/>
      <c r="O763" s="9"/>
      <c r="P763" s="9"/>
      <c r="Q763" s="9"/>
      <c r="R763" s="9"/>
    </row>
    <row r="764" spans="5:18" ht="15.75" customHeight="1" x14ac:dyDescent="0.3">
      <c r="E764" s="9"/>
      <c r="F764" s="9"/>
      <c r="H764" s="9"/>
      <c r="M764" s="9"/>
      <c r="N764" s="9"/>
      <c r="O764" s="9"/>
      <c r="P764" s="9"/>
      <c r="Q764" s="9"/>
      <c r="R764" s="9"/>
    </row>
    <row r="765" spans="5:18" ht="15.75" customHeight="1" x14ac:dyDescent="0.3">
      <c r="E765" s="9"/>
      <c r="F765" s="9"/>
      <c r="H765" s="9"/>
      <c r="M765" s="9"/>
      <c r="N765" s="9"/>
      <c r="O765" s="9"/>
      <c r="P765" s="9"/>
      <c r="Q765" s="9"/>
      <c r="R765" s="9"/>
    </row>
    <row r="766" spans="5:18" ht="15.75" customHeight="1" x14ac:dyDescent="0.3">
      <c r="E766" s="9"/>
      <c r="F766" s="9"/>
      <c r="H766" s="9"/>
      <c r="M766" s="9"/>
      <c r="N766" s="9"/>
      <c r="O766" s="9"/>
      <c r="P766" s="9"/>
      <c r="Q766" s="9"/>
      <c r="R766" s="9"/>
    </row>
    <row r="767" spans="5:18" ht="15.75" customHeight="1" x14ac:dyDescent="0.3">
      <c r="E767" s="9"/>
      <c r="F767" s="9"/>
      <c r="H767" s="9"/>
      <c r="M767" s="9"/>
      <c r="N767" s="9"/>
      <c r="O767" s="9"/>
      <c r="P767" s="9"/>
      <c r="Q767" s="9"/>
      <c r="R767" s="9"/>
    </row>
    <row r="768" spans="5:18" ht="15.75" customHeight="1" x14ac:dyDescent="0.3">
      <c r="E768" s="9"/>
      <c r="F768" s="9"/>
      <c r="H768" s="9"/>
      <c r="M768" s="9"/>
      <c r="N768" s="9"/>
      <c r="O768" s="9"/>
      <c r="P768" s="9"/>
      <c r="Q768" s="9"/>
      <c r="R768" s="9"/>
    </row>
    <row r="769" spans="5:18" ht="15.75" customHeight="1" x14ac:dyDescent="0.3">
      <c r="E769" s="9"/>
      <c r="F769" s="9"/>
      <c r="H769" s="9"/>
      <c r="M769" s="9"/>
      <c r="N769" s="9"/>
      <c r="O769" s="9"/>
      <c r="P769" s="9"/>
      <c r="Q769" s="9"/>
      <c r="R769" s="9"/>
    </row>
    <row r="770" spans="5:18" ht="15.75" customHeight="1" x14ac:dyDescent="0.3">
      <c r="E770" s="9"/>
      <c r="F770" s="9"/>
      <c r="H770" s="9"/>
      <c r="M770" s="9"/>
      <c r="N770" s="9"/>
      <c r="O770" s="9"/>
      <c r="P770" s="9"/>
      <c r="Q770" s="9"/>
      <c r="R770" s="9"/>
    </row>
    <row r="771" spans="5:18" ht="15.75" customHeight="1" x14ac:dyDescent="0.3">
      <c r="E771" s="9"/>
      <c r="F771" s="9"/>
      <c r="H771" s="9"/>
      <c r="M771" s="9"/>
      <c r="N771" s="9"/>
      <c r="O771" s="9"/>
      <c r="P771" s="9"/>
      <c r="Q771" s="9"/>
      <c r="R771" s="9"/>
    </row>
    <row r="772" spans="5:18" ht="15.75" customHeight="1" x14ac:dyDescent="0.3">
      <c r="E772" s="9"/>
      <c r="F772" s="9"/>
      <c r="H772" s="9"/>
      <c r="M772" s="9"/>
      <c r="N772" s="9"/>
      <c r="O772" s="9"/>
      <c r="P772" s="9"/>
      <c r="Q772" s="9"/>
      <c r="R772" s="9"/>
    </row>
    <row r="773" spans="5:18" ht="15.75" customHeight="1" x14ac:dyDescent="0.3">
      <c r="E773" s="9"/>
      <c r="F773" s="9"/>
      <c r="H773" s="9"/>
      <c r="M773" s="9"/>
      <c r="N773" s="9"/>
      <c r="O773" s="9"/>
      <c r="P773" s="9"/>
      <c r="Q773" s="9"/>
      <c r="R773" s="9"/>
    </row>
    <row r="774" spans="5:18" ht="15.75" customHeight="1" x14ac:dyDescent="0.3">
      <c r="E774" s="9"/>
      <c r="F774" s="9"/>
      <c r="H774" s="9"/>
      <c r="M774" s="9"/>
      <c r="N774" s="9"/>
      <c r="O774" s="9"/>
      <c r="P774" s="9"/>
      <c r="Q774" s="9"/>
      <c r="R774" s="9"/>
    </row>
    <row r="775" spans="5:18" ht="15.75" customHeight="1" x14ac:dyDescent="0.3">
      <c r="E775" s="9"/>
      <c r="F775" s="9"/>
      <c r="H775" s="9"/>
      <c r="M775" s="9"/>
      <c r="N775" s="9"/>
      <c r="O775" s="9"/>
      <c r="P775" s="9"/>
      <c r="Q775" s="9"/>
      <c r="R775" s="9"/>
    </row>
    <row r="776" spans="5:18" ht="15.75" customHeight="1" x14ac:dyDescent="0.3">
      <c r="E776" s="9"/>
      <c r="F776" s="9"/>
      <c r="H776" s="9"/>
      <c r="M776" s="9"/>
      <c r="N776" s="9"/>
      <c r="O776" s="9"/>
      <c r="P776" s="9"/>
      <c r="Q776" s="9"/>
      <c r="R776" s="9"/>
    </row>
    <row r="777" spans="5:18" ht="15.75" customHeight="1" x14ac:dyDescent="0.3">
      <c r="E777" s="9"/>
      <c r="F777" s="9"/>
      <c r="H777" s="9"/>
      <c r="M777" s="9"/>
      <c r="N777" s="9"/>
      <c r="O777" s="9"/>
      <c r="P777" s="9"/>
      <c r="Q777" s="9"/>
      <c r="R777" s="9"/>
    </row>
    <row r="778" spans="5:18" ht="15.75" customHeight="1" x14ac:dyDescent="0.3">
      <c r="E778" s="9"/>
      <c r="F778" s="9"/>
      <c r="H778" s="9"/>
      <c r="M778" s="9"/>
      <c r="N778" s="9"/>
      <c r="O778" s="9"/>
      <c r="P778" s="9"/>
      <c r="Q778" s="9"/>
      <c r="R778" s="9"/>
    </row>
    <row r="779" spans="5:18" ht="15.75" customHeight="1" x14ac:dyDescent="0.3">
      <c r="E779" s="9"/>
      <c r="F779" s="9"/>
      <c r="H779" s="9"/>
      <c r="M779" s="9"/>
      <c r="N779" s="9"/>
      <c r="O779" s="9"/>
      <c r="P779" s="9"/>
      <c r="Q779" s="9"/>
      <c r="R779" s="9"/>
    </row>
    <row r="780" spans="5:18" ht="15.75" customHeight="1" x14ac:dyDescent="0.3">
      <c r="E780" s="9"/>
      <c r="F780" s="9"/>
      <c r="H780" s="9"/>
      <c r="M780" s="9"/>
      <c r="N780" s="9"/>
      <c r="O780" s="9"/>
      <c r="P780" s="9"/>
      <c r="Q780" s="9"/>
      <c r="R780" s="9"/>
    </row>
    <row r="781" spans="5:18" ht="15.75" customHeight="1" x14ac:dyDescent="0.3">
      <c r="E781" s="9"/>
      <c r="F781" s="9"/>
      <c r="H781" s="9"/>
      <c r="M781" s="9"/>
      <c r="N781" s="9"/>
      <c r="O781" s="9"/>
      <c r="P781" s="9"/>
      <c r="Q781" s="9"/>
      <c r="R781" s="9"/>
    </row>
    <row r="782" spans="5:18" ht="15.75" customHeight="1" x14ac:dyDescent="0.3">
      <c r="E782" s="9"/>
      <c r="F782" s="9"/>
      <c r="H782" s="9"/>
      <c r="M782" s="9"/>
      <c r="N782" s="9"/>
      <c r="O782" s="9"/>
      <c r="P782" s="9"/>
      <c r="Q782" s="9"/>
      <c r="R782" s="9"/>
    </row>
    <row r="783" spans="5:18" ht="15.75" customHeight="1" x14ac:dyDescent="0.3">
      <c r="E783" s="9"/>
      <c r="F783" s="9"/>
      <c r="H783" s="9"/>
      <c r="M783" s="9"/>
      <c r="N783" s="9"/>
      <c r="O783" s="9"/>
      <c r="P783" s="9"/>
      <c r="Q783" s="9"/>
      <c r="R783" s="9"/>
    </row>
    <row r="784" spans="5:18" ht="15.75" customHeight="1" x14ac:dyDescent="0.3">
      <c r="E784" s="9"/>
      <c r="F784" s="9"/>
      <c r="H784" s="9"/>
      <c r="M784" s="9"/>
      <c r="N784" s="9"/>
      <c r="O784" s="9"/>
      <c r="P784" s="9"/>
      <c r="Q784" s="9"/>
      <c r="R784" s="9"/>
    </row>
    <row r="785" spans="5:18" ht="15.75" customHeight="1" x14ac:dyDescent="0.3">
      <c r="E785" s="9"/>
      <c r="F785" s="9"/>
      <c r="H785" s="9"/>
      <c r="M785" s="9"/>
      <c r="N785" s="9"/>
      <c r="O785" s="9"/>
      <c r="P785" s="9"/>
      <c r="Q785" s="9"/>
      <c r="R785" s="9"/>
    </row>
    <row r="786" spans="5:18" ht="15.75" customHeight="1" x14ac:dyDescent="0.3">
      <c r="E786" s="9"/>
      <c r="F786" s="9"/>
      <c r="H786" s="9"/>
      <c r="M786" s="9"/>
      <c r="N786" s="9"/>
      <c r="O786" s="9"/>
      <c r="P786" s="9"/>
      <c r="Q786" s="9"/>
      <c r="R786" s="9"/>
    </row>
    <row r="787" spans="5:18" ht="15.75" customHeight="1" x14ac:dyDescent="0.3">
      <c r="E787" s="9"/>
      <c r="F787" s="9"/>
      <c r="H787" s="9"/>
      <c r="M787" s="9"/>
      <c r="N787" s="9"/>
      <c r="O787" s="9"/>
      <c r="P787" s="9"/>
      <c r="Q787" s="9"/>
      <c r="R787" s="9"/>
    </row>
    <row r="788" spans="5:18" ht="15.75" customHeight="1" x14ac:dyDescent="0.3">
      <c r="E788" s="9"/>
      <c r="F788" s="9"/>
      <c r="H788" s="9"/>
      <c r="M788" s="9"/>
      <c r="N788" s="9"/>
      <c r="O788" s="9"/>
      <c r="P788" s="9"/>
      <c r="Q788" s="9"/>
      <c r="R788" s="9"/>
    </row>
    <row r="789" spans="5:18" ht="15.75" customHeight="1" x14ac:dyDescent="0.3">
      <c r="E789" s="9"/>
      <c r="F789" s="9"/>
      <c r="H789" s="9"/>
      <c r="M789" s="9"/>
      <c r="N789" s="9"/>
      <c r="O789" s="9"/>
      <c r="P789" s="9"/>
      <c r="Q789" s="9"/>
      <c r="R789" s="9"/>
    </row>
    <row r="790" spans="5:18" ht="15.75" customHeight="1" x14ac:dyDescent="0.3">
      <c r="E790" s="9"/>
      <c r="F790" s="9"/>
      <c r="H790" s="9"/>
      <c r="M790" s="9"/>
      <c r="N790" s="9"/>
      <c r="O790" s="9"/>
      <c r="P790" s="9"/>
      <c r="Q790" s="9"/>
      <c r="R790" s="9"/>
    </row>
    <row r="791" spans="5:18" ht="15.75" customHeight="1" x14ac:dyDescent="0.3">
      <c r="E791" s="9"/>
      <c r="F791" s="9"/>
      <c r="H791" s="9"/>
      <c r="M791" s="9"/>
      <c r="N791" s="9"/>
      <c r="O791" s="9"/>
      <c r="P791" s="9"/>
      <c r="Q791" s="9"/>
      <c r="R791" s="9"/>
    </row>
    <row r="792" spans="5:18" ht="15.75" customHeight="1" x14ac:dyDescent="0.3">
      <c r="E792" s="9"/>
      <c r="F792" s="9"/>
      <c r="H792" s="9"/>
      <c r="M792" s="9"/>
      <c r="N792" s="9"/>
      <c r="O792" s="9"/>
      <c r="P792" s="9"/>
      <c r="Q792" s="9"/>
      <c r="R792" s="9"/>
    </row>
    <row r="793" spans="5:18" ht="15.75" customHeight="1" x14ac:dyDescent="0.3">
      <c r="E793" s="9"/>
      <c r="F793" s="9"/>
      <c r="H793" s="9"/>
      <c r="M793" s="9"/>
      <c r="N793" s="9"/>
      <c r="O793" s="9"/>
      <c r="P793" s="9"/>
      <c r="Q793" s="9"/>
      <c r="R793" s="9"/>
    </row>
    <row r="794" spans="5:18" ht="15.75" customHeight="1" x14ac:dyDescent="0.3">
      <c r="E794" s="9"/>
      <c r="F794" s="9"/>
      <c r="H794" s="9"/>
      <c r="M794" s="9"/>
      <c r="N794" s="9"/>
      <c r="O794" s="9"/>
      <c r="P794" s="9"/>
      <c r="Q794" s="9"/>
      <c r="R794" s="9"/>
    </row>
    <row r="795" spans="5:18" ht="15.75" customHeight="1" x14ac:dyDescent="0.3">
      <c r="E795" s="9"/>
      <c r="F795" s="9"/>
      <c r="H795" s="9"/>
      <c r="M795" s="9"/>
      <c r="N795" s="9"/>
      <c r="O795" s="9"/>
      <c r="P795" s="9"/>
      <c r="Q795" s="9"/>
      <c r="R795" s="9"/>
    </row>
    <row r="796" spans="5:18" ht="15.75" customHeight="1" x14ac:dyDescent="0.3">
      <c r="E796" s="9"/>
      <c r="F796" s="9"/>
      <c r="H796" s="9"/>
      <c r="M796" s="9"/>
      <c r="N796" s="9"/>
      <c r="O796" s="9"/>
      <c r="P796" s="9"/>
      <c r="Q796" s="9"/>
      <c r="R796" s="9"/>
    </row>
    <row r="797" spans="5:18" ht="15.75" customHeight="1" x14ac:dyDescent="0.3">
      <c r="E797" s="9"/>
      <c r="F797" s="9"/>
      <c r="H797" s="9"/>
      <c r="M797" s="9"/>
      <c r="N797" s="9"/>
      <c r="O797" s="9"/>
      <c r="P797" s="9"/>
      <c r="Q797" s="9"/>
      <c r="R797" s="9"/>
    </row>
    <row r="798" spans="5:18" ht="15.75" customHeight="1" x14ac:dyDescent="0.3">
      <c r="E798" s="9"/>
      <c r="F798" s="9"/>
      <c r="H798" s="9"/>
      <c r="M798" s="9"/>
      <c r="N798" s="9"/>
      <c r="O798" s="9"/>
      <c r="P798" s="9"/>
      <c r="Q798" s="9"/>
      <c r="R798" s="9"/>
    </row>
    <row r="799" spans="5:18" ht="15.75" customHeight="1" x14ac:dyDescent="0.3">
      <c r="E799" s="9"/>
      <c r="F799" s="9"/>
      <c r="H799" s="9"/>
      <c r="M799" s="9"/>
      <c r="N799" s="9"/>
      <c r="O799" s="9"/>
      <c r="P799" s="9"/>
      <c r="Q799" s="9"/>
      <c r="R799" s="9"/>
    </row>
    <row r="800" spans="5:18" ht="15.75" customHeight="1" x14ac:dyDescent="0.3">
      <c r="E800" s="9"/>
      <c r="F800" s="9"/>
      <c r="H800" s="9"/>
      <c r="M800" s="9"/>
      <c r="N800" s="9"/>
      <c r="O800" s="9"/>
      <c r="P800" s="9"/>
      <c r="Q800" s="9"/>
      <c r="R800" s="9"/>
    </row>
    <row r="801" spans="5:18" ht="15.75" customHeight="1" x14ac:dyDescent="0.3">
      <c r="E801" s="9"/>
      <c r="F801" s="9"/>
      <c r="H801" s="9"/>
      <c r="M801" s="9"/>
      <c r="N801" s="9"/>
      <c r="O801" s="9"/>
      <c r="P801" s="9"/>
      <c r="Q801" s="9"/>
      <c r="R801" s="9"/>
    </row>
    <row r="802" spans="5:18" ht="15.75" customHeight="1" x14ac:dyDescent="0.3">
      <c r="E802" s="9"/>
      <c r="F802" s="9"/>
      <c r="H802" s="9"/>
      <c r="M802" s="9"/>
      <c r="N802" s="9"/>
      <c r="O802" s="9"/>
      <c r="P802" s="9"/>
      <c r="Q802" s="9"/>
      <c r="R802" s="9"/>
    </row>
    <row r="803" spans="5:18" ht="15.75" customHeight="1" x14ac:dyDescent="0.3">
      <c r="E803" s="9"/>
      <c r="F803" s="9"/>
      <c r="H803" s="9"/>
      <c r="M803" s="9"/>
      <c r="N803" s="9"/>
      <c r="O803" s="9"/>
      <c r="P803" s="9"/>
      <c r="Q803" s="9"/>
      <c r="R803" s="9"/>
    </row>
    <row r="804" spans="5:18" ht="15.75" customHeight="1" x14ac:dyDescent="0.3">
      <c r="E804" s="9"/>
      <c r="F804" s="9"/>
      <c r="H804" s="9"/>
      <c r="M804" s="9"/>
      <c r="N804" s="9"/>
      <c r="O804" s="9"/>
      <c r="P804" s="9"/>
      <c r="Q804" s="9"/>
      <c r="R804" s="9"/>
    </row>
    <row r="805" spans="5:18" ht="15.75" customHeight="1" x14ac:dyDescent="0.3">
      <c r="E805" s="9"/>
      <c r="F805" s="9"/>
      <c r="H805" s="9"/>
      <c r="M805" s="9"/>
      <c r="N805" s="9"/>
      <c r="O805" s="9"/>
      <c r="P805" s="9"/>
      <c r="Q805" s="9"/>
      <c r="R805" s="9"/>
    </row>
    <row r="806" spans="5:18" ht="15.75" customHeight="1" x14ac:dyDescent="0.3">
      <c r="E806" s="9"/>
      <c r="F806" s="9"/>
      <c r="H806" s="9"/>
      <c r="M806" s="9"/>
      <c r="N806" s="9"/>
      <c r="O806" s="9"/>
      <c r="P806" s="9"/>
      <c r="Q806" s="9"/>
      <c r="R806" s="9"/>
    </row>
    <row r="807" spans="5:18" ht="15.75" customHeight="1" x14ac:dyDescent="0.3">
      <c r="E807" s="9"/>
      <c r="F807" s="9"/>
      <c r="H807" s="9"/>
      <c r="M807" s="9"/>
      <c r="N807" s="9"/>
      <c r="O807" s="9"/>
      <c r="P807" s="9"/>
      <c r="Q807" s="9"/>
      <c r="R807" s="9"/>
    </row>
    <row r="808" spans="5:18" ht="15.75" customHeight="1" x14ac:dyDescent="0.3">
      <c r="E808" s="9"/>
      <c r="F808" s="9"/>
      <c r="H808" s="9"/>
      <c r="M808" s="9"/>
      <c r="N808" s="9"/>
      <c r="O808" s="9"/>
      <c r="P808" s="9"/>
      <c r="Q808" s="9"/>
      <c r="R808" s="9"/>
    </row>
    <row r="809" spans="5:18" ht="15.75" customHeight="1" x14ac:dyDescent="0.3">
      <c r="E809" s="9"/>
      <c r="F809" s="9"/>
      <c r="H809" s="9"/>
      <c r="M809" s="9"/>
      <c r="N809" s="9"/>
      <c r="O809" s="9"/>
      <c r="P809" s="9"/>
      <c r="Q809" s="9"/>
      <c r="R809" s="9"/>
    </row>
    <row r="810" spans="5:18" ht="15.75" customHeight="1" x14ac:dyDescent="0.3">
      <c r="E810" s="9"/>
      <c r="F810" s="9"/>
      <c r="H810" s="9"/>
      <c r="M810" s="9"/>
      <c r="N810" s="9"/>
      <c r="O810" s="9"/>
      <c r="P810" s="9"/>
      <c r="Q810" s="9"/>
      <c r="R810" s="9"/>
    </row>
    <row r="811" spans="5:18" ht="15.75" customHeight="1" x14ac:dyDescent="0.3">
      <c r="E811" s="9"/>
      <c r="F811" s="9"/>
      <c r="H811" s="9"/>
      <c r="M811" s="9"/>
      <c r="N811" s="9"/>
      <c r="O811" s="9"/>
      <c r="P811" s="9"/>
      <c r="Q811" s="9"/>
      <c r="R811" s="9"/>
    </row>
    <row r="812" spans="5:18" ht="15.75" customHeight="1" x14ac:dyDescent="0.3">
      <c r="E812" s="9"/>
      <c r="F812" s="9"/>
      <c r="H812" s="9"/>
      <c r="M812" s="9"/>
      <c r="N812" s="9"/>
      <c r="O812" s="9"/>
      <c r="P812" s="9"/>
      <c r="Q812" s="9"/>
      <c r="R812" s="9"/>
    </row>
    <row r="813" spans="5:18" ht="15.75" customHeight="1" x14ac:dyDescent="0.3">
      <c r="E813" s="9"/>
      <c r="F813" s="9"/>
      <c r="H813" s="9"/>
      <c r="M813" s="9"/>
      <c r="N813" s="9"/>
      <c r="O813" s="9"/>
      <c r="P813" s="9"/>
      <c r="Q813" s="9"/>
      <c r="R813" s="9"/>
    </row>
    <row r="814" spans="5:18" ht="15.75" customHeight="1" x14ac:dyDescent="0.3">
      <c r="E814" s="9"/>
      <c r="F814" s="9"/>
      <c r="H814" s="9"/>
      <c r="M814" s="9"/>
      <c r="N814" s="9"/>
      <c r="O814" s="9"/>
      <c r="P814" s="9"/>
      <c r="Q814" s="9"/>
      <c r="R814" s="9"/>
    </row>
    <row r="815" spans="5:18" ht="15.75" customHeight="1" x14ac:dyDescent="0.3">
      <c r="E815" s="9"/>
      <c r="F815" s="9"/>
      <c r="H815" s="9"/>
      <c r="M815" s="9"/>
      <c r="N815" s="9"/>
      <c r="O815" s="9"/>
      <c r="P815" s="9"/>
      <c r="Q815" s="9"/>
      <c r="R815" s="9"/>
    </row>
    <row r="816" spans="5:18" ht="15.75" customHeight="1" x14ac:dyDescent="0.3">
      <c r="E816" s="9"/>
      <c r="F816" s="9"/>
      <c r="H816" s="9"/>
      <c r="M816" s="9"/>
      <c r="N816" s="9"/>
      <c r="O816" s="9"/>
      <c r="P816" s="9"/>
      <c r="Q816" s="9"/>
      <c r="R816" s="9"/>
    </row>
    <row r="817" spans="5:18" ht="15.75" customHeight="1" x14ac:dyDescent="0.3">
      <c r="E817" s="9"/>
      <c r="F817" s="9"/>
      <c r="H817" s="9"/>
      <c r="M817" s="9"/>
      <c r="N817" s="9"/>
      <c r="O817" s="9"/>
      <c r="P817" s="9"/>
      <c r="Q817" s="9"/>
      <c r="R817" s="9"/>
    </row>
    <row r="818" spans="5:18" ht="15.75" customHeight="1" x14ac:dyDescent="0.3">
      <c r="E818" s="9"/>
      <c r="F818" s="9"/>
      <c r="H818" s="9"/>
      <c r="M818" s="9"/>
      <c r="N818" s="9"/>
      <c r="O818" s="9"/>
      <c r="P818" s="9"/>
      <c r="Q818" s="9"/>
      <c r="R818" s="9"/>
    </row>
    <row r="819" spans="5:18" ht="15.75" customHeight="1" x14ac:dyDescent="0.3">
      <c r="E819" s="9"/>
      <c r="F819" s="9"/>
      <c r="H819" s="9"/>
      <c r="M819" s="9"/>
      <c r="N819" s="9"/>
      <c r="O819" s="9"/>
      <c r="P819" s="9"/>
      <c r="Q819" s="9"/>
      <c r="R819" s="9"/>
    </row>
    <row r="820" spans="5:18" ht="15.75" customHeight="1" x14ac:dyDescent="0.3">
      <c r="E820" s="9"/>
      <c r="F820" s="9"/>
      <c r="H820" s="9"/>
      <c r="M820" s="9"/>
      <c r="N820" s="9"/>
      <c r="O820" s="9"/>
      <c r="P820" s="9"/>
      <c r="Q820" s="9"/>
      <c r="R820" s="9"/>
    </row>
    <row r="821" spans="5:18" ht="15.75" customHeight="1" x14ac:dyDescent="0.3">
      <c r="E821" s="9"/>
      <c r="F821" s="9"/>
      <c r="H821" s="9"/>
      <c r="M821" s="9"/>
      <c r="N821" s="9"/>
      <c r="O821" s="9"/>
      <c r="P821" s="9"/>
      <c r="Q821" s="9"/>
      <c r="R821" s="9"/>
    </row>
    <row r="822" spans="5:18" ht="15.75" customHeight="1" x14ac:dyDescent="0.3">
      <c r="E822" s="9"/>
      <c r="F822" s="9"/>
      <c r="H822" s="9"/>
      <c r="M822" s="9"/>
      <c r="N822" s="9"/>
      <c r="O822" s="9"/>
      <c r="P822" s="9"/>
      <c r="Q822" s="9"/>
      <c r="R822" s="9"/>
    </row>
    <row r="823" spans="5:18" ht="15.75" customHeight="1" x14ac:dyDescent="0.3">
      <c r="E823" s="9"/>
      <c r="F823" s="9"/>
      <c r="H823" s="9"/>
      <c r="M823" s="9"/>
      <c r="N823" s="9"/>
      <c r="O823" s="9"/>
      <c r="P823" s="9"/>
      <c r="Q823" s="9"/>
      <c r="R823" s="9"/>
    </row>
    <row r="824" spans="5:18" ht="15.75" customHeight="1" x14ac:dyDescent="0.3">
      <c r="E824" s="9"/>
      <c r="F824" s="9"/>
      <c r="H824" s="9"/>
      <c r="M824" s="9"/>
      <c r="N824" s="9"/>
      <c r="O824" s="9"/>
      <c r="P824" s="9"/>
      <c r="Q824" s="9"/>
      <c r="R824" s="9"/>
    </row>
    <row r="825" spans="5:18" ht="15.75" customHeight="1" x14ac:dyDescent="0.3">
      <c r="E825" s="9"/>
      <c r="F825" s="9"/>
      <c r="H825" s="9"/>
      <c r="M825" s="9"/>
      <c r="N825" s="9"/>
      <c r="O825" s="9"/>
      <c r="P825" s="9"/>
      <c r="Q825" s="9"/>
      <c r="R825" s="9"/>
    </row>
    <row r="826" spans="5:18" ht="15.75" customHeight="1" x14ac:dyDescent="0.3">
      <c r="E826" s="9"/>
      <c r="F826" s="9"/>
      <c r="H826" s="9"/>
      <c r="M826" s="9"/>
      <c r="N826" s="9"/>
      <c r="O826" s="9"/>
      <c r="P826" s="9"/>
      <c r="Q826" s="9"/>
      <c r="R826" s="9"/>
    </row>
    <row r="827" spans="5:18" ht="15.75" customHeight="1" x14ac:dyDescent="0.3">
      <c r="E827" s="9"/>
      <c r="F827" s="9"/>
      <c r="H827" s="9"/>
      <c r="M827" s="9"/>
      <c r="N827" s="9"/>
      <c r="O827" s="9"/>
      <c r="P827" s="9"/>
      <c r="Q827" s="9"/>
      <c r="R827" s="9"/>
    </row>
    <row r="828" spans="5:18" ht="15.75" customHeight="1" x14ac:dyDescent="0.3">
      <c r="E828" s="9"/>
      <c r="F828" s="9"/>
      <c r="H828" s="9"/>
      <c r="M828" s="9"/>
      <c r="N828" s="9"/>
      <c r="O828" s="9"/>
      <c r="P828" s="9"/>
      <c r="Q828" s="9"/>
      <c r="R828" s="9"/>
    </row>
    <row r="829" spans="5:18" ht="15.75" customHeight="1" x14ac:dyDescent="0.3">
      <c r="E829" s="9"/>
      <c r="F829" s="9"/>
      <c r="H829" s="9"/>
      <c r="M829" s="9"/>
      <c r="N829" s="9"/>
      <c r="O829" s="9"/>
      <c r="P829" s="9"/>
      <c r="Q829" s="9"/>
      <c r="R829" s="9"/>
    </row>
    <row r="830" spans="5:18" ht="15.75" customHeight="1" x14ac:dyDescent="0.3">
      <c r="E830" s="9"/>
      <c r="F830" s="9"/>
      <c r="H830" s="9"/>
      <c r="M830" s="9"/>
      <c r="N830" s="9"/>
      <c r="O830" s="9"/>
      <c r="P830" s="9"/>
      <c r="Q830" s="9"/>
      <c r="R830" s="9"/>
    </row>
    <row r="831" spans="5:18" ht="15.75" customHeight="1" x14ac:dyDescent="0.3">
      <c r="E831" s="9"/>
      <c r="F831" s="9"/>
      <c r="H831" s="9"/>
      <c r="M831" s="9"/>
      <c r="N831" s="9"/>
      <c r="O831" s="9"/>
      <c r="P831" s="9"/>
      <c r="Q831" s="9"/>
      <c r="R831" s="9"/>
    </row>
    <row r="832" spans="5:18" ht="15.75" customHeight="1" x14ac:dyDescent="0.3">
      <c r="E832" s="9"/>
      <c r="F832" s="9"/>
      <c r="H832" s="9"/>
      <c r="M832" s="9"/>
      <c r="N832" s="9"/>
      <c r="O832" s="9"/>
      <c r="P832" s="9"/>
      <c r="Q832" s="9"/>
      <c r="R832" s="9"/>
    </row>
    <row r="833" spans="5:18" ht="15.75" customHeight="1" x14ac:dyDescent="0.3">
      <c r="E833" s="9"/>
      <c r="F833" s="9"/>
      <c r="H833" s="9"/>
      <c r="M833" s="9"/>
      <c r="N833" s="9"/>
      <c r="O833" s="9"/>
      <c r="P833" s="9"/>
      <c r="Q833" s="9"/>
      <c r="R833" s="9"/>
    </row>
    <row r="834" spans="5:18" ht="15.75" customHeight="1" x14ac:dyDescent="0.3">
      <c r="E834" s="9"/>
      <c r="F834" s="9"/>
      <c r="H834" s="9"/>
      <c r="M834" s="9"/>
      <c r="N834" s="9"/>
      <c r="O834" s="9"/>
      <c r="P834" s="9"/>
      <c r="Q834" s="9"/>
      <c r="R834" s="9"/>
    </row>
    <row r="835" spans="5:18" ht="15.75" customHeight="1" x14ac:dyDescent="0.3">
      <c r="E835" s="9"/>
      <c r="F835" s="9"/>
      <c r="H835" s="9"/>
      <c r="M835" s="9"/>
      <c r="N835" s="9"/>
      <c r="O835" s="9"/>
      <c r="P835" s="9"/>
      <c r="Q835" s="9"/>
      <c r="R835" s="9"/>
    </row>
    <row r="836" spans="5:18" ht="15.75" customHeight="1" x14ac:dyDescent="0.3">
      <c r="E836" s="9"/>
      <c r="F836" s="9"/>
      <c r="H836" s="9"/>
      <c r="M836" s="9"/>
      <c r="N836" s="9"/>
      <c r="O836" s="9"/>
      <c r="P836" s="9"/>
      <c r="Q836" s="9"/>
      <c r="R836" s="9"/>
    </row>
    <row r="837" spans="5:18" ht="15.75" customHeight="1" x14ac:dyDescent="0.3">
      <c r="E837" s="9"/>
      <c r="F837" s="9"/>
      <c r="H837" s="9"/>
      <c r="M837" s="9"/>
      <c r="N837" s="9"/>
      <c r="O837" s="9"/>
      <c r="P837" s="9"/>
      <c r="Q837" s="9"/>
      <c r="R837" s="9"/>
    </row>
    <row r="838" spans="5:18" ht="15.75" customHeight="1" x14ac:dyDescent="0.3">
      <c r="E838" s="9"/>
      <c r="F838" s="9"/>
      <c r="H838" s="9"/>
      <c r="M838" s="9"/>
      <c r="N838" s="9"/>
      <c r="O838" s="9"/>
      <c r="P838" s="9"/>
      <c r="Q838" s="9"/>
      <c r="R838" s="9"/>
    </row>
    <row r="839" spans="5:18" ht="15.75" customHeight="1" x14ac:dyDescent="0.3">
      <c r="E839" s="9"/>
      <c r="F839" s="9"/>
      <c r="H839" s="9"/>
      <c r="M839" s="9"/>
      <c r="N839" s="9"/>
      <c r="O839" s="9"/>
      <c r="P839" s="9"/>
      <c r="Q839" s="9"/>
      <c r="R839" s="9"/>
    </row>
    <row r="840" spans="5:18" ht="15.75" customHeight="1" x14ac:dyDescent="0.3">
      <c r="E840" s="9"/>
      <c r="F840" s="9"/>
      <c r="H840" s="9"/>
      <c r="M840" s="9"/>
      <c r="N840" s="9"/>
      <c r="O840" s="9"/>
      <c r="P840" s="9"/>
      <c r="Q840" s="9"/>
      <c r="R840" s="9"/>
    </row>
    <row r="841" spans="5:18" ht="15.75" customHeight="1" x14ac:dyDescent="0.3">
      <c r="E841" s="9"/>
      <c r="F841" s="9"/>
      <c r="H841" s="9"/>
      <c r="M841" s="9"/>
      <c r="N841" s="9"/>
      <c r="O841" s="9"/>
      <c r="P841" s="9"/>
      <c r="Q841" s="9"/>
      <c r="R841" s="9"/>
    </row>
    <row r="842" spans="5:18" ht="15.75" customHeight="1" x14ac:dyDescent="0.3">
      <c r="E842" s="9"/>
      <c r="F842" s="9"/>
      <c r="H842" s="9"/>
      <c r="M842" s="9"/>
      <c r="N842" s="9"/>
      <c r="O842" s="9"/>
      <c r="P842" s="9"/>
      <c r="Q842" s="9"/>
      <c r="R842" s="9"/>
    </row>
    <row r="843" spans="5:18" ht="15.75" customHeight="1" x14ac:dyDescent="0.3">
      <c r="E843" s="9"/>
      <c r="F843" s="9"/>
      <c r="H843" s="9"/>
      <c r="M843" s="9"/>
      <c r="N843" s="9"/>
      <c r="O843" s="9"/>
      <c r="P843" s="9"/>
      <c r="Q843" s="9"/>
      <c r="R843" s="9"/>
    </row>
    <row r="844" spans="5:18" ht="15.75" customHeight="1" x14ac:dyDescent="0.3">
      <c r="E844" s="9"/>
      <c r="F844" s="9"/>
      <c r="H844" s="9"/>
      <c r="M844" s="9"/>
      <c r="N844" s="9"/>
      <c r="O844" s="9"/>
      <c r="P844" s="9"/>
      <c r="Q844" s="9"/>
      <c r="R844" s="9"/>
    </row>
    <row r="845" spans="5:18" ht="15.75" customHeight="1" x14ac:dyDescent="0.3">
      <c r="E845" s="9"/>
      <c r="F845" s="9"/>
      <c r="H845" s="9"/>
      <c r="M845" s="9"/>
      <c r="N845" s="9"/>
      <c r="O845" s="9"/>
      <c r="P845" s="9"/>
      <c r="Q845" s="9"/>
      <c r="R845" s="9"/>
    </row>
    <row r="846" spans="5:18" ht="15.75" customHeight="1" x14ac:dyDescent="0.3">
      <c r="E846" s="9"/>
      <c r="F846" s="9"/>
      <c r="H846" s="9"/>
      <c r="M846" s="9"/>
      <c r="N846" s="9"/>
      <c r="O846" s="9"/>
      <c r="P846" s="9"/>
      <c r="Q846" s="9"/>
      <c r="R846" s="9"/>
    </row>
    <row r="847" spans="5:18" ht="15.75" customHeight="1" x14ac:dyDescent="0.3">
      <c r="E847" s="9"/>
      <c r="F847" s="9"/>
      <c r="H847" s="9"/>
      <c r="M847" s="9"/>
      <c r="N847" s="9"/>
      <c r="O847" s="9"/>
      <c r="P847" s="9"/>
      <c r="Q847" s="9"/>
      <c r="R847" s="9"/>
    </row>
    <row r="848" spans="5:18" ht="15.75" customHeight="1" x14ac:dyDescent="0.3">
      <c r="E848" s="9"/>
      <c r="F848" s="9"/>
      <c r="H848" s="9"/>
      <c r="M848" s="9"/>
      <c r="N848" s="9"/>
      <c r="O848" s="9"/>
      <c r="P848" s="9"/>
      <c r="Q848" s="9"/>
      <c r="R848" s="9"/>
    </row>
    <row r="849" spans="5:18" ht="15.75" customHeight="1" x14ac:dyDescent="0.3">
      <c r="E849" s="9"/>
      <c r="F849" s="9"/>
      <c r="H849" s="9"/>
      <c r="M849" s="9"/>
      <c r="N849" s="9"/>
      <c r="O849" s="9"/>
      <c r="P849" s="9"/>
      <c r="Q849" s="9"/>
      <c r="R849" s="9"/>
    </row>
    <row r="850" spans="5:18" ht="15.75" customHeight="1" x14ac:dyDescent="0.3">
      <c r="E850" s="9"/>
      <c r="F850" s="9"/>
      <c r="H850" s="9"/>
      <c r="M850" s="9"/>
      <c r="N850" s="9"/>
      <c r="O850" s="9"/>
      <c r="P850" s="9"/>
      <c r="Q850" s="9"/>
      <c r="R850" s="9"/>
    </row>
    <row r="851" spans="5:18" ht="15.75" customHeight="1" x14ac:dyDescent="0.3">
      <c r="E851" s="9"/>
      <c r="F851" s="9"/>
      <c r="H851" s="9"/>
      <c r="M851" s="9"/>
      <c r="N851" s="9"/>
      <c r="O851" s="9"/>
      <c r="P851" s="9"/>
      <c r="Q851" s="9"/>
      <c r="R851" s="9"/>
    </row>
    <row r="852" spans="5:18" ht="15.75" customHeight="1" x14ac:dyDescent="0.3">
      <c r="E852" s="9"/>
      <c r="F852" s="9"/>
      <c r="H852" s="9"/>
      <c r="M852" s="9"/>
      <c r="N852" s="9"/>
      <c r="O852" s="9"/>
      <c r="P852" s="9"/>
      <c r="Q852" s="9"/>
      <c r="R852" s="9"/>
    </row>
    <row r="853" spans="5:18" ht="15.75" customHeight="1" x14ac:dyDescent="0.3">
      <c r="E853" s="9"/>
      <c r="F853" s="9"/>
      <c r="H853" s="9"/>
      <c r="M853" s="9"/>
      <c r="N853" s="9"/>
      <c r="O853" s="9"/>
      <c r="P853" s="9"/>
      <c r="Q853" s="9"/>
      <c r="R853" s="9"/>
    </row>
    <row r="854" spans="5:18" ht="15.75" customHeight="1" x14ac:dyDescent="0.3">
      <c r="E854" s="9"/>
      <c r="F854" s="9"/>
      <c r="H854" s="9"/>
      <c r="M854" s="9"/>
      <c r="N854" s="9"/>
      <c r="O854" s="9"/>
      <c r="P854" s="9"/>
      <c r="Q854" s="9"/>
      <c r="R854" s="9"/>
    </row>
    <row r="855" spans="5:18" ht="15.75" customHeight="1" x14ac:dyDescent="0.3">
      <c r="E855" s="9"/>
      <c r="F855" s="9"/>
      <c r="H855" s="9"/>
      <c r="M855" s="9"/>
      <c r="N855" s="9"/>
      <c r="O855" s="9"/>
      <c r="P855" s="9"/>
      <c r="Q855" s="9"/>
      <c r="R855" s="9"/>
    </row>
    <row r="856" spans="5:18" ht="15.75" customHeight="1" x14ac:dyDescent="0.3">
      <c r="E856" s="9"/>
      <c r="F856" s="9"/>
      <c r="H856" s="9"/>
      <c r="M856" s="9"/>
      <c r="N856" s="9"/>
      <c r="O856" s="9"/>
      <c r="P856" s="9"/>
      <c r="Q856" s="9"/>
      <c r="R856" s="9"/>
    </row>
    <row r="857" spans="5:18" ht="15.75" customHeight="1" x14ac:dyDescent="0.3">
      <c r="E857" s="9"/>
      <c r="F857" s="9"/>
      <c r="H857" s="9"/>
      <c r="M857" s="9"/>
      <c r="N857" s="9"/>
      <c r="O857" s="9"/>
      <c r="P857" s="9"/>
      <c r="Q857" s="9"/>
      <c r="R857" s="9"/>
    </row>
    <row r="858" spans="5:18" ht="15.75" customHeight="1" x14ac:dyDescent="0.3">
      <c r="E858" s="9"/>
      <c r="F858" s="9"/>
      <c r="H858" s="9"/>
      <c r="M858" s="9"/>
      <c r="N858" s="9"/>
      <c r="O858" s="9"/>
      <c r="P858" s="9"/>
      <c r="Q858" s="9"/>
      <c r="R858" s="9"/>
    </row>
    <row r="859" spans="5:18" ht="15.75" customHeight="1" x14ac:dyDescent="0.3">
      <c r="E859" s="9"/>
      <c r="F859" s="9"/>
      <c r="H859" s="9"/>
      <c r="M859" s="9"/>
      <c r="N859" s="9"/>
      <c r="O859" s="9"/>
      <c r="P859" s="9"/>
      <c r="Q859" s="9"/>
      <c r="R859" s="9"/>
    </row>
    <row r="860" spans="5:18" ht="15.75" customHeight="1" x14ac:dyDescent="0.3">
      <c r="E860" s="9"/>
      <c r="F860" s="9"/>
      <c r="H860" s="9"/>
      <c r="M860" s="9"/>
      <c r="N860" s="9"/>
      <c r="O860" s="9"/>
      <c r="P860" s="9"/>
      <c r="Q860" s="9"/>
      <c r="R860" s="9"/>
    </row>
    <row r="861" spans="5:18" ht="15.75" customHeight="1" x14ac:dyDescent="0.3">
      <c r="E861" s="9"/>
      <c r="F861" s="9"/>
      <c r="H861" s="9"/>
      <c r="M861" s="9"/>
      <c r="N861" s="9"/>
      <c r="O861" s="9"/>
      <c r="P861" s="9"/>
      <c r="Q861" s="9"/>
      <c r="R861" s="9"/>
    </row>
    <row r="862" spans="5:18" ht="15.75" customHeight="1" x14ac:dyDescent="0.3">
      <c r="E862" s="9"/>
      <c r="F862" s="9"/>
      <c r="H862" s="9"/>
      <c r="M862" s="9"/>
      <c r="N862" s="9"/>
      <c r="O862" s="9"/>
      <c r="P862" s="9"/>
      <c r="Q862" s="9"/>
      <c r="R862" s="9"/>
    </row>
    <row r="863" spans="5:18" ht="15.75" customHeight="1" x14ac:dyDescent="0.3">
      <c r="E863" s="9"/>
      <c r="F863" s="9"/>
      <c r="H863" s="9"/>
      <c r="M863" s="9"/>
      <c r="N863" s="9"/>
      <c r="O863" s="9"/>
      <c r="P863" s="9"/>
      <c r="Q863" s="9"/>
      <c r="R863" s="9"/>
    </row>
    <row r="864" spans="5:18" ht="15.75" customHeight="1" x14ac:dyDescent="0.3">
      <c r="E864" s="9"/>
      <c r="F864" s="9"/>
      <c r="H864" s="9"/>
      <c r="M864" s="9"/>
      <c r="N864" s="9"/>
      <c r="O864" s="9"/>
      <c r="P864" s="9"/>
      <c r="Q864" s="9"/>
      <c r="R864" s="9"/>
    </row>
    <row r="865" spans="5:18" ht="15.75" customHeight="1" x14ac:dyDescent="0.3">
      <c r="E865" s="9"/>
      <c r="F865" s="9"/>
      <c r="H865" s="9"/>
      <c r="M865" s="9"/>
      <c r="N865" s="9"/>
      <c r="O865" s="9"/>
      <c r="P865" s="9"/>
      <c r="Q865" s="9"/>
      <c r="R865" s="9"/>
    </row>
    <row r="866" spans="5:18" ht="15.75" customHeight="1" x14ac:dyDescent="0.3">
      <c r="E866" s="9"/>
      <c r="F866" s="9"/>
      <c r="H866" s="9"/>
      <c r="M866" s="9"/>
      <c r="N866" s="9"/>
      <c r="O866" s="9"/>
      <c r="P866" s="9"/>
      <c r="Q866" s="9"/>
      <c r="R866" s="9"/>
    </row>
    <row r="867" spans="5:18" ht="15.75" customHeight="1" x14ac:dyDescent="0.3">
      <c r="E867" s="9"/>
      <c r="F867" s="9"/>
      <c r="H867" s="9"/>
      <c r="M867" s="9"/>
      <c r="N867" s="9"/>
      <c r="O867" s="9"/>
      <c r="P867" s="9"/>
      <c r="Q867" s="9"/>
      <c r="R867" s="9"/>
    </row>
    <row r="868" spans="5:18" ht="15.75" customHeight="1" x14ac:dyDescent="0.3">
      <c r="E868" s="9"/>
      <c r="F868" s="9"/>
      <c r="H868" s="9"/>
      <c r="M868" s="9"/>
      <c r="N868" s="9"/>
      <c r="O868" s="9"/>
      <c r="P868" s="9"/>
      <c r="Q868" s="9"/>
      <c r="R868" s="9"/>
    </row>
    <row r="869" spans="5:18" ht="15.75" customHeight="1" x14ac:dyDescent="0.3">
      <c r="E869" s="9"/>
      <c r="F869" s="9"/>
      <c r="H869" s="9"/>
      <c r="M869" s="9"/>
      <c r="N869" s="9"/>
      <c r="O869" s="9"/>
      <c r="P869" s="9"/>
      <c r="Q869" s="9"/>
      <c r="R869" s="9"/>
    </row>
    <row r="870" spans="5:18" ht="15.75" customHeight="1" x14ac:dyDescent="0.3">
      <c r="E870" s="9"/>
      <c r="F870" s="9"/>
      <c r="H870" s="9"/>
      <c r="M870" s="9"/>
      <c r="N870" s="9"/>
      <c r="O870" s="9"/>
      <c r="P870" s="9"/>
      <c r="Q870" s="9"/>
      <c r="R870" s="9"/>
    </row>
    <row r="871" spans="5:18" ht="15.75" customHeight="1" x14ac:dyDescent="0.3">
      <c r="E871" s="9"/>
      <c r="F871" s="9"/>
      <c r="H871" s="9"/>
      <c r="M871" s="9"/>
      <c r="N871" s="9"/>
      <c r="O871" s="9"/>
      <c r="P871" s="9"/>
      <c r="Q871" s="9"/>
      <c r="R871" s="9"/>
    </row>
    <row r="872" spans="5:18" ht="15.75" customHeight="1" x14ac:dyDescent="0.3">
      <c r="E872" s="9"/>
      <c r="F872" s="9"/>
      <c r="H872" s="9"/>
      <c r="M872" s="9"/>
      <c r="N872" s="9"/>
      <c r="O872" s="9"/>
      <c r="P872" s="9"/>
      <c r="Q872" s="9"/>
      <c r="R872" s="9"/>
    </row>
    <row r="873" spans="5:18" ht="15.75" customHeight="1" x14ac:dyDescent="0.3">
      <c r="E873" s="9"/>
      <c r="F873" s="9"/>
      <c r="H873" s="9"/>
      <c r="M873" s="9"/>
      <c r="N873" s="9"/>
      <c r="O873" s="9"/>
      <c r="P873" s="9"/>
      <c r="Q873" s="9"/>
      <c r="R873" s="9"/>
    </row>
    <row r="874" spans="5:18" ht="15.75" customHeight="1" x14ac:dyDescent="0.3">
      <c r="E874" s="9"/>
      <c r="F874" s="9"/>
      <c r="H874" s="9"/>
      <c r="M874" s="9"/>
      <c r="N874" s="9"/>
      <c r="O874" s="9"/>
      <c r="P874" s="9"/>
      <c r="Q874" s="9"/>
      <c r="R874" s="9"/>
    </row>
    <row r="875" spans="5:18" ht="15.75" customHeight="1" x14ac:dyDescent="0.3">
      <c r="E875" s="9"/>
      <c r="F875" s="9"/>
      <c r="H875" s="9"/>
      <c r="M875" s="9"/>
      <c r="N875" s="9"/>
      <c r="O875" s="9"/>
      <c r="P875" s="9"/>
      <c r="Q875" s="9"/>
      <c r="R875" s="9"/>
    </row>
    <row r="876" spans="5:18" ht="15.75" customHeight="1" x14ac:dyDescent="0.3">
      <c r="E876" s="9"/>
      <c r="F876" s="9"/>
      <c r="H876" s="9"/>
      <c r="M876" s="9"/>
      <c r="N876" s="9"/>
      <c r="O876" s="9"/>
      <c r="P876" s="9"/>
      <c r="Q876" s="9"/>
      <c r="R876" s="9"/>
    </row>
    <row r="877" spans="5:18" ht="15.75" customHeight="1" x14ac:dyDescent="0.3">
      <c r="E877" s="9"/>
      <c r="F877" s="9"/>
      <c r="H877" s="9"/>
      <c r="M877" s="9"/>
      <c r="N877" s="9"/>
      <c r="O877" s="9"/>
      <c r="P877" s="9"/>
      <c r="Q877" s="9"/>
      <c r="R877" s="9"/>
    </row>
    <row r="878" spans="5:18" ht="15.75" customHeight="1" x14ac:dyDescent="0.3">
      <c r="E878" s="9"/>
      <c r="F878" s="9"/>
      <c r="H878" s="9"/>
      <c r="M878" s="9"/>
      <c r="N878" s="9"/>
      <c r="O878" s="9"/>
      <c r="P878" s="9"/>
      <c r="Q878" s="9"/>
      <c r="R878" s="9"/>
    </row>
    <row r="879" spans="5:18" ht="15.75" customHeight="1" x14ac:dyDescent="0.3">
      <c r="E879" s="9"/>
      <c r="F879" s="9"/>
      <c r="H879" s="9"/>
      <c r="M879" s="9"/>
      <c r="N879" s="9"/>
      <c r="O879" s="9"/>
      <c r="P879" s="9"/>
      <c r="Q879" s="9"/>
      <c r="R879" s="9"/>
    </row>
    <row r="880" spans="5:18" ht="15.75" customHeight="1" x14ac:dyDescent="0.3">
      <c r="E880" s="9"/>
      <c r="F880" s="9"/>
      <c r="H880" s="9"/>
      <c r="M880" s="9"/>
      <c r="N880" s="9"/>
      <c r="O880" s="9"/>
      <c r="P880" s="9"/>
      <c r="Q880" s="9"/>
      <c r="R880" s="9"/>
    </row>
    <row r="881" spans="5:18" ht="15.75" customHeight="1" x14ac:dyDescent="0.3">
      <c r="E881" s="9"/>
      <c r="F881" s="9"/>
      <c r="H881" s="9"/>
      <c r="M881" s="9"/>
      <c r="N881" s="9"/>
      <c r="O881" s="9"/>
      <c r="P881" s="9"/>
      <c r="Q881" s="9"/>
      <c r="R881" s="9"/>
    </row>
    <row r="882" spans="5:18" ht="15.75" customHeight="1" x14ac:dyDescent="0.3">
      <c r="E882" s="9"/>
      <c r="F882" s="9"/>
      <c r="H882" s="9"/>
      <c r="M882" s="9"/>
      <c r="N882" s="9"/>
      <c r="O882" s="9"/>
      <c r="P882" s="9"/>
      <c r="Q882" s="9"/>
      <c r="R882" s="9"/>
    </row>
    <row r="883" spans="5:18" ht="15.75" customHeight="1" x14ac:dyDescent="0.3">
      <c r="E883" s="9"/>
      <c r="F883" s="9"/>
      <c r="H883" s="9"/>
      <c r="M883" s="9"/>
      <c r="N883" s="9"/>
      <c r="O883" s="9"/>
      <c r="P883" s="9"/>
      <c r="Q883" s="9"/>
      <c r="R883" s="9"/>
    </row>
    <row r="884" spans="5:18" ht="15.75" customHeight="1" x14ac:dyDescent="0.3">
      <c r="E884" s="9"/>
      <c r="F884" s="9"/>
      <c r="H884" s="9"/>
      <c r="M884" s="9"/>
      <c r="N884" s="9"/>
      <c r="O884" s="9"/>
      <c r="P884" s="9"/>
      <c r="Q884" s="9"/>
      <c r="R884" s="9"/>
    </row>
    <row r="885" spans="5:18" ht="15.75" customHeight="1" x14ac:dyDescent="0.3">
      <c r="E885" s="9"/>
      <c r="F885" s="9"/>
      <c r="H885" s="9"/>
      <c r="M885" s="9"/>
      <c r="N885" s="9"/>
      <c r="O885" s="9"/>
      <c r="P885" s="9"/>
      <c r="Q885" s="9"/>
      <c r="R885" s="9"/>
    </row>
    <row r="886" spans="5:18" ht="15.75" customHeight="1" x14ac:dyDescent="0.3">
      <c r="E886" s="9"/>
      <c r="F886" s="9"/>
      <c r="H886" s="9"/>
      <c r="M886" s="9"/>
      <c r="N886" s="9"/>
      <c r="O886" s="9"/>
      <c r="P886" s="9"/>
      <c r="Q886" s="9"/>
      <c r="R886" s="9"/>
    </row>
    <row r="887" spans="5:18" ht="15.75" customHeight="1" x14ac:dyDescent="0.3">
      <c r="E887" s="9"/>
      <c r="F887" s="9"/>
      <c r="H887" s="9"/>
      <c r="M887" s="9"/>
      <c r="N887" s="9"/>
      <c r="O887" s="9"/>
      <c r="P887" s="9"/>
      <c r="Q887" s="9"/>
      <c r="R887" s="9"/>
    </row>
    <row r="888" spans="5:18" ht="15.75" customHeight="1" x14ac:dyDescent="0.3">
      <c r="E888" s="9"/>
      <c r="F888" s="9"/>
      <c r="H888" s="9"/>
      <c r="M888" s="9"/>
      <c r="N888" s="9"/>
      <c r="O888" s="9"/>
      <c r="P888" s="9"/>
      <c r="Q888" s="9"/>
      <c r="R888" s="9"/>
    </row>
    <row r="889" spans="5:18" ht="15.75" customHeight="1" x14ac:dyDescent="0.3">
      <c r="E889" s="9"/>
      <c r="F889" s="9"/>
      <c r="H889" s="9"/>
      <c r="M889" s="9"/>
      <c r="N889" s="9"/>
      <c r="O889" s="9"/>
      <c r="P889" s="9"/>
      <c r="Q889" s="9"/>
      <c r="R889" s="9"/>
    </row>
    <row r="890" spans="5:18" ht="15.75" customHeight="1" x14ac:dyDescent="0.3">
      <c r="E890" s="9"/>
      <c r="F890" s="9"/>
      <c r="H890" s="9"/>
      <c r="M890" s="9"/>
      <c r="N890" s="9"/>
      <c r="O890" s="9"/>
      <c r="P890" s="9"/>
      <c r="Q890" s="9"/>
      <c r="R890" s="9"/>
    </row>
    <row r="891" spans="5:18" ht="15.75" customHeight="1" x14ac:dyDescent="0.3">
      <c r="E891" s="9"/>
      <c r="F891" s="9"/>
      <c r="H891" s="9"/>
      <c r="M891" s="9"/>
      <c r="N891" s="9"/>
      <c r="O891" s="9"/>
      <c r="P891" s="9"/>
      <c r="Q891" s="9"/>
      <c r="R891" s="9"/>
    </row>
    <row r="892" spans="5:18" ht="15.75" customHeight="1" x14ac:dyDescent="0.3">
      <c r="E892" s="9"/>
      <c r="F892" s="9"/>
      <c r="H892" s="9"/>
      <c r="M892" s="9"/>
      <c r="N892" s="9"/>
      <c r="O892" s="9"/>
      <c r="P892" s="9"/>
      <c r="Q892" s="9"/>
      <c r="R892" s="9"/>
    </row>
    <row r="893" spans="5:18" ht="15.75" customHeight="1" x14ac:dyDescent="0.3">
      <c r="E893" s="9"/>
      <c r="F893" s="9"/>
      <c r="H893" s="9"/>
      <c r="M893" s="9"/>
      <c r="N893" s="9"/>
      <c r="O893" s="9"/>
      <c r="P893" s="9"/>
      <c r="Q893" s="9"/>
      <c r="R893" s="9"/>
    </row>
    <row r="894" spans="5:18" ht="15.75" customHeight="1" x14ac:dyDescent="0.3">
      <c r="E894" s="9"/>
      <c r="F894" s="9"/>
      <c r="H894" s="9"/>
      <c r="M894" s="9"/>
      <c r="N894" s="9"/>
      <c r="O894" s="9"/>
      <c r="P894" s="9"/>
      <c r="Q894" s="9"/>
      <c r="R894" s="9"/>
    </row>
    <row r="895" spans="5:18" ht="15.75" customHeight="1" x14ac:dyDescent="0.3">
      <c r="E895" s="9"/>
      <c r="F895" s="9"/>
      <c r="H895" s="9"/>
      <c r="M895" s="9"/>
      <c r="N895" s="9"/>
      <c r="O895" s="9"/>
      <c r="P895" s="9"/>
      <c r="Q895" s="9"/>
      <c r="R895" s="9"/>
    </row>
    <row r="896" spans="5:18" ht="15.75" customHeight="1" x14ac:dyDescent="0.3">
      <c r="E896" s="9"/>
      <c r="F896" s="9"/>
      <c r="H896" s="9"/>
      <c r="M896" s="9"/>
      <c r="N896" s="9"/>
      <c r="O896" s="9"/>
      <c r="P896" s="9"/>
      <c r="Q896" s="9"/>
      <c r="R896" s="9"/>
    </row>
    <row r="897" spans="5:18" ht="15.75" customHeight="1" x14ac:dyDescent="0.3">
      <c r="E897" s="9"/>
      <c r="F897" s="9"/>
      <c r="H897" s="9"/>
      <c r="M897" s="9"/>
      <c r="N897" s="9"/>
      <c r="O897" s="9"/>
      <c r="P897" s="9"/>
      <c r="Q897" s="9"/>
      <c r="R897" s="9"/>
    </row>
    <row r="898" spans="5:18" ht="15.75" customHeight="1" x14ac:dyDescent="0.3">
      <c r="E898" s="9"/>
      <c r="F898" s="9"/>
      <c r="H898" s="9"/>
      <c r="M898" s="9"/>
      <c r="N898" s="9"/>
      <c r="O898" s="9"/>
      <c r="P898" s="9"/>
      <c r="Q898" s="9"/>
      <c r="R898" s="9"/>
    </row>
    <row r="899" spans="5:18" ht="15.75" customHeight="1" x14ac:dyDescent="0.3">
      <c r="E899" s="9"/>
      <c r="F899" s="9"/>
      <c r="H899" s="9"/>
      <c r="M899" s="9"/>
      <c r="N899" s="9"/>
      <c r="O899" s="9"/>
      <c r="P899" s="9"/>
      <c r="Q899" s="9"/>
      <c r="R899" s="9"/>
    </row>
    <row r="900" spans="5:18" ht="15.75" customHeight="1" x14ac:dyDescent="0.3">
      <c r="E900" s="9"/>
      <c r="F900" s="9"/>
      <c r="H900" s="9"/>
      <c r="M900" s="9"/>
      <c r="N900" s="9"/>
      <c r="O900" s="9"/>
      <c r="P900" s="9"/>
      <c r="Q900" s="9"/>
      <c r="R900" s="9"/>
    </row>
    <row r="901" spans="5:18" ht="15.75" customHeight="1" x14ac:dyDescent="0.3">
      <c r="E901" s="9"/>
      <c r="F901" s="9"/>
      <c r="H901" s="9"/>
      <c r="M901" s="9"/>
      <c r="N901" s="9"/>
      <c r="O901" s="9"/>
      <c r="P901" s="9"/>
      <c r="Q901" s="9"/>
      <c r="R901" s="9"/>
    </row>
    <row r="902" spans="5:18" ht="15.75" customHeight="1" x14ac:dyDescent="0.3">
      <c r="E902" s="9"/>
      <c r="F902" s="9"/>
      <c r="H902" s="9"/>
      <c r="M902" s="9"/>
      <c r="N902" s="9"/>
      <c r="O902" s="9"/>
      <c r="P902" s="9"/>
      <c r="Q902" s="9"/>
      <c r="R902" s="9"/>
    </row>
    <row r="903" spans="5:18" ht="15.75" customHeight="1" x14ac:dyDescent="0.3">
      <c r="E903" s="9"/>
      <c r="F903" s="9"/>
      <c r="H903" s="9"/>
      <c r="M903" s="9"/>
      <c r="N903" s="9"/>
      <c r="O903" s="9"/>
      <c r="P903" s="9"/>
      <c r="Q903" s="9"/>
      <c r="R903" s="9"/>
    </row>
    <row r="904" spans="5:18" ht="15.75" customHeight="1" x14ac:dyDescent="0.3">
      <c r="E904" s="9"/>
      <c r="F904" s="9"/>
      <c r="H904" s="9"/>
      <c r="M904" s="9"/>
      <c r="N904" s="9"/>
      <c r="O904" s="9"/>
      <c r="P904" s="9"/>
      <c r="Q904" s="9"/>
      <c r="R904" s="9"/>
    </row>
    <row r="905" spans="5:18" ht="15.75" customHeight="1" x14ac:dyDescent="0.3">
      <c r="E905" s="9"/>
      <c r="F905" s="9"/>
      <c r="H905" s="9"/>
      <c r="M905" s="9"/>
      <c r="N905" s="9"/>
      <c r="O905" s="9"/>
      <c r="P905" s="9"/>
      <c r="Q905" s="9"/>
      <c r="R905" s="9"/>
    </row>
    <row r="906" spans="5:18" ht="15.75" customHeight="1" x14ac:dyDescent="0.3">
      <c r="E906" s="9"/>
      <c r="F906" s="9"/>
      <c r="H906" s="9"/>
      <c r="M906" s="9"/>
      <c r="N906" s="9"/>
      <c r="O906" s="9"/>
      <c r="P906" s="9"/>
      <c r="Q906" s="9"/>
      <c r="R906" s="9"/>
    </row>
    <row r="907" spans="5:18" ht="15.75" customHeight="1" x14ac:dyDescent="0.3">
      <c r="E907" s="9"/>
      <c r="F907" s="9"/>
      <c r="H907" s="9"/>
      <c r="M907" s="9"/>
      <c r="N907" s="9"/>
      <c r="O907" s="9"/>
      <c r="P907" s="9"/>
      <c r="Q907" s="9"/>
      <c r="R907" s="9"/>
    </row>
    <row r="908" spans="5:18" ht="15.75" customHeight="1" x14ac:dyDescent="0.3">
      <c r="E908" s="9"/>
      <c r="F908" s="9"/>
      <c r="H908" s="9"/>
      <c r="M908" s="9"/>
      <c r="N908" s="9"/>
      <c r="O908" s="9"/>
      <c r="P908" s="9"/>
      <c r="Q908" s="9"/>
      <c r="R908" s="9"/>
    </row>
    <row r="909" spans="5:18" ht="15.75" customHeight="1" x14ac:dyDescent="0.3">
      <c r="E909" s="9"/>
      <c r="F909" s="9"/>
      <c r="H909" s="9"/>
      <c r="M909" s="9"/>
      <c r="N909" s="9"/>
      <c r="O909" s="9"/>
      <c r="P909" s="9"/>
      <c r="Q909" s="9"/>
      <c r="R909" s="9"/>
    </row>
    <row r="910" spans="5:18" ht="15.75" customHeight="1" x14ac:dyDescent="0.3">
      <c r="E910" s="9"/>
      <c r="F910" s="9"/>
      <c r="H910" s="9"/>
      <c r="M910" s="9"/>
      <c r="N910" s="9"/>
      <c r="O910" s="9"/>
      <c r="P910" s="9"/>
      <c r="Q910" s="9"/>
      <c r="R910" s="9"/>
    </row>
    <row r="911" spans="5:18" ht="15.75" customHeight="1" x14ac:dyDescent="0.3">
      <c r="E911" s="9"/>
      <c r="F911" s="9"/>
      <c r="H911" s="9"/>
      <c r="M911" s="9"/>
      <c r="N911" s="9"/>
      <c r="O911" s="9"/>
      <c r="P911" s="9"/>
      <c r="Q911" s="9"/>
      <c r="R911" s="9"/>
    </row>
    <row r="912" spans="5:18" ht="15.75" customHeight="1" x14ac:dyDescent="0.3">
      <c r="E912" s="9"/>
      <c r="F912" s="9"/>
      <c r="H912" s="9"/>
      <c r="M912" s="9"/>
      <c r="N912" s="9"/>
      <c r="O912" s="9"/>
      <c r="P912" s="9"/>
      <c r="Q912" s="9"/>
      <c r="R912" s="9"/>
    </row>
    <row r="913" spans="5:18" ht="15.75" customHeight="1" x14ac:dyDescent="0.3">
      <c r="E913" s="9"/>
      <c r="F913" s="9"/>
      <c r="H913" s="9"/>
      <c r="M913" s="9"/>
      <c r="N913" s="9"/>
      <c r="O913" s="9"/>
      <c r="P913" s="9"/>
      <c r="Q913" s="9"/>
      <c r="R913" s="9"/>
    </row>
    <row r="914" spans="5:18" ht="15.75" customHeight="1" x14ac:dyDescent="0.3">
      <c r="E914" s="9"/>
      <c r="F914" s="9"/>
      <c r="H914" s="9"/>
      <c r="M914" s="9"/>
      <c r="N914" s="9"/>
      <c r="O914" s="9"/>
      <c r="P914" s="9"/>
      <c r="Q914" s="9"/>
      <c r="R914" s="9"/>
    </row>
    <row r="915" spans="5:18" ht="15.75" customHeight="1" x14ac:dyDescent="0.3">
      <c r="E915" s="9"/>
      <c r="F915" s="9"/>
      <c r="H915" s="9"/>
      <c r="M915" s="9"/>
      <c r="N915" s="9"/>
      <c r="O915" s="9"/>
      <c r="P915" s="9"/>
      <c r="Q915" s="9"/>
      <c r="R915" s="9"/>
    </row>
    <row r="916" spans="5:18" ht="15.75" customHeight="1" x14ac:dyDescent="0.3">
      <c r="E916" s="9"/>
      <c r="F916" s="9"/>
      <c r="H916" s="9"/>
      <c r="M916" s="9"/>
      <c r="N916" s="9"/>
      <c r="O916" s="9"/>
      <c r="P916" s="9"/>
      <c r="Q916" s="9"/>
      <c r="R916" s="9"/>
    </row>
    <row r="917" spans="5:18" ht="15.75" customHeight="1" x14ac:dyDescent="0.3">
      <c r="E917" s="9"/>
      <c r="F917" s="9"/>
      <c r="H917" s="9"/>
      <c r="M917" s="9"/>
      <c r="N917" s="9"/>
      <c r="O917" s="9"/>
      <c r="P917" s="9"/>
      <c r="Q917" s="9"/>
      <c r="R917" s="9"/>
    </row>
    <row r="918" spans="5:18" ht="15.75" customHeight="1" x14ac:dyDescent="0.3">
      <c r="E918" s="9"/>
      <c r="F918" s="9"/>
      <c r="H918" s="9"/>
      <c r="M918" s="9"/>
      <c r="N918" s="9"/>
      <c r="O918" s="9"/>
      <c r="P918" s="9"/>
      <c r="Q918" s="9"/>
      <c r="R918" s="9"/>
    </row>
    <row r="919" spans="5:18" ht="15.75" customHeight="1" x14ac:dyDescent="0.3">
      <c r="E919" s="9"/>
      <c r="F919" s="9"/>
      <c r="H919" s="9"/>
      <c r="M919" s="9"/>
      <c r="N919" s="9"/>
      <c r="O919" s="9"/>
      <c r="P919" s="9"/>
      <c r="Q919" s="9"/>
      <c r="R919" s="9"/>
    </row>
    <row r="920" spans="5:18" ht="15.75" customHeight="1" x14ac:dyDescent="0.3">
      <c r="E920" s="9"/>
      <c r="F920" s="9"/>
      <c r="H920" s="9"/>
      <c r="M920" s="9"/>
      <c r="N920" s="9"/>
      <c r="O920" s="9"/>
      <c r="P920" s="9"/>
      <c r="Q920" s="9"/>
      <c r="R920" s="9"/>
    </row>
    <row r="921" spans="5:18" ht="15.75" customHeight="1" x14ac:dyDescent="0.3">
      <c r="E921" s="9"/>
      <c r="F921" s="9"/>
      <c r="H921" s="9"/>
      <c r="M921" s="9"/>
      <c r="N921" s="9"/>
      <c r="O921" s="9"/>
      <c r="P921" s="9"/>
      <c r="Q921" s="9"/>
      <c r="R921" s="9"/>
    </row>
    <row r="922" spans="5:18" ht="15.75" customHeight="1" x14ac:dyDescent="0.3">
      <c r="E922" s="9"/>
      <c r="F922" s="9"/>
      <c r="H922" s="9"/>
      <c r="M922" s="9"/>
      <c r="N922" s="9"/>
      <c r="O922" s="9"/>
      <c r="P922" s="9"/>
      <c r="Q922" s="9"/>
      <c r="R922" s="9"/>
    </row>
    <row r="923" spans="5:18" ht="15.75" customHeight="1" x14ac:dyDescent="0.3">
      <c r="E923" s="9"/>
      <c r="F923" s="9"/>
      <c r="H923" s="9"/>
      <c r="M923" s="9"/>
      <c r="N923" s="9"/>
      <c r="O923" s="9"/>
      <c r="P923" s="9"/>
      <c r="Q923" s="9"/>
      <c r="R923" s="9"/>
    </row>
    <row r="924" spans="5:18" ht="15.75" customHeight="1" x14ac:dyDescent="0.3">
      <c r="E924" s="9"/>
      <c r="F924" s="9"/>
      <c r="H924" s="9"/>
      <c r="M924" s="9"/>
      <c r="N924" s="9"/>
      <c r="O924" s="9"/>
      <c r="P924" s="9"/>
      <c r="Q924" s="9"/>
      <c r="R924" s="9"/>
    </row>
    <row r="925" spans="5:18" ht="15.75" customHeight="1" x14ac:dyDescent="0.3">
      <c r="E925" s="9"/>
      <c r="F925" s="9"/>
      <c r="H925" s="9"/>
      <c r="M925" s="9"/>
      <c r="N925" s="9"/>
      <c r="O925" s="9"/>
      <c r="P925" s="9"/>
      <c r="Q925" s="9"/>
      <c r="R925" s="9"/>
    </row>
    <row r="926" spans="5:18" ht="15.75" customHeight="1" x14ac:dyDescent="0.3">
      <c r="E926" s="9"/>
      <c r="F926" s="9"/>
      <c r="H926" s="9"/>
      <c r="M926" s="9"/>
      <c r="N926" s="9"/>
      <c r="O926" s="9"/>
      <c r="P926" s="9"/>
      <c r="Q926" s="9"/>
      <c r="R926" s="9"/>
    </row>
    <row r="927" spans="5:18" ht="15.75" customHeight="1" x14ac:dyDescent="0.3">
      <c r="E927" s="9"/>
      <c r="F927" s="9"/>
      <c r="H927" s="9"/>
      <c r="M927" s="9"/>
      <c r="N927" s="9"/>
      <c r="O927" s="9"/>
      <c r="P927" s="9"/>
      <c r="Q927" s="9"/>
      <c r="R927" s="9"/>
    </row>
    <row r="928" spans="5:18" ht="15.75" customHeight="1" x14ac:dyDescent="0.3">
      <c r="E928" s="9"/>
      <c r="F928" s="9"/>
      <c r="H928" s="9"/>
      <c r="M928" s="9"/>
      <c r="N928" s="9"/>
      <c r="O928" s="9"/>
      <c r="P928" s="9"/>
      <c r="Q928" s="9"/>
      <c r="R928" s="9"/>
    </row>
    <row r="929" spans="5:18" ht="15.75" customHeight="1" x14ac:dyDescent="0.3">
      <c r="E929" s="9"/>
      <c r="F929" s="9"/>
      <c r="H929" s="9"/>
      <c r="M929" s="9"/>
      <c r="N929" s="9"/>
      <c r="O929" s="9"/>
      <c r="P929" s="9"/>
      <c r="Q929" s="9"/>
      <c r="R929" s="9"/>
    </row>
    <row r="930" spans="5:18" ht="15.75" customHeight="1" x14ac:dyDescent="0.3">
      <c r="E930" s="9"/>
      <c r="F930" s="9"/>
      <c r="H930" s="9"/>
      <c r="M930" s="9"/>
      <c r="N930" s="9"/>
      <c r="O930" s="9"/>
      <c r="P930" s="9"/>
      <c r="Q930" s="9"/>
      <c r="R930" s="9"/>
    </row>
    <row r="931" spans="5:18" ht="15.75" customHeight="1" x14ac:dyDescent="0.3">
      <c r="E931" s="9"/>
      <c r="F931" s="9"/>
      <c r="H931" s="9"/>
      <c r="M931" s="9"/>
      <c r="N931" s="9"/>
      <c r="O931" s="9"/>
      <c r="P931" s="9"/>
      <c r="Q931" s="9"/>
      <c r="R931" s="9"/>
    </row>
    <row r="932" spans="5:18" ht="15.75" customHeight="1" x14ac:dyDescent="0.3">
      <c r="E932" s="9"/>
      <c r="F932" s="9"/>
      <c r="H932" s="9"/>
      <c r="M932" s="9"/>
      <c r="N932" s="9"/>
      <c r="O932" s="9"/>
      <c r="P932" s="9"/>
      <c r="Q932" s="9"/>
      <c r="R932" s="9"/>
    </row>
    <row r="933" spans="5:18" ht="15.75" customHeight="1" x14ac:dyDescent="0.3">
      <c r="E933" s="9"/>
      <c r="F933" s="9"/>
      <c r="H933" s="9"/>
      <c r="M933" s="9"/>
      <c r="N933" s="9"/>
      <c r="O933" s="9"/>
      <c r="P933" s="9"/>
      <c r="Q933" s="9"/>
      <c r="R933" s="9"/>
    </row>
    <row r="934" spans="5:18" ht="15.75" customHeight="1" x14ac:dyDescent="0.3">
      <c r="E934" s="9"/>
      <c r="F934" s="9"/>
      <c r="H934" s="9"/>
      <c r="M934" s="9"/>
      <c r="N934" s="9"/>
      <c r="O934" s="9"/>
      <c r="P934" s="9"/>
      <c r="Q934" s="9"/>
      <c r="R934" s="9"/>
    </row>
    <row r="935" spans="5:18" ht="15.75" customHeight="1" x14ac:dyDescent="0.3">
      <c r="E935" s="9"/>
      <c r="F935" s="9"/>
      <c r="H935" s="9"/>
      <c r="M935" s="9"/>
      <c r="N935" s="9"/>
      <c r="O935" s="9"/>
      <c r="P935" s="9"/>
      <c r="Q935" s="9"/>
      <c r="R935" s="9"/>
    </row>
    <row r="936" spans="5:18" ht="15.75" customHeight="1" x14ac:dyDescent="0.3">
      <c r="E936" s="9"/>
      <c r="F936" s="9"/>
      <c r="H936" s="9"/>
      <c r="M936" s="9"/>
      <c r="N936" s="9"/>
      <c r="O936" s="9"/>
      <c r="P936" s="9"/>
      <c r="Q936" s="9"/>
      <c r="R936" s="9"/>
    </row>
    <row r="937" spans="5:18" ht="15.75" customHeight="1" x14ac:dyDescent="0.3">
      <c r="E937" s="9"/>
      <c r="F937" s="9"/>
      <c r="H937" s="9"/>
      <c r="M937" s="9"/>
      <c r="N937" s="9"/>
      <c r="O937" s="9"/>
      <c r="P937" s="9"/>
      <c r="Q937" s="9"/>
      <c r="R937" s="9"/>
    </row>
    <row r="938" spans="5:18" ht="15.75" customHeight="1" x14ac:dyDescent="0.3">
      <c r="E938" s="9"/>
      <c r="F938" s="9"/>
      <c r="H938" s="9"/>
      <c r="M938" s="9"/>
      <c r="N938" s="9"/>
      <c r="O938" s="9"/>
      <c r="P938" s="9"/>
      <c r="Q938" s="9"/>
      <c r="R938" s="9"/>
    </row>
    <row r="939" spans="5:18" ht="15.75" customHeight="1" x14ac:dyDescent="0.3">
      <c r="E939" s="9"/>
      <c r="F939" s="9"/>
      <c r="H939" s="9"/>
      <c r="M939" s="9"/>
      <c r="N939" s="9"/>
      <c r="O939" s="9"/>
      <c r="P939" s="9"/>
      <c r="Q939" s="9"/>
      <c r="R939" s="9"/>
    </row>
    <row r="940" spans="5:18" ht="15.75" customHeight="1" x14ac:dyDescent="0.3">
      <c r="E940" s="9"/>
      <c r="F940" s="9"/>
      <c r="H940" s="9"/>
      <c r="M940" s="9"/>
      <c r="N940" s="9"/>
      <c r="O940" s="9"/>
      <c r="P940" s="9"/>
      <c r="Q940" s="9"/>
      <c r="R940" s="9"/>
    </row>
    <row r="941" spans="5:18" ht="15.75" customHeight="1" x14ac:dyDescent="0.3">
      <c r="E941" s="9"/>
      <c r="F941" s="9"/>
      <c r="H941" s="9"/>
      <c r="M941" s="9"/>
      <c r="N941" s="9"/>
      <c r="O941" s="9"/>
      <c r="P941" s="9"/>
      <c r="Q941" s="9"/>
      <c r="R941" s="9"/>
    </row>
    <row r="942" spans="5:18" ht="15.75" customHeight="1" x14ac:dyDescent="0.3">
      <c r="E942" s="9"/>
      <c r="F942" s="9"/>
      <c r="H942" s="9"/>
      <c r="M942" s="9"/>
      <c r="N942" s="9"/>
      <c r="O942" s="9"/>
      <c r="P942" s="9"/>
      <c r="Q942" s="9"/>
      <c r="R942" s="9"/>
    </row>
    <row r="943" spans="5:18" ht="15.75" customHeight="1" x14ac:dyDescent="0.3">
      <c r="E943" s="9"/>
      <c r="F943" s="9"/>
      <c r="H943" s="9"/>
      <c r="M943" s="9"/>
      <c r="N943" s="9"/>
      <c r="O943" s="9"/>
      <c r="P943" s="9"/>
      <c r="Q943" s="9"/>
      <c r="R943" s="9"/>
    </row>
    <row r="944" spans="5:18" ht="15.75" customHeight="1" x14ac:dyDescent="0.3">
      <c r="E944" s="9"/>
      <c r="F944" s="9"/>
      <c r="H944" s="9"/>
      <c r="M944" s="9"/>
      <c r="N944" s="9"/>
      <c r="O944" s="9"/>
      <c r="P944" s="9"/>
      <c r="Q944" s="9"/>
      <c r="R944" s="9"/>
    </row>
    <row r="945" spans="5:18" ht="15.75" customHeight="1" x14ac:dyDescent="0.3">
      <c r="E945" s="9"/>
      <c r="F945" s="9"/>
      <c r="H945" s="9"/>
      <c r="M945" s="9"/>
      <c r="N945" s="9"/>
      <c r="O945" s="9"/>
      <c r="P945" s="9"/>
      <c r="Q945" s="9"/>
      <c r="R945" s="9"/>
    </row>
    <row r="946" spans="5:18" ht="15.75" customHeight="1" x14ac:dyDescent="0.3">
      <c r="E946" s="9"/>
      <c r="F946" s="9"/>
      <c r="H946" s="9"/>
      <c r="M946" s="9"/>
      <c r="N946" s="9"/>
      <c r="O946" s="9"/>
      <c r="P946" s="9"/>
      <c r="Q946" s="9"/>
      <c r="R946" s="9"/>
    </row>
    <row r="947" spans="5:18" ht="15.75" customHeight="1" x14ac:dyDescent="0.3">
      <c r="E947" s="9"/>
      <c r="F947" s="9"/>
      <c r="H947" s="9"/>
      <c r="M947" s="9"/>
      <c r="N947" s="9"/>
      <c r="O947" s="9"/>
      <c r="P947" s="9"/>
      <c r="Q947" s="9"/>
      <c r="R947" s="9"/>
    </row>
    <row r="948" spans="5:18" ht="15.75" customHeight="1" x14ac:dyDescent="0.3">
      <c r="E948" s="9"/>
      <c r="F948" s="9"/>
      <c r="H948" s="9"/>
      <c r="M948" s="9"/>
      <c r="N948" s="9"/>
      <c r="O948" s="9"/>
      <c r="P948" s="9"/>
      <c r="Q948" s="9"/>
      <c r="R948" s="9"/>
    </row>
    <row r="949" spans="5:18" ht="15.75" customHeight="1" x14ac:dyDescent="0.3">
      <c r="E949" s="9"/>
      <c r="F949" s="9"/>
      <c r="H949" s="9"/>
      <c r="M949" s="9"/>
      <c r="N949" s="9"/>
      <c r="O949" s="9"/>
      <c r="P949" s="9"/>
      <c r="Q949" s="9"/>
      <c r="R949" s="9"/>
    </row>
    <row r="950" spans="5:18" ht="15.75" customHeight="1" x14ac:dyDescent="0.3">
      <c r="E950" s="9"/>
      <c r="F950" s="9"/>
      <c r="H950" s="9"/>
      <c r="M950" s="9"/>
      <c r="N950" s="9"/>
      <c r="O950" s="9"/>
      <c r="P950" s="9"/>
      <c r="Q950" s="9"/>
      <c r="R950" s="9"/>
    </row>
    <row r="951" spans="5:18" ht="15.75" customHeight="1" x14ac:dyDescent="0.3">
      <c r="E951" s="9"/>
      <c r="F951" s="9"/>
      <c r="H951" s="9"/>
      <c r="M951" s="9"/>
      <c r="N951" s="9"/>
      <c r="O951" s="9"/>
      <c r="P951" s="9"/>
      <c r="Q951" s="9"/>
      <c r="R951" s="9"/>
    </row>
    <row r="952" spans="5:18" ht="15.75" customHeight="1" x14ac:dyDescent="0.3">
      <c r="E952" s="9"/>
      <c r="F952" s="9"/>
      <c r="H952" s="9"/>
      <c r="M952" s="9"/>
      <c r="N952" s="9"/>
      <c r="O952" s="9"/>
      <c r="P952" s="9"/>
      <c r="Q952" s="9"/>
      <c r="R952" s="9"/>
    </row>
    <row r="953" spans="5:18" ht="15.75" customHeight="1" x14ac:dyDescent="0.3">
      <c r="E953" s="9"/>
      <c r="F953" s="9"/>
      <c r="H953" s="9"/>
      <c r="M953" s="9"/>
      <c r="N953" s="9"/>
      <c r="O953" s="9"/>
      <c r="P953" s="9"/>
      <c r="Q953" s="9"/>
      <c r="R953" s="9"/>
    </row>
    <row r="954" spans="5:18" ht="15.75" customHeight="1" x14ac:dyDescent="0.3">
      <c r="E954" s="9"/>
      <c r="F954" s="9"/>
      <c r="H954" s="9"/>
      <c r="M954" s="9"/>
      <c r="N954" s="9"/>
      <c r="O954" s="9"/>
      <c r="P954" s="9"/>
      <c r="Q954" s="9"/>
      <c r="R954" s="9"/>
    </row>
    <row r="955" spans="5:18" ht="15.75" customHeight="1" x14ac:dyDescent="0.3">
      <c r="E955" s="9"/>
      <c r="F955" s="9"/>
      <c r="H955" s="9"/>
      <c r="M955" s="9"/>
      <c r="N955" s="9"/>
      <c r="O955" s="9"/>
      <c r="P955" s="9"/>
      <c r="Q955" s="9"/>
      <c r="R955" s="9"/>
    </row>
    <row r="956" spans="5:18" ht="15.75" customHeight="1" x14ac:dyDescent="0.3">
      <c r="E956" s="9"/>
      <c r="F956" s="9"/>
      <c r="H956" s="9"/>
      <c r="M956" s="9"/>
      <c r="N956" s="9"/>
      <c r="O956" s="9"/>
      <c r="P956" s="9"/>
      <c r="Q956" s="9"/>
      <c r="R956" s="9"/>
    </row>
    <row r="957" spans="5:18" ht="15.75" customHeight="1" x14ac:dyDescent="0.3">
      <c r="E957" s="9"/>
      <c r="F957" s="9"/>
      <c r="H957" s="9"/>
      <c r="M957" s="9"/>
      <c r="N957" s="9"/>
      <c r="O957" s="9"/>
      <c r="P957" s="9"/>
      <c r="Q957" s="9"/>
      <c r="R957" s="9"/>
    </row>
    <row r="958" spans="5:18" ht="15.75" customHeight="1" x14ac:dyDescent="0.3">
      <c r="E958" s="9"/>
      <c r="F958" s="9"/>
      <c r="H958" s="9"/>
      <c r="M958" s="9"/>
      <c r="N958" s="9"/>
      <c r="O958" s="9"/>
      <c r="P958" s="9"/>
      <c r="Q958" s="9"/>
      <c r="R958" s="9"/>
    </row>
    <row r="959" spans="5:18" ht="15.75" customHeight="1" x14ac:dyDescent="0.3">
      <c r="E959" s="9"/>
      <c r="F959" s="9"/>
      <c r="H959" s="9"/>
      <c r="M959" s="9"/>
      <c r="N959" s="9"/>
      <c r="O959" s="9"/>
      <c r="P959" s="9"/>
      <c r="Q959" s="9"/>
      <c r="R959" s="9"/>
    </row>
    <row r="960" spans="5:18" ht="15.75" customHeight="1" x14ac:dyDescent="0.3">
      <c r="E960" s="9"/>
      <c r="F960" s="9"/>
      <c r="H960" s="9"/>
      <c r="M960" s="9"/>
      <c r="N960" s="9"/>
      <c r="O960" s="9"/>
      <c r="P960" s="9"/>
      <c r="Q960" s="9"/>
      <c r="R960" s="9"/>
    </row>
    <row r="961" spans="5:18" ht="15.75" customHeight="1" x14ac:dyDescent="0.3">
      <c r="E961" s="9"/>
      <c r="F961" s="9"/>
      <c r="H961" s="9"/>
      <c r="M961" s="9"/>
      <c r="N961" s="9"/>
      <c r="O961" s="9"/>
      <c r="P961" s="9"/>
      <c r="Q961" s="9"/>
      <c r="R961" s="9"/>
    </row>
    <row r="962" spans="5:18" ht="15.75" customHeight="1" x14ac:dyDescent="0.3">
      <c r="E962" s="9"/>
      <c r="F962" s="9"/>
      <c r="H962" s="9"/>
      <c r="M962" s="9"/>
      <c r="N962" s="9"/>
      <c r="O962" s="9"/>
      <c r="P962" s="9"/>
      <c r="Q962" s="9"/>
      <c r="R962" s="9"/>
    </row>
    <row r="963" spans="5:18" ht="15.75" customHeight="1" x14ac:dyDescent="0.3">
      <c r="E963" s="9"/>
      <c r="F963" s="9"/>
      <c r="H963" s="9"/>
      <c r="M963" s="9"/>
      <c r="N963" s="9"/>
      <c r="O963" s="9"/>
      <c r="P963" s="9"/>
      <c r="Q963" s="9"/>
      <c r="R963" s="9"/>
    </row>
    <row r="964" spans="5:18" ht="15.75" customHeight="1" x14ac:dyDescent="0.3">
      <c r="E964" s="9"/>
      <c r="F964" s="9"/>
      <c r="H964" s="9"/>
      <c r="M964" s="9"/>
      <c r="N964" s="9"/>
      <c r="O964" s="9"/>
      <c r="P964" s="9"/>
      <c r="Q964" s="9"/>
      <c r="R964" s="9"/>
    </row>
    <row r="965" spans="5:18" ht="15.75" customHeight="1" x14ac:dyDescent="0.3">
      <c r="E965" s="9"/>
      <c r="F965" s="9"/>
      <c r="H965" s="9"/>
      <c r="M965" s="9"/>
      <c r="N965" s="9"/>
      <c r="O965" s="9"/>
      <c r="P965" s="9"/>
      <c r="Q965" s="9"/>
      <c r="R965" s="9"/>
    </row>
    <row r="966" spans="5:18" ht="15.75" customHeight="1" x14ac:dyDescent="0.3">
      <c r="E966" s="9"/>
      <c r="F966" s="9"/>
      <c r="H966" s="9"/>
      <c r="M966" s="9"/>
      <c r="N966" s="9"/>
      <c r="O966" s="9"/>
      <c r="P966" s="9"/>
      <c r="Q966" s="9"/>
      <c r="R966" s="9"/>
    </row>
    <row r="967" spans="5:18" ht="15.75" customHeight="1" x14ac:dyDescent="0.3">
      <c r="E967" s="9"/>
      <c r="F967" s="9"/>
      <c r="H967" s="9"/>
      <c r="M967" s="9"/>
      <c r="N967" s="9"/>
      <c r="O967" s="9"/>
      <c r="P967" s="9"/>
      <c r="Q967" s="9"/>
      <c r="R967" s="9"/>
    </row>
    <row r="968" spans="5:18" ht="15.75" customHeight="1" x14ac:dyDescent="0.3">
      <c r="E968" s="9"/>
      <c r="F968" s="9"/>
      <c r="H968" s="9"/>
      <c r="M968" s="9"/>
      <c r="N968" s="9"/>
      <c r="O968" s="9"/>
      <c r="P968" s="9"/>
      <c r="Q968" s="9"/>
      <c r="R968" s="9"/>
    </row>
    <row r="969" spans="5:18" ht="15.75" customHeight="1" x14ac:dyDescent="0.3">
      <c r="E969" s="9"/>
      <c r="F969" s="9"/>
      <c r="H969" s="9"/>
      <c r="M969" s="9"/>
      <c r="N969" s="9"/>
      <c r="O969" s="9"/>
      <c r="P969" s="9"/>
      <c r="Q969" s="9"/>
      <c r="R969" s="9"/>
    </row>
    <row r="970" spans="5:18" ht="15.75" customHeight="1" x14ac:dyDescent="0.3">
      <c r="E970" s="9"/>
      <c r="F970" s="9"/>
      <c r="H970" s="9"/>
      <c r="M970" s="9"/>
      <c r="N970" s="9"/>
      <c r="O970" s="9"/>
      <c r="P970" s="9"/>
      <c r="Q970" s="9"/>
      <c r="R970" s="9"/>
    </row>
    <row r="971" spans="5:18" ht="15.75" customHeight="1" x14ac:dyDescent="0.3">
      <c r="E971" s="9"/>
      <c r="F971" s="9"/>
      <c r="H971" s="9"/>
      <c r="M971" s="9"/>
      <c r="N971" s="9"/>
      <c r="O971" s="9"/>
      <c r="P971" s="9"/>
      <c r="Q971" s="9"/>
      <c r="R971" s="9"/>
    </row>
    <row r="972" spans="5:18" ht="15.75" customHeight="1" x14ac:dyDescent="0.3">
      <c r="E972" s="9"/>
      <c r="F972" s="9"/>
      <c r="H972" s="9"/>
      <c r="M972" s="9"/>
      <c r="N972" s="9"/>
      <c r="O972" s="9"/>
      <c r="P972" s="9"/>
      <c r="Q972" s="9"/>
      <c r="R972" s="9"/>
    </row>
    <row r="973" spans="5:18" ht="15.75" customHeight="1" x14ac:dyDescent="0.3">
      <c r="E973" s="9"/>
      <c r="F973" s="9"/>
      <c r="H973" s="9"/>
      <c r="M973" s="9"/>
      <c r="N973" s="9"/>
      <c r="O973" s="9"/>
      <c r="P973" s="9"/>
      <c r="Q973" s="9"/>
      <c r="R973" s="9"/>
    </row>
    <row r="974" spans="5:18" ht="15.75" customHeight="1" x14ac:dyDescent="0.3">
      <c r="E974" s="9"/>
      <c r="F974" s="9"/>
      <c r="H974" s="9"/>
      <c r="M974" s="9"/>
      <c r="N974" s="9"/>
      <c r="O974" s="9"/>
      <c r="P974" s="9"/>
      <c r="Q974" s="9"/>
      <c r="R974" s="9"/>
    </row>
    <row r="975" spans="5:18" ht="15.75" customHeight="1" x14ac:dyDescent="0.3">
      <c r="E975" s="9"/>
      <c r="F975" s="9"/>
      <c r="H975" s="9"/>
      <c r="M975" s="9"/>
      <c r="N975" s="9"/>
      <c r="O975" s="9"/>
      <c r="P975" s="9"/>
      <c r="Q975" s="9"/>
      <c r="R975" s="9"/>
    </row>
    <row r="976" spans="5:18" ht="15.75" customHeight="1" x14ac:dyDescent="0.3">
      <c r="E976" s="9"/>
      <c r="F976" s="9"/>
      <c r="H976" s="9"/>
      <c r="M976" s="9"/>
      <c r="N976" s="9"/>
      <c r="O976" s="9"/>
      <c r="P976" s="9"/>
      <c r="Q976" s="9"/>
      <c r="R976" s="9"/>
    </row>
    <row r="977" spans="5:18" ht="15.75" customHeight="1" x14ac:dyDescent="0.3">
      <c r="E977" s="9"/>
      <c r="F977" s="9"/>
      <c r="H977" s="9"/>
      <c r="M977" s="9"/>
      <c r="N977" s="9"/>
      <c r="O977" s="9"/>
      <c r="P977" s="9"/>
      <c r="Q977" s="9"/>
      <c r="R977" s="9"/>
    </row>
    <row r="978" spans="5:18" ht="15.75" customHeight="1" x14ac:dyDescent="0.3">
      <c r="E978" s="9"/>
      <c r="F978" s="9"/>
      <c r="H978" s="9"/>
      <c r="M978" s="9"/>
      <c r="N978" s="9"/>
      <c r="O978" s="9"/>
      <c r="P978" s="9"/>
      <c r="Q978" s="9"/>
      <c r="R978" s="9"/>
    </row>
    <row r="979" spans="5:18" ht="15.75" customHeight="1" x14ac:dyDescent="0.3">
      <c r="E979" s="9"/>
      <c r="F979" s="9"/>
      <c r="H979" s="9"/>
      <c r="M979" s="9"/>
      <c r="N979" s="9"/>
      <c r="O979" s="9"/>
      <c r="P979" s="9"/>
      <c r="Q979" s="9"/>
      <c r="R979" s="9"/>
    </row>
    <row r="980" spans="5:18" ht="15.75" customHeight="1" x14ac:dyDescent="0.3">
      <c r="E980" s="9"/>
      <c r="F980" s="9"/>
      <c r="H980" s="9"/>
      <c r="M980" s="9"/>
      <c r="N980" s="9"/>
      <c r="O980" s="9"/>
      <c r="P980" s="9"/>
      <c r="Q980" s="9"/>
      <c r="R980" s="9"/>
    </row>
    <row r="981" spans="5:18" ht="15.75" customHeight="1" x14ac:dyDescent="0.3">
      <c r="E981" s="9"/>
      <c r="F981" s="9"/>
      <c r="H981" s="9"/>
      <c r="M981" s="9"/>
      <c r="N981" s="9"/>
      <c r="O981" s="9"/>
      <c r="P981" s="9"/>
      <c r="Q981" s="9"/>
      <c r="R981" s="9"/>
    </row>
    <row r="982" spans="5:18" ht="15.75" customHeight="1" x14ac:dyDescent="0.3">
      <c r="E982" s="9"/>
      <c r="F982" s="9"/>
      <c r="H982" s="9"/>
      <c r="M982" s="9"/>
      <c r="N982" s="9"/>
      <c r="O982" s="9"/>
      <c r="P982" s="9"/>
      <c r="Q982" s="9"/>
      <c r="R982" s="9"/>
    </row>
    <row r="983" spans="5:18" ht="15.75" customHeight="1" x14ac:dyDescent="0.3">
      <c r="E983" s="9"/>
      <c r="F983" s="9"/>
      <c r="H983" s="9"/>
      <c r="M983" s="9"/>
      <c r="N983" s="9"/>
      <c r="O983" s="9"/>
      <c r="P983" s="9"/>
      <c r="Q983" s="9"/>
      <c r="R983" s="9"/>
    </row>
    <row r="984" spans="5:18" ht="15.75" customHeight="1" x14ac:dyDescent="0.3">
      <c r="E984" s="9"/>
      <c r="F984" s="9"/>
      <c r="H984" s="9"/>
      <c r="M984" s="9"/>
      <c r="N984" s="9"/>
      <c r="O984" s="9"/>
      <c r="P984" s="9"/>
      <c r="Q984" s="9"/>
      <c r="R984" s="9"/>
    </row>
    <row r="985" spans="5:18" ht="15.75" customHeight="1" x14ac:dyDescent="0.3">
      <c r="E985" s="9"/>
      <c r="F985" s="9"/>
      <c r="H985" s="9"/>
      <c r="M985" s="9"/>
      <c r="N985" s="9"/>
      <c r="O985" s="9"/>
      <c r="P985" s="9"/>
      <c r="Q985" s="9"/>
      <c r="R985" s="9"/>
    </row>
    <row r="986" spans="5:18" ht="15.75" customHeight="1" x14ac:dyDescent="0.3">
      <c r="E986" s="9"/>
      <c r="F986" s="9"/>
      <c r="H986" s="9"/>
      <c r="M986" s="9"/>
      <c r="N986" s="9"/>
      <c r="O986" s="9"/>
      <c r="P986" s="9"/>
      <c r="Q986" s="9"/>
      <c r="R986" s="9"/>
    </row>
    <row r="987" spans="5:18" ht="15.75" customHeight="1" x14ac:dyDescent="0.3">
      <c r="E987" s="9"/>
      <c r="F987" s="9"/>
      <c r="H987" s="9"/>
      <c r="M987" s="9"/>
      <c r="N987" s="9"/>
      <c r="O987" s="9"/>
      <c r="P987" s="9"/>
      <c r="Q987" s="9"/>
      <c r="R987" s="9"/>
    </row>
    <row r="988" spans="5:18" ht="15.75" customHeight="1" x14ac:dyDescent="0.3">
      <c r="E988" s="9"/>
      <c r="F988" s="9"/>
      <c r="H988" s="9"/>
      <c r="M988" s="9"/>
      <c r="N988" s="9"/>
      <c r="O988" s="9"/>
      <c r="P988" s="9"/>
      <c r="Q988" s="9"/>
      <c r="R988" s="9"/>
    </row>
    <row r="989" spans="5:18" ht="15.75" customHeight="1" x14ac:dyDescent="0.3">
      <c r="E989" s="9"/>
      <c r="F989" s="9"/>
      <c r="H989" s="9"/>
      <c r="M989" s="9"/>
      <c r="N989" s="9"/>
      <c r="O989" s="9"/>
      <c r="P989" s="9"/>
      <c r="Q989" s="9"/>
      <c r="R989" s="9"/>
    </row>
    <row r="990" spans="5:18" ht="15.75" customHeight="1" x14ac:dyDescent="0.3">
      <c r="E990" s="9"/>
      <c r="F990" s="9"/>
      <c r="H990" s="9"/>
      <c r="M990" s="9"/>
      <c r="N990" s="9"/>
      <c r="O990" s="9"/>
      <c r="P990" s="9"/>
      <c r="Q990" s="9"/>
      <c r="R990" s="9"/>
    </row>
    <row r="991" spans="5:18" ht="15.75" customHeight="1" x14ac:dyDescent="0.3">
      <c r="E991" s="9"/>
      <c r="F991" s="9"/>
      <c r="H991" s="9"/>
      <c r="M991" s="9"/>
      <c r="N991" s="9"/>
      <c r="O991" s="9"/>
      <c r="P991" s="9"/>
      <c r="Q991" s="9"/>
      <c r="R991" s="9"/>
    </row>
    <row r="992" spans="5:18" ht="15.75" customHeight="1" x14ac:dyDescent="0.3">
      <c r="E992" s="9"/>
      <c r="F992" s="9"/>
      <c r="H992" s="9"/>
      <c r="M992" s="9"/>
      <c r="N992" s="9"/>
      <c r="O992" s="9"/>
      <c r="P992" s="9"/>
      <c r="Q992" s="9"/>
      <c r="R992" s="9"/>
    </row>
    <row r="993" spans="5:18" ht="15.75" customHeight="1" x14ac:dyDescent="0.3">
      <c r="E993" s="9"/>
      <c r="F993" s="9"/>
      <c r="H993" s="9"/>
      <c r="M993" s="9"/>
      <c r="N993" s="9"/>
      <c r="O993" s="9"/>
      <c r="P993" s="9"/>
      <c r="Q993" s="9"/>
      <c r="R993" s="9"/>
    </row>
    <row r="994" spans="5:18" ht="15.75" customHeight="1" x14ac:dyDescent="0.3">
      <c r="E994" s="9"/>
      <c r="F994" s="9"/>
      <c r="H994" s="9"/>
      <c r="M994" s="9"/>
      <c r="N994" s="9"/>
      <c r="O994" s="9"/>
      <c r="P994" s="9"/>
      <c r="Q994" s="9"/>
      <c r="R994" s="9"/>
    </row>
    <row r="995" spans="5:18" ht="15.75" customHeight="1" x14ac:dyDescent="0.3">
      <c r="E995" s="9"/>
      <c r="F995" s="9"/>
      <c r="H995" s="9"/>
      <c r="M995" s="9"/>
      <c r="N995" s="9"/>
      <c r="O995" s="9"/>
      <c r="P995" s="9"/>
      <c r="Q995" s="9"/>
      <c r="R995" s="9"/>
    </row>
    <row r="996" spans="5:18" ht="15.75" customHeight="1" x14ac:dyDescent="0.3">
      <c r="E996" s="9"/>
      <c r="F996" s="9"/>
      <c r="H996" s="9"/>
      <c r="M996" s="9"/>
      <c r="N996" s="9"/>
      <c r="O996" s="9"/>
      <c r="P996" s="9"/>
      <c r="Q996" s="9"/>
      <c r="R996" s="9"/>
    </row>
    <row r="997" spans="5:18" ht="15.75" customHeight="1" x14ac:dyDescent="0.3">
      <c r="E997" s="9"/>
      <c r="F997" s="9"/>
      <c r="H997" s="9"/>
      <c r="M997" s="9"/>
      <c r="N997" s="9"/>
      <c r="O997" s="9"/>
      <c r="P997" s="9"/>
      <c r="Q997" s="9"/>
      <c r="R997" s="9"/>
    </row>
    <row r="998" spans="5:18" ht="15.75" customHeight="1" x14ac:dyDescent="0.3">
      <c r="E998" s="9"/>
      <c r="F998" s="9"/>
      <c r="H998" s="9"/>
      <c r="M998" s="9"/>
      <c r="N998" s="9"/>
      <c r="O998" s="9"/>
      <c r="P998" s="9"/>
      <c r="Q998" s="9"/>
      <c r="R998" s="9"/>
    </row>
    <row r="999" spans="5:18" ht="15.75" customHeight="1" x14ac:dyDescent="0.3">
      <c r="E999" s="9"/>
      <c r="F999" s="9"/>
      <c r="H999" s="9"/>
      <c r="M999" s="9"/>
      <c r="N999" s="9"/>
      <c r="O999" s="9"/>
      <c r="P999" s="9"/>
      <c r="Q999" s="9"/>
      <c r="R999" s="9"/>
    </row>
    <row r="1000" spans="5:18" ht="15.75" customHeight="1" x14ac:dyDescent="0.3">
      <c r="E1000" s="9"/>
      <c r="F1000" s="9"/>
      <c r="H1000" s="9"/>
      <c r="M1000" s="9"/>
      <c r="N1000" s="9"/>
      <c r="O1000" s="9"/>
      <c r="P1000" s="9"/>
      <c r="Q1000" s="9"/>
      <c r="R1000" s="9"/>
    </row>
    <row r="1001" spans="5:18" ht="15.75" customHeight="1" x14ac:dyDescent="0.3">
      <c r="E1001" s="9"/>
      <c r="F1001" s="9"/>
      <c r="H1001" s="9"/>
      <c r="M1001" s="9"/>
      <c r="N1001" s="9"/>
      <c r="O1001" s="9"/>
      <c r="P1001" s="9"/>
      <c r="Q1001" s="9"/>
      <c r="R1001" s="9"/>
    </row>
    <row r="1002" spans="5:18" ht="15.75" customHeight="1" x14ac:dyDescent="0.3">
      <c r="E1002" s="9"/>
      <c r="F1002" s="9"/>
      <c r="H1002" s="9"/>
      <c r="M1002" s="9"/>
      <c r="N1002" s="9"/>
      <c r="O1002" s="9"/>
      <c r="P1002" s="9"/>
      <c r="Q1002" s="9"/>
      <c r="R1002" s="9"/>
    </row>
    <row r="1003" spans="5:18" ht="15.75" customHeight="1" x14ac:dyDescent="0.3">
      <c r="E1003" s="9"/>
      <c r="F1003" s="9"/>
      <c r="H1003" s="9"/>
      <c r="M1003" s="9"/>
      <c r="N1003" s="9"/>
      <c r="O1003" s="9"/>
      <c r="P1003" s="9"/>
      <c r="Q1003" s="9"/>
      <c r="R1003" s="9"/>
    </row>
    <row r="1004" spans="5:18" ht="15.75" customHeight="1" x14ac:dyDescent="0.3">
      <c r="E1004" s="9"/>
      <c r="F1004" s="9"/>
      <c r="H1004" s="9"/>
      <c r="M1004" s="9"/>
      <c r="N1004" s="9"/>
      <c r="O1004" s="9"/>
      <c r="P1004" s="9"/>
      <c r="Q1004" s="9"/>
      <c r="R1004" s="9"/>
    </row>
    <row r="1005" spans="5:18" ht="15.75" customHeight="1" x14ac:dyDescent="0.3">
      <c r="E1005" s="9"/>
      <c r="F1005" s="9"/>
      <c r="H1005" s="9"/>
      <c r="M1005" s="9"/>
      <c r="N1005" s="9"/>
      <c r="O1005" s="9"/>
      <c r="P1005" s="9"/>
      <c r="Q1005" s="9"/>
      <c r="R1005" s="9"/>
    </row>
    <row r="1006" spans="5:18" ht="15.75" customHeight="1" x14ac:dyDescent="0.3">
      <c r="E1006" s="9"/>
      <c r="F1006" s="9"/>
      <c r="H1006" s="9"/>
      <c r="M1006" s="9"/>
      <c r="N1006" s="9"/>
      <c r="O1006" s="9"/>
      <c r="P1006" s="9"/>
      <c r="Q1006" s="9"/>
      <c r="R1006" s="9"/>
    </row>
    <row r="1007" spans="5:18" ht="15.75" customHeight="1" x14ac:dyDescent="0.3">
      <c r="E1007" s="9"/>
      <c r="F1007" s="9"/>
      <c r="H1007" s="9"/>
      <c r="M1007" s="9"/>
      <c r="N1007" s="9"/>
      <c r="O1007" s="9"/>
      <c r="P1007" s="9"/>
      <c r="Q1007" s="9"/>
      <c r="R1007" s="9"/>
    </row>
    <row r="1008" spans="5:18" ht="15.75" customHeight="1" x14ac:dyDescent="0.3">
      <c r="E1008" s="9"/>
      <c r="F1008" s="9"/>
      <c r="H1008" s="9"/>
      <c r="M1008" s="9"/>
      <c r="N1008" s="9"/>
      <c r="O1008" s="9"/>
      <c r="P1008" s="9"/>
      <c r="Q1008" s="9"/>
      <c r="R1008" s="9"/>
    </row>
    <row r="1009" spans="5:18" ht="15.75" customHeight="1" x14ac:dyDescent="0.3">
      <c r="E1009" s="9"/>
      <c r="F1009" s="9"/>
      <c r="H1009" s="9"/>
      <c r="M1009" s="9"/>
      <c r="N1009" s="9"/>
      <c r="O1009" s="9"/>
      <c r="P1009" s="9"/>
      <c r="Q1009" s="9"/>
      <c r="R1009" s="9"/>
    </row>
    <row r="1010" spans="5:18" ht="15.75" customHeight="1" x14ac:dyDescent="0.3">
      <c r="E1010" s="9"/>
      <c r="F1010" s="9"/>
      <c r="H1010" s="9"/>
      <c r="M1010" s="9"/>
      <c r="N1010" s="9"/>
      <c r="O1010" s="9"/>
      <c r="P1010" s="9"/>
      <c r="Q1010" s="9"/>
      <c r="R1010" s="9"/>
    </row>
    <row r="1011" spans="5:18" ht="15.75" customHeight="1" x14ac:dyDescent="0.3">
      <c r="E1011" s="9"/>
      <c r="F1011" s="9"/>
      <c r="H1011" s="9"/>
      <c r="M1011" s="9"/>
      <c r="N1011" s="9"/>
      <c r="O1011" s="9"/>
      <c r="P1011" s="9"/>
      <c r="Q1011" s="9"/>
      <c r="R1011" s="9"/>
    </row>
    <row r="1012" spans="5:18" ht="15.75" customHeight="1" x14ac:dyDescent="0.3">
      <c r="E1012" s="9"/>
      <c r="F1012" s="9"/>
      <c r="H1012" s="9"/>
      <c r="M1012" s="9"/>
      <c r="N1012" s="9"/>
      <c r="O1012" s="9"/>
      <c r="P1012" s="9"/>
      <c r="Q1012" s="9"/>
      <c r="R1012" s="9"/>
    </row>
    <row r="1013" spans="5:18" ht="15.75" customHeight="1" x14ac:dyDescent="0.3">
      <c r="E1013" s="9"/>
      <c r="F1013" s="9"/>
      <c r="H1013" s="9"/>
      <c r="M1013" s="9"/>
      <c r="N1013" s="9"/>
      <c r="O1013" s="9"/>
      <c r="P1013" s="9"/>
      <c r="Q1013" s="9"/>
      <c r="R1013" s="9"/>
    </row>
    <row r="1014" spans="5:18" ht="15.75" customHeight="1" x14ac:dyDescent="0.3">
      <c r="E1014" s="9"/>
      <c r="F1014" s="9"/>
      <c r="H1014" s="9"/>
      <c r="M1014" s="9"/>
      <c r="N1014" s="9"/>
      <c r="O1014" s="9"/>
      <c r="P1014" s="9"/>
      <c r="Q1014" s="9"/>
      <c r="R1014" s="9"/>
    </row>
    <row r="1015" spans="5:18" ht="15.75" customHeight="1" x14ac:dyDescent="0.3">
      <c r="E1015" s="9"/>
      <c r="F1015" s="9"/>
      <c r="H1015" s="9"/>
      <c r="M1015" s="9"/>
      <c r="N1015" s="9"/>
      <c r="O1015" s="9"/>
      <c r="P1015" s="9"/>
      <c r="Q1015" s="9"/>
      <c r="R1015" s="9"/>
    </row>
    <row r="1016" spans="5:18" ht="15.75" customHeight="1" x14ac:dyDescent="0.3">
      <c r="E1016" s="9"/>
      <c r="F1016" s="9"/>
      <c r="H1016" s="9"/>
      <c r="M1016" s="9"/>
      <c r="N1016" s="9"/>
      <c r="O1016" s="9"/>
      <c r="P1016" s="9"/>
      <c r="Q1016" s="9"/>
      <c r="R1016" s="9"/>
    </row>
    <row r="1017" spans="5:18" ht="15.75" customHeight="1" x14ac:dyDescent="0.3">
      <c r="E1017" s="9"/>
      <c r="F1017" s="9"/>
      <c r="H1017" s="9"/>
      <c r="M1017" s="9"/>
      <c r="N1017" s="9"/>
      <c r="O1017" s="9"/>
      <c r="P1017" s="9"/>
      <c r="Q1017" s="9"/>
      <c r="R1017" s="9"/>
    </row>
    <row r="1018" spans="5:18" ht="15.75" customHeight="1" x14ac:dyDescent="0.3">
      <c r="E1018" s="9"/>
      <c r="F1018" s="9"/>
      <c r="H1018" s="9"/>
      <c r="M1018" s="9"/>
      <c r="N1018" s="9"/>
      <c r="O1018" s="9"/>
      <c r="P1018" s="9"/>
      <c r="Q1018" s="9"/>
      <c r="R1018" s="9"/>
    </row>
    <row r="1019" spans="5:18" ht="15.75" customHeight="1" x14ac:dyDescent="0.3">
      <c r="E1019" s="9"/>
      <c r="F1019" s="9"/>
      <c r="H1019" s="9"/>
      <c r="M1019" s="9"/>
      <c r="N1019" s="9"/>
      <c r="O1019" s="9"/>
      <c r="P1019" s="9"/>
      <c r="Q1019" s="9"/>
      <c r="R1019" s="9"/>
    </row>
    <row r="1020" spans="5:18" ht="15.75" customHeight="1" x14ac:dyDescent="0.3">
      <c r="E1020" s="9"/>
      <c r="F1020" s="9"/>
      <c r="H1020" s="9"/>
      <c r="M1020" s="9"/>
      <c r="N1020" s="9"/>
      <c r="O1020" s="9"/>
      <c r="P1020" s="9"/>
      <c r="Q1020" s="9"/>
      <c r="R1020" s="9"/>
    </row>
    <row r="1021" spans="5:18" ht="15.75" customHeight="1" x14ac:dyDescent="0.3">
      <c r="E1021" s="9"/>
      <c r="F1021" s="9"/>
      <c r="H1021" s="9"/>
      <c r="M1021" s="9"/>
      <c r="N1021" s="9"/>
      <c r="O1021" s="9"/>
      <c r="P1021" s="9"/>
      <c r="Q1021" s="9"/>
      <c r="R1021" s="9"/>
    </row>
    <row r="1022" spans="5:18" ht="15.75" customHeight="1" x14ac:dyDescent="0.3">
      <c r="E1022" s="9"/>
      <c r="F1022" s="9"/>
      <c r="H1022" s="9"/>
      <c r="M1022" s="9"/>
      <c r="N1022" s="9"/>
      <c r="O1022" s="9"/>
      <c r="P1022" s="9"/>
      <c r="Q1022" s="9"/>
      <c r="R1022" s="9"/>
    </row>
    <row r="1023" spans="5:18" ht="15.75" customHeight="1" x14ac:dyDescent="0.3">
      <c r="E1023" s="9"/>
      <c r="F1023" s="9"/>
      <c r="H1023" s="9"/>
      <c r="M1023" s="9"/>
      <c r="N1023" s="9"/>
      <c r="O1023" s="9"/>
      <c r="P1023" s="9"/>
      <c r="Q1023" s="9"/>
      <c r="R1023" s="9"/>
    </row>
    <row r="1024" spans="5:18" ht="15.75" customHeight="1" x14ac:dyDescent="0.3">
      <c r="E1024" s="9"/>
      <c r="F1024" s="9"/>
      <c r="H1024" s="9"/>
      <c r="M1024" s="9"/>
      <c r="N1024" s="9"/>
      <c r="O1024" s="9"/>
      <c r="P1024" s="9"/>
      <c r="Q1024" s="9"/>
      <c r="R1024" s="9"/>
    </row>
    <row r="1025" spans="5:18" ht="15.75" customHeight="1" x14ac:dyDescent="0.3">
      <c r="E1025" s="9"/>
      <c r="F1025" s="9"/>
      <c r="H1025" s="9"/>
      <c r="M1025" s="9"/>
      <c r="N1025" s="9"/>
      <c r="O1025" s="9"/>
      <c r="P1025" s="9"/>
      <c r="Q1025" s="9"/>
      <c r="R1025" s="9"/>
    </row>
    <row r="1026" spans="5:18" ht="15.75" customHeight="1" x14ac:dyDescent="0.3">
      <c r="E1026" s="9"/>
      <c r="F1026" s="9"/>
      <c r="H1026" s="9"/>
      <c r="M1026" s="9"/>
      <c r="N1026" s="9"/>
      <c r="O1026" s="9"/>
      <c r="P1026" s="9"/>
      <c r="Q1026" s="9"/>
      <c r="R1026" s="9"/>
    </row>
    <row r="1027" spans="5:18" ht="15.75" customHeight="1" x14ac:dyDescent="0.3">
      <c r="E1027" s="9"/>
      <c r="F1027" s="9"/>
      <c r="H1027" s="9"/>
      <c r="M1027" s="9"/>
      <c r="N1027" s="9"/>
      <c r="O1027" s="9"/>
      <c r="P1027" s="9"/>
      <c r="Q1027" s="9"/>
      <c r="R1027" s="9"/>
    </row>
    <row r="1028" spans="5:18" ht="15.75" customHeight="1" x14ac:dyDescent="0.3">
      <c r="E1028" s="9"/>
      <c r="F1028" s="9"/>
      <c r="H1028" s="9"/>
      <c r="M1028" s="9"/>
      <c r="N1028" s="9"/>
      <c r="O1028" s="9"/>
      <c r="P1028" s="9"/>
      <c r="Q1028" s="9"/>
      <c r="R1028" s="9"/>
    </row>
    <row r="1029" spans="5:18" ht="15.75" customHeight="1" x14ac:dyDescent="0.3">
      <c r="E1029" s="9"/>
      <c r="F1029" s="9"/>
      <c r="H1029" s="9"/>
      <c r="M1029" s="9"/>
      <c r="N1029" s="9"/>
      <c r="O1029" s="9"/>
      <c r="P1029" s="9"/>
      <c r="Q1029" s="9"/>
      <c r="R1029" s="9"/>
    </row>
    <row r="1030" spans="5:18" ht="15.75" customHeight="1" x14ac:dyDescent="0.3">
      <c r="E1030" s="9"/>
      <c r="F1030" s="9"/>
      <c r="H1030" s="9"/>
      <c r="M1030" s="9"/>
      <c r="N1030" s="9"/>
      <c r="O1030" s="9"/>
      <c r="P1030" s="9"/>
      <c r="Q1030" s="9"/>
      <c r="R1030" s="9"/>
    </row>
    <row r="1031" spans="5:18" ht="15.75" customHeight="1" x14ac:dyDescent="0.3">
      <c r="E1031" s="9"/>
      <c r="F1031" s="9"/>
      <c r="H1031" s="9"/>
      <c r="M1031" s="9"/>
      <c r="N1031" s="9"/>
      <c r="O1031" s="9"/>
      <c r="P1031" s="9"/>
      <c r="Q1031" s="9"/>
      <c r="R1031" s="9"/>
    </row>
    <row r="1032" spans="5:18" ht="15.75" customHeight="1" x14ac:dyDescent="0.3">
      <c r="E1032" s="9"/>
      <c r="F1032" s="9"/>
      <c r="H1032" s="9"/>
      <c r="M1032" s="9"/>
      <c r="N1032" s="9"/>
      <c r="O1032" s="9"/>
      <c r="P1032" s="9"/>
      <c r="Q1032" s="9"/>
      <c r="R1032" s="9"/>
    </row>
    <row r="1033" spans="5:18" ht="15.75" customHeight="1" x14ac:dyDescent="0.3">
      <c r="E1033" s="9"/>
      <c r="F1033" s="9"/>
      <c r="H1033" s="9"/>
      <c r="M1033" s="9"/>
      <c r="N1033" s="9"/>
      <c r="O1033" s="9"/>
      <c r="P1033" s="9"/>
      <c r="Q1033" s="9"/>
      <c r="R1033" s="9"/>
    </row>
    <row r="1034" spans="5:18" ht="15.75" customHeight="1" x14ac:dyDescent="0.3">
      <c r="E1034" s="9"/>
      <c r="F1034" s="9"/>
      <c r="H1034" s="9"/>
      <c r="M1034" s="9"/>
      <c r="N1034" s="9"/>
      <c r="O1034" s="9"/>
      <c r="P1034" s="9"/>
      <c r="Q1034" s="9"/>
      <c r="R1034" s="9"/>
    </row>
    <row r="1035" spans="5:18" ht="15.75" customHeight="1" x14ac:dyDescent="0.3">
      <c r="E1035" s="9"/>
      <c r="F1035" s="9"/>
      <c r="H1035" s="9"/>
      <c r="M1035" s="9"/>
      <c r="N1035" s="9"/>
      <c r="O1035" s="9"/>
      <c r="P1035" s="9"/>
      <c r="Q1035" s="9"/>
      <c r="R1035" s="9"/>
    </row>
    <row r="1036" spans="5:18" ht="15.75" customHeight="1" x14ac:dyDescent="0.3">
      <c r="E1036" s="9"/>
      <c r="F1036" s="9"/>
      <c r="H1036" s="9"/>
      <c r="M1036" s="9"/>
      <c r="N1036" s="9"/>
      <c r="O1036" s="9"/>
      <c r="P1036" s="9"/>
      <c r="Q1036" s="9"/>
      <c r="R1036" s="9"/>
    </row>
    <row r="1037" spans="5:18" ht="15.75" customHeight="1" x14ac:dyDescent="0.3">
      <c r="E1037" s="9"/>
      <c r="F1037" s="9"/>
      <c r="H1037" s="9"/>
      <c r="M1037" s="9"/>
      <c r="N1037" s="9"/>
      <c r="O1037" s="9"/>
      <c r="P1037" s="9"/>
      <c r="Q1037" s="9"/>
      <c r="R1037" s="9"/>
    </row>
    <row r="1038" spans="5:18" ht="15.75" customHeight="1" x14ac:dyDescent="0.3">
      <c r="E1038" s="9"/>
      <c r="F1038" s="9"/>
      <c r="H1038" s="9"/>
      <c r="M1038" s="9"/>
      <c r="N1038" s="9"/>
      <c r="O1038" s="9"/>
      <c r="P1038" s="9"/>
      <c r="Q1038" s="9"/>
      <c r="R1038" s="9"/>
    </row>
    <row r="1039" spans="5:18" ht="15.75" customHeight="1" x14ac:dyDescent="0.3">
      <c r="E1039" s="9"/>
      <c r="F1039" s="9"/>
      <c r="H1039" s="9"/>
      <c r="M1039" s="9"/>
      <c r="N1039" s="9"/>
      <c r="O1039" s="9"/>
      <c r="P1039" s="9"/>
      <c r="Q1039" s="9"/>
      <c r="R1039" s="9"/>
    </row>
    <row r="1040" spans="5:18" ht="15.75" customHeight="1" x14ac:dyDescent="0.3">
      <c r="E1040" s="9"/>
      <c r="F1040" s="9"/>
      <c r="H1040" s="9"/>
      <c r="M1040" s="9"/>
      <c r="N1040" s="9"/>
      <c r="O1040" s="9"/>
      <c r="P1040" s="9"/>
      <c r="Q1040" s="9"/>
      <c r="R1040" s="9"/>
    </row>
    <row r="1041" spans="5:18" ht="15.75" customHeight="1" x14ac:dyDescent="0.3">
      <c r="E1041" s="9"/>
      <c r="F1041" s="9"/>
      <c r="H1041" s="9"/>
      <c r="M1041" s="9"/>
      <c r="N1041" s="9"/>
      <c r="O1041" s="9"/>
      <c r="P1041" s="9"/>
      <c r="Q1041" s="9"/>
      <c r="R1041" s="9"/>
    </row>
    <row r="1042" spans="5:18" ht="15.75" customHeight="1" x14ac:dyDescent="0.3">
      <c r="E1042" s="9"/>
      <c r="F1042" s="9"/>
      <c r="H1042" s="9"/>
      <c r="M1042" s="9"/>
      <c r="N1042" s="9"/>
      <c r="O1042" s="9"/>
      <c r="P1042" s="9"/>
      <c r="Q1042" s="9"/>
      <c r="R1042" s="9"/>
    </row>
    <row r="1043" spans="5:18" ht="15.75" customHeight="1" x14ac:dyDescent="0.3">
      <c r="E1043" s="9"/>
      <c r="F1043" s="9"/>
      <c r="H1043" s="9"/>
      <c r="M1043" s="9"/>
      <c r="N1043" s="9"/>
      <c r="O1043" s="9"/>
      <c r="P1043" s="9"/>
      <c r="Q1043" s="9"/>
      <c r="R1043" s="9"/>
    </row>
    <row r="1044" spans="5:18" ht="15.75" customHeight="1" x14ac:dyDescent="0.3">
      <c r="E1044" s="9"/>
      <c r="F1044" s="9"/>
      <c r="H1044" s="9"/>
      <c r="M1044" s="9"/>
      <c r="N1044" s="9"/>
      <c r="O1044" s="9"/>
      <c r="P1044" s="9"/>
      <c r="Q1044" s="9"/>
      <c r="R1044" s="9"/>
    </row>
    <row r="1045" spans="5:18" ht="15.75" customHeight="1" x14ac:dyDescent="0.3">
      <c r="E1045" s="9"/>
      <c r="F1045" s="9"/>
      <c r="H1045" s="9"/>
      <c r="M1045" s="9"/>
      <c r="N1045" s="9"/>
      <c r="O1045" s="9"/>
      <c r="P1045" s="9"/>
      <c r="Q1045" s="9"/>
      <c r="R1045" s="9"/>
    </row>
    <row r="1046" spans="5:18" ht="15.75" customHeight="1" x14ac:dyDescent="0.3">
      <c r="E1046" s="9"/>
      <c r="F1046" s="9"/>
      <c r="H1046" s="9"/>
      <c r="M1046" s="9"/>
      <c r="N1046" s="9"/>
      <c r="O1046" s="9"/>
      <c r="P1046" s="9"/>
      <c r="Q1046" s="9"/>
      <c r="R1046" s="9"/>
    </row>
    <row r="1047" spans="5:18" ht="15.75" customHeight="1" x14ac:dyDescent="0.3">
      <c r="E1047" s="9"/>
      <c r="F1047" s="9"/>
      <c r="H1047" s="9"/>
      <c r="M1047" s="9"/>
      <c r="N1047" s="9"/>
      <c r="O1047" s="9"/>
      <c r="P1047" s="9"/>
      <c r="Q1047" s="9"/>
      <c r="R1047" s="9"/>
    </row>
    <row r="1048" spans="5:18" ht="15.75" customHeight="1" x14ac:dyDescent="0.3">
      <c r="E1048" s="9"/>
      <c r="F1048" s="9"/>
      <c r="H1048" s="9"/>
      <c r="M1048" s="9"/>
      <c r="N1048" s="9"/>
      <c r="O1048" s="9"/>
      <c r="P1048" s="9"/>
      <c r="Q1048" s="9"/>
      <c r="R1048" s="9"/>
    </row>
    <row r="1049" spans="5:18" ht="15.75" customHeight="1" x14ac:dyDescent="0.3">
      <c r="E1049" s="9"/>
      <c r="F1049" s="9"/>
      <c r="H1049" s="9"/>
      <c r="M1049" s="9"/>
      <c r="N1049" s="9"/>
      <c r="O1049" s="9"/>
      <c r="P1049" s="9"/>
      <c r="Q1049" s="9"/>
      <c r="R1049" s="9"/>
    </row>
    <row r="1050" spans="5:18" ht="15.75" customHeight="1" x14ac:dyDescent="0.3">
      <c r="E1050" s="9"/>
      <c r="F1050" s="9"/>
      <c r="H1050" s="9"/>
      <c r="M1050" s="9"/>
      <c r="N1050" s="9"/>
      <c r="O1050" s="9"/>
      <c r="P1050" s="9"/>
      <c r="Q1050" s="9"/>
      <c r="R1050" s="9"/>
    </row>
    <row r="1051" spans="5:18" ht="15.75" customHeight="1" x14ac:dyDescent="0.3">
      <c r="E1051" s="9"/>
      <c r="F1051" s="9"/>
      <c r="H1051" s="9"/>
      <c r="M1051" s="9"/>
      <c r="N1051" s="9"/>
      <c r="O1051" s="9"/>
      <c r="P1051" s="9"/>
      <c r="Q1051" s="9"/>
      <c r="R1051" s="9"/>
    </row>
    <row r="1052" spans="5:18" ht="15.75" customHeight="1" x14ac:dyDescent="0.3">
      <c r="E1052" s="9"/>
      <c r="F1052" s="9"/>
      <c r="H1052" s="9"/>
      <c r="M1052" s="9"/>
      <c r="N1052" s="9"/>
      <c r="O1052" s="9"/>
      <c r="P1052" s="9"/>
      <c r="Q1052" s="9"/>
      <c r="R1052" s="9"/>
    </row>
    <row r="1053" spans="5:18" ht="15.75" customHeight="1" x14ac:dyDescent="0.3">
      <c r="E1053" s="9"/>
      <c r="F1053" s="9"/>
      <c r="H1053" s="9"/>
      <c r="M1053" s="9"/>
      <c r="N1053" s="9"/>
      <c r="O1053" s="9"/>
      <c r="P1053" s="9"/>
      <c r="Q1053" s="9"/>
      <c r="R1053" s="9"/>
    </row>
    <row r="1054" spans="5:18" ht="15.75" customHeight="1" x14ac:dyDescent="0.3">
      <c r="E1054" s="9"/>
      <c r="F1054" s="9"/>
      <c r="H1054" s="9"/>
      <c r="M1054" s="9"/>
      <c r="N1054" s="9"/>
      <c r="O1054" s="9"/>
      <c r="P1054" s="9"/>
      <c r="Q1054" s="9"/>
      <c r="R1054" s="9"/>
    </row>
    <row r="1055" spans="5:18" ht="15.75" customHeight="1" x14ac:dyDescent="0.3">
      <c r="E1055" s="9"/>
      <c r="F1055" s="9"/>
      <c r="H1055" s="9"/>
      <c r="M1055" s="9"/>
      <c r="N1055" s="9"/>
      <c r="O1055" s="9"/>
      <c r="P1055" s="9"/>
      <c r="Q1055" s="9"/>
      <c r="R1055" s="9"/>
    </row>
    <row r="1056" spans="5:18" ht="15.75" customHeight="1" x14ac:dyDescent="0.3">
      <c r="E1056" s="9"/>
      <c r="F1056" s="9"/>
      <c r="H1056" s="9"/>
      <c r="M1056" s="9"/>
      <c r="N1056" s="9"/>
      <c r="O1056" s="9"/>
      <c r="P1056" s="9"/>
      <c r="Q1056" s="9"/>
      <c r="R1056" s="9"/>
    </row>
    <row r="1057" spans="5:18" ht="15.75" customHeight="1" x14ac:dyDescent="0.3">
      <c r="E1057" s="9"/>
      <c r="F1057" s="9"/>
      <c r="H1057" s="9"/>
      <c r="M1057" s="9"/>
      <c r="N1057" s="9"/>
      <c r="O1057" s="9"/>
      <c r="P1057" s="9"/>
      <c r="Q1057" s="9"/>
      <c r="R1057" s="9"/>
    </row>
    <row r="1058" spans="5:18" ht="15.75" customHeight="1" x14ac:dyDescent="0.3">
      <c r="E1058" s="9"/>
      <c r="F1058" s="9"/>
      <c r="H1058" s="9"/>
      <c r="M1058" s="9"/>
      <c r="N1058" s="9"/>
      <c r="O1058" s="9"/>
      <c r="P1058" s="9"/>
      <c r="Q1058" s="9"/>
      <c r="R1058" s="9"/>
    </row>
    <row r="1059" spans="5:18" ht="15.75" customHeight="1" x14ac:dyDescent="0.3">
      <c r="E1059" s="9"/>
      <c r="F1059" s="9"/>
      <c r="H1059" s="9"/>
      <c r="M1059" s="9"/>
      <c r="N1059" s="9"/>
      <c r="O1059" s="9"/>
      <c r="P1059" s="9"/>
      <c r="Q1059" s="9"/>
      <c r="R1059" s="9"/>
    </row>
    <row r="1060" spans="5:18" ht="15.75" customHeight="1" x14ac:dyDescent="0.3">
      <c r="E1060" s="9"/>
      <c r="F1060" s="9"/>
      <c r="H1060" s="9"/>
      <c r="M1060" s="9"/>
      <c r="N1060" s="9"/>
      <c r="O1060" s="9"/>
      <c r="P1060" s="9"/>
      <c r="Q1060" s="9"/>
      <c r="R1060" s="9"/>
    </row>
    <row r="1061" spans="5:18" ht="15.75" customHeight="1" x14ac:dyDescent="0.3">
      <c r="E1061" s="9"/>
      <c r="F1061" s="9"/>
      <c r="H1061" s="9"/>
      <c r="M1061" s="9"/>
      <c r="N1061" s="9"/>
      <c r="O1061" s="9"/>
      <c r="P1061" s="9"/>
      <c r="Q1061" s="9"/>
      <c r="R1061" s="9"/>
    </row>
    <row r="1062" spans="5:18" ht="15.75" customHeight="1" x14ac:dyDescent="0.3">
      <c r="E1062" s="9"/>
      <c r="F1062" s="9"/>
      <c r="H1062" s="9"/>
      <c r="M1062" s="9"/>
      <c r="N1062" s="9"/>
      <c r="O1062" s="9"/>
      <c r="P1062" s="9"/>
      <c r="Q1062" s="9"/>
      <c r="R1062" s="9"/>
    </row>
  </sheetData>
  <dataValidations count="1">
    <dataValidation type="list" allowBlank="1" showErrorMessage="1" sqref="K2:K93" xr:uid="{00000000-0002-0000-0200-000000000000}">
      <formula1>"C7 Management,Car Park,C7 Brokering"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6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.44140625" customWidth="1"/>
    <col min="2" max="2" width="68.33203125" customWidth="1"/>
    <col min="3" max="3" width="21.5546875" customWidth="1"/>
    <col min="4" max="4" width="15.44140625" customWidth="1"/>
    <col min="5" max="5" width="15.6640625" customWidth="1"/>
    <col min="6" max="6" width="14.6640625" customWidth="1"/>
    <col min="7" max="7" width="18.44140625" customWidth="1"/>
    <col min="8" max="8" width="19.109375" customWidth="1"/>
    <col min="9" max="9" width="19.44140625" customWidth="1"/>
    <col min="10" max="10" width="17.109375" customWidth="1"/>
    <col min="11" max="11" width="15.44140625" customWidth="1"/>
    <col min="12" max="12" width="11.88671875" customWidth="1"/>
    <col min="13" max="13" width="15.88671875" customWidth="1"/>
    <col min="14" max="14" width="13.88671875" customWidth="1"/>
    <col min="15" max="15" width="14.44140625" customWidth="1"/>
    <col min="16" max="16" width="15" customWidth="1"/>
    <col min="17" max="17" width="15.88671875" customWidth="1"/>
    <col min="18" max="18" width="15" customWidth="1"/>
    <col min="19" max="19" width="16.109375" customWidth="1"/>
    <col min="20" max="20" width="13.88671875" customWidth="1"/>
    <col min="21" max="26" width="8.88671875" customWidth="1"/>
  </cols>
  <sheetData>
    <row r="1" spans="1:26" ht="14.4" x14ac:dyDescent="0.3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H1" s="42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405</v>
      </c>
      <c r="S1" s="42" t="s">
        <v>17</v>
      </c>
      <c r="T1" s="41"/>
      <c r="U1" s="41"/>
      <c r="V1" s="41"/>
      <c r="W1" s="41"/>
      <c r="X1" s="41"/>
      <c r="Y1" s="41"/>
      <c r="Z1" s="41"/>
    </row>
    <row r="2" spans="1:26" ht="14.4" x14ac:dyDescent="0.3">
      <c r="A2" s="10">
        <v>45292</v>
      </c>
      <c r="B2" s="2" t="s">
        <v>406</v>
      </c>
      <c r="C2" s="7" t="s">
        <v>20</v>
      </c>
      <c r="D2" s="43" t="s">
        <v>407</v>
      </c>
      <c r="E2" s="9">
        <v>100000</v>
      </c>
      <c r="F2" s="10">
        <v>45295</v>
      </c>
      <c r="G2" s="10">
        <v>45398</v>
      </c>
      <c r="H2" s="9">
        <v>100000</v>
      </c>
      <c r="I2" s="9">
        <f t="shared" ref="I2:I90" si="0">E2-H2</f>
        <v>0</v>
      </c>
      <c r="J2" s="2" t="s">
        <v>408</v>
      </c>
      <c r="K2" s="2" t="s">
        <v>22</v>
      </c>
      <c r="L2" s="11">
        <v>45292</v>
      </c>
      <c r="M2" s="9">
        <v>100000</v>
      </c>
      <c r="N2" s="9">
        <v>100000</v>
      </c>
      <c r="O2" s="9"/>
      <c r="P2" s="9"/>
      <c r="Q2" s="9"/>
      <c r="R2" s="9"/>
      <c r="S2" s="9"/>
      <c r="T2" s="9">
        <f t="shared" ref="T2:T90" si="1">M2-N2-O2-P2-Q2-R2-S2</f>
        <v>0</v>
      </c>
    </row>
    <row r="3" spans="1:26" ht="14.4" x14ac:dyDescent="0.3">
      <c r="A3" s="10">
        <v>45292</v>
      </c>
      <c r="B3" s="2" t="s">
        <v>409</v>
      </c>
      <c r="C3" s="7" t="s">
        <v>24</v>
      </c>
      <c r="D3" s="43" t="s">
        <v>410</v>
      </c>
      <c r="E3" s="9">
        <v>35000</v>
      </c>
      <c r="F3" s="10">
        <v>45295</v>
      </c>
      <c r="G3" s="10">
        <v>45390</v>
      </c>
      <c r="H3" s="12">
        <v>35000</v>
      </c>
      <c r="I3" s="9">
        <f t="shared" si="0"/>
        <v>0</v>
      </c>
      <c r="J3" s="2" t="s">
        <v>411</v>
      </c>
      <c r="K3" s="7" t="s">
        <v>27</v>
      </c>
      <c r="L3" s="11">
        <v>45292</v>
      </c>
      <c r="M3" s="9"/>
      <c r="N3" s="9"/>
      <c r="O3" s="9"/>
      <c r="P3" s="9"/>
      <c r="Q3" s="9"/>
      <c r="R3" s="9"/>
      <c r="S3" s="9"/>
      <c r="T3" s="9">
        <f t="shared" si="1"/>
        <v>0</v>
      </c>
    </row>
    <row r="4" spans="1:26" ht="14.4" x14ac:dyDescent="0.3">
      <c r="A4" s="10">
        <v>45320</v>
      </c>
      <c r="B4" s="7" t="s">
        <v>412</v>
      </c>
      <c r="C4" s="7" t="s">
        <v>413</v>
      </c>
      <c r="D4" s="43" t="s">
        <v>414</v>
      </c>
      <c r="E4" s="9">
        <v>125000</v>
      </c>
      <c r="F4" s="10">
        <v>45320</v>
      </c>
      <c r="G4" s="10">
        <v>45320</v>
      </c>
      <c r="H4" s="9">
        <v>125000</v>
      </c>
      <c r="I4" s="9">
        <f t="shared" si="0"/>
        <v>0</v>
      </c>
      <c r="J4" s="2" t="s">
        <v>415</v>
      </c>
      <c r="K4" s="2" t="s">
        <v>32</v>
      </c>
      <c r="L4" s="11">
        <v>45292</v>
      </c>
      <c r="M4" s="9">
        <v>125000</v>
      </c>
      <c r="N4" s="9"/>
      <c r="O4" s="9"/>
      <c r="P4" s="9"/>
      <c r="Q4" s="9"/>
      <c r="R4" s="9"/>
      <c r="S4" s="9">
        <v>125000</v>
      </c>
      <c r="T4" s="9">
        <f t="shared" si="1"/>
        <v>0</v>
      </c>
    </row>
    <row r="5" spans="1:26" ht="14.4" x14ac:dyDescent="0.3">
      <c r="A5" s="10">
        <v>45320</v>
      </c>
      <c r="B5" s="7" t="s">
        <v>412</v>
      </c>
      <c r="C5" s="7" t="s">
        <v>416</v>
      </c>
      <c r="D5" s="43" t="s">
        <v>417</v>
      </c>
      <c r="E5" s="9">
        <v>125000</v>
      </c>
      <c r="F5" s="10">
        <v>45320</v>
      </c>
      <c r="G5" s="10">
        <v>45322</v>
      </c>
      <c r="H5" s="9">
        <v>125000</v>
      </c>
      <c r="I5" s="9">
        <f t="shared" si="0"/>
        <v>0</v>
      </c>
      <c r="J5" s="2" t="s">
        <v>418</v>
      </c>
      <c r="K5" s="2" t="s">
        <v>32</v>
      </c>
      <c r="L5" s="11">
        <v>45292</v>
      </c>
      <c r="M5" s="9">
        <v>125000</v>
      </c>
      <c r="N5" s="9"/>
      <c r="O5" s="9"/>
      <c r="P5" s="9"/>
      <c r="Q5" s="9"/>
      <c r="R5" s="9"/>
      <c r="S5" s="9">
        <v>125000</v>
      </c>
      <c r="T5" s="9">
        <f t="shared" si="1"/>
        <v>0</v>
      </c>
    </row>
    <row r="6" spans="1:26" ht="14.4" x14ac:dyDescent="0.3">
      <c r="A6" s="10">
        <v>45320</v>
      </c>
      <c r="B6" s="7" t="s">
        <v>419</v>
      </c>
      <c r="C6" s="7" t="s">
        <v>420</v>
      </c>
      <c r="D6" s="43" t="s">
        <v>421</v>
      </c>
      <c r="E6" s="9">
        <v>50000</v>
      </c>
      <c r="F6" s="10">
        <v>45324</v>
      </c>
      <c r="G6" s="10">
        <v>45323</v>
      </c>
      <c r="H6" s="9">
        <v>50000</v>
      </c>
      <c r="I6" s="9">
        <f t="shared" si="0"/>
        <v>0</v>
      </c>
      <c r="J6" s="2" t="s">
        <v>422</v>
      </c>
      <c r="K6" s="2" t="s">
        <v>32</v>
      </c>
      <c r="L6" s="11">
        <v>45292</v>
      </c>
      <c r="M6" s="9">
        <v>50000</v>
      </c>
      <c r="N6" s="9"/>
      <c r="O6" s="9"/>
      <c r="P6" s="9"/>
      <c r="Q6" s="9"/>
      <c r="R6" s="9"/>
      <c r="S6" s="9">
        <v>50000</v>
      </c>
      <c r="T6" s="9">
        <f t="shared" si="1"/>
        <v>0</v>
      </c>
    </row>
    <row r="7" spans="1:26" ht="14.4" x14ac:dyDescent="0.3">
      <c r="A7" s="44">
        <v>45320</v>
      </c>
      <c r="B7" s="18" t="s">
        <v>419</v>
      </c>
      <c r="C7" s="18" t="s">
        <v>423</v>
      </c>
      <c r="D7" s="45" t="s">
        <v>424</v>
      </c>
      <c r="E7" s="23"/>
      <c r="F7" s="44">
        <v>45324</v>
      </c>
      <c r="G7" s="18"/>
      <c r="H7" s="23"/>
      <c r="I7" s="23">
        <f t="shared" si="0"/>
        <v>0</v>
      </c>
      <c r="J7" s="18"/>
      <c r="K7" s="18" t="s">
        <v>32</v>
      </c>
      <c r="L7" s="46">
        <v>45292</v>
      </c>
      <c r="M7" s="23">
        <v>0</v>
      </c>
      <c r="N7" s="23"/>
      <c r="O7" s="23"/>
      <c r="P7" s="23"/>
      <c r="Q7" s="23"/>
      <c r="R7" s="23"/>
      <c r="S7" s="23"/>
      <c r="T7" s="23">
        <f t="shared" si="1"/>
        <v>0</v>
      </c>
      <c r="U7" s="18"/>
      <c r="V7" s="18"/>
      <c r="W7" s="18"/>
      <c r="X7" s="18"/>
      <c r="Y7" s="18"/>
      <c r="Z7" s="18"/>
    </row>
    <row r="8" spans="1:26" ht="14.4" x14ac:dyDescent="0.3">
      <c r="A8" s="10">
        <v>45322</v>
      </c>
      <c r="B8" s="2" t="s">
        <v>425</v>
      </c>
      <c r="C8" s="7" t="s">
        <v>198</v>
      </c>
      <c r="D8" s="43" t="s">
        <v>426</v>
      </c>
      <c r="E8" s="9">
        <v>5000</v>
      </c>
      <c r="F8" s="10">
        <v>45324</v>
      </c>
      <c r="G8" s="10">
        <v>45327</v>
      </c>
      <c r="H8" s="9">
        <v>5000</v>
      </c>
      <c r="I8" s="9">
        <f t="shared" si="0"/>
        <v>0</v>
      </c>
      <c r="J8" s="2" t="s">
        <v>427</v>
      </c>
      <c r="K8" s="7" t="s">
        <v>27</v>
      </c>
      <c r="L8" s="11">
        <v>45292</v>
      </c>
      <c r="M8" s="9"/>
      <c r="N8" s="9"/>
      <c r="O8" s="9"/>
      <c r="P8" s="9"/>
      <c r="Q8" s="9"/>
      <c r="R8" s="9"/>
      <c r="S8" s="9"/>
      <c r="T8" s="9">
        <f t="shared" si="1"/>
        <v>0</v>
      </c>
    </row>
    <row r="9" spans="1:26" ht="14.4" x14ac:dyDescent="0.3">
      <c r="A9" s="10">
        <v>45322</v>
      </c>
      <c r="B9" s="2" t="s">
        <v>428</v>
      </c>
      <c r="C9" s="7" t="s">
        <v>429</v>
      </c>
      <c r="D9" s="43" t="s">
        <v>430</v>
      </c>
      <c r="E9" s="9">
        <v>7500</v>
      </c>
      <c r="F9" s="10">
        <v>45336</v>
      </c>
      <c r="G9" s="10">
        <v>45342</v>
      </c>
      <c r="H9" s="9">
        <v>7500</v>
      </c>
      <c r="I9" s="9">
        <f t="shared" si="0"/>
        <v>0</v>
      </c>
      <c r="J9" s="2" t="s">
        <v>431</v>
      </c>
      <c r="K9" s="7" t="s">
        <v>27</v>
      </c>
      <c r="L9" s="11">
        <v>45292</v>
      </c>
      <c r="M9" s="9"/>
      <c r="N9" s="9"/>
      <c r="O9" s="9"/>
      <c r="P9" s="9"/>
      <c r="Q9" s="9"/>
      <c r="R9" s="9"/>
      <c r="S9" s="9"/>
      <c r="T9" s="9">
        <f t="shared" si="1"/>
        <v>0</v>
      </c>
    </row>
    <row r="10" spans="1:26" ht="14.4" x14ac:dyDescent="0.3">
      <c r="A10" s="10">
        <v>45322</v>
      </c>
      <c r="B10" s="7" t="s">
        <v>432</v>
      </c>
      <c r="C10" s="7" t="s">
        <v>433</v>
      </c>
      <c r="D10" s="43" t="s">
        <v>434</v>
      </c>
      <c r="E10" s="9">
        <v>25000</v>
      </c>
      <c r="F10" s="10">
        <v>45336</v>
      </c>
      <c r="G10" s="10">
        <v>45309</v>
      </c>
      <c r="H10" s="9">
        <v>10000</v>
      </c>
      <c r="I10" s="9">
        <f t="shared" si="0"/>
        <v>15000</v>
      </c>
      <c r="J10" s="2" t="s">
        <v>435</v>
      </c>
      <c r="K10" s="2" t="s">
        <v>32</v>
      </c>
      <c r="L10" s="11">
        <v>45292</v>
      </c>
      <c r="M10" s="9">
        <v>25000</v>
      </c>
      <c r="N10" s="9"/>
      <c r="O10" s="9">
        <v>10000</v>
      </c>
      <c r="P10" s="9"/>
      <c r="Q10" s="9"/>
      <c r="R10" s="9"/>
      <c r="S10" s="9"/>
      <c r="T10" s="9">
        <f t="shared" si="1"/>
        <v>15000</v>
      </c>
    </row>
    <row r="11" spans="1:26" ht="14.4" x14ac:dyDescent="0.3">
      <c r="A11" s="10">
        <v>45323</v>
      </c>
      <c r="B11" s="2" t="s">
        <v>436</v>
      </c>
      <c r="C11" s="7" t="s">
        <v>20</v>
      </c>
      <c r="D11" s="43" t="s">
        <v>437</v>
      </c>
      <c r="E11" s="9">
        <v>100000</v>
      </c>
      <c r="F11" s="10">
        <v>45336</v>
      </c>
      <c r="G11" s="10">
        <v>45398</v>
      </c>
      <c r="H11" s="9">
        <v>100000</v>
      </c>
      <c r="I11" s="9">
        <f t="shared" si="0"/>
        <v>0</v>
      </c>
      <c r="J11" s="2" t="s">
        <v>408</v>
      </c>
      <c r="K11" s="2" t="s">
        <v>22</v>
      </c>
      <c r="L11" s="11">
        <v>45323</v>
      </c>
      <c r="M11" s="9">
        <v>100000</v>
      </c>
      <c r="N11" s="9">
        <v>100000</v>
      </c>
      <c r="O11" s="9"/>
      <c r="P11" s="9"/>
      <c r="Q11" s="9"/>
      <c r="R11" s="9"/>
      <c r="S11" s="9"/>
      <c r="T11" s="9">
        <f t="shared" si="1"/>
        <v>0</v>
      </c>
    </row>
    <row r="12" spans="1:26" ht="14.4" x14ac:dyDescent="0.3">
      <c r="A12" s="10">
        <v>45323</v>
      </c>
      <c r="B12" s="2" t="s">
        <v>438</v>
      </c>
      <c r="C12" s="7" t="s">
        <v>24</v>
      </c>
      <c r="D12" s="43" t="s">
        <v>439</v>
      </c>
      <c r="E12" s="9">
        <v>42000</v>
      </c>
      <c r="F12" s="10">
        <v>45336</v>
      </c>
      <c r="G12" s="10">
        <v>45358</v>
      </c>
      <c r="H12" s="12">
        <v>42000</v>
      </c>
      <c r="I12" s="9">
        <f t="shared" si="0"/>
        <v>0</v>
      </c>
      <c r="J12" s="2" t="s">
        <v>440</v>
      </c>
      <c r="K12" s="7" t="s">
        <v>27</v>
      </c>
      <c r="L12" s="11">
        <v>45323</v>
      </c>
      <c r="M12" s="9"/>
      <c r="N12" s="9"/>
      <c r="O12" s="9"/>
      <c r="P12" s="9"/>
      <c r="Q12" s="9"/>
      <c r="R12" s="9"/>
      <c r="S12" s="9"/>
      <c r="T12" s="9">
        <f t="shared" si="1"/>
        <v>0</v>
      </c>
    </row>
    <row r="13" spans="1:26" ht="14.4" x14ac:dyDescent="0.3">
      <c r="A13" s="10">
        <v>45350</v>
      </c>
      <c r="B13" s="2" t="s">
        <v>441</v>
      </c>
      <c r="C13" s="7" t="s">
        <v>442</v>
      </c>
      <c r="D13" s="43" t="s">
        <v>443</v>
      </c>
      <c r="E13" s="9">
        <v>160000</v>
      </c>
      <c r="F13" s="10">
        <v>45350</v>
      </c>
      <c r="G13" s="10">
        <v>45378</v>
      </c>
      <c r="H13" s="9">
        <f>80000+80000</f>
        <v>160000</v>
      </c>
      <c r="I13" s="9">
        <f t="shared" si="0"/>
        <v>0</v>
      </c>
      <c r="J13" s="2" t="s">
        <v>444</v>
      </c>
      <c r="K13" s="2" t="s">
        <v>32</v>
      </c>
      <c r="L13" s="11">
        <v>45323</v>
      </c>
      <c r="M13" s="9">
        <v>160000</v>
      </c>
      <c r="N13" s="9"/>
      <c r="O13" s="9">
        <f>M13</f>
        <v>160000</v>
      </c>
      <c r="P13" s="9"/>
      <c r="Q13" s="9"/>
      <c r="R13" s="9"/>
      <c r="S13" s="9"/>
      <c r="T13" s="9">
        <f t="shared" si="1"/>
        <v>0</v>
      </c>
    </row>
    <row r="14" spans="1:26" ht="14.4" x14ac:dyDescent="0.3">
      <c r="A14" s="10">
        <v>45351</v>
      </c>
      <c r="B14" s="2" t="s">
        <v>445</v>
      </c>
      <c r="C14" s="7" t="s">
        <v>198</v>
      </c>
      <c r="D14" s="43" t="s">
        <v>446</v>
      </c>
      <c r="E14" s="9">
        <v>5000</v>
      </c>
      <c r="F14" s="10">
        <v>45355</v>
      </c>
      <c r="G14" s="10">
        <v>45355</v>
      </c>
      <c r="H14" s="9">
        <v>5000</v>
      </c>
      <c r="I14" s="9">
        <f t="shared" si="0"/>
        <v>0</v>
      </c>
      <c r="J14" s="13" t="s">
        <v>447</v>
      </c>
      <c r="K14" s="7" t="s">
        <v>27</v>
      </c>
      <c r="L14" s="11">
        <v>45323</v>
      </c>
      <c r="M14" s="9"/>
      <c r="N14" s="9"/>
      <c r="O14" s="9"/>
      <c r="P14" s="9"/>
      <c r="Q14" s="9"/>
      <c r="R14" s="9"/>
      <c r="S14" s="9"/>
      <c r="T14" s="9">
        <f t="shared" si="1"/>
        <v>0</v>
      </c>
    </row>
    <row r="15" spans="1:26" ht="14.4" x14ac:dyDescent="0.3">
      <c r="A15" s="10">
        <v>45351</v>
      </c>
      <c r="B15" s="2" t="s">
        <v>448</v>
      </c>
      <c r="C15" s="7" t="s">
        <v>429</v>
      </c>
      <c r="D15" s="43" t="s">
        <v>449</v>
      </c>
      <c r="E15" s="9">
        <v>7500</v>
      </c>
      <c r="F15" s="10">
        <v>45355</v>
      </c>
      <c r="G15" s="10">
        <v>45370</v>
      </c>
      <c r="H15" s="9">
        <v>7500</v>
      </c>
      <c r="I15" s="9">
        <f t="shared" si="0"/>
        <v>0</v>
      </c>
      <c r="J15" s="2" t="s">
        <v>450</v>
      </c>
      <c r="K15" s="7" t="s">
        <v>27</v>
      </c>
      <c r="L15" s="11">
        <v>45323</v>
      </c>
      <c r="M15" s="9"/>
      <c r="N15" s="9"/>
      <c r="O15" s="9"/>
      <c r="P15" s="9"/>
      <c r="Q15" s="9"/>
      <c r="R15" s="9"/>
      <c r="S15" s="9"/>
      <c r="T15" s="9">
        <f t="shared" si="1"/>
        <v>0</v>
      </c>
    </row>
    <row r="16" spans="1:26" ht="14.4" x14ac:dyDescent="0.3">
      <c r="A16" s="10">
        <v>45352</v>
      </c>
      <c r="B16" s="2" t="s">
        <v>451</v>
      </c>
      <c r="C16" s="7" t="s">
        <v>20</v>
      </c>
      <c r="D16" s="43" t="s">
        <v>452</v>
      </c>
      <c r="E16" s="9">
        <v>100000</v>
      </c>
      <c r="F16" s="10">
        <v>45355</v>
      </c>
      <c r="G16" s="10">
        <v>45398</v>
      </c>
      <c r="H16" s="9">
        <v>100000</v>
      </c>
      <c r="I16" s="9">
        <f t="shared" si="0"/>
        <v>0</v>
      </c>
      <c r="J16" s="2" t="s">
        <v>408</v>
      </c>
      <c r="K16" s="2" t="s">
        <v>22</v>
      </c>
      <c r="L16" s="11">
        <v>45352</v>
      </c>
      <c r="M16" s="9">
        <v>100000</v>
      </c>
      <c r="N16" s="9">
        <v>100000</v>
      </c>
      <c r="O16" s="9"/>
      <c r="P16" s="9"/>
      <c r="Q16" s="9"/>
      <c r="R16" s="9"/>
      <c r="S16" s="9"/>
      <c r="T16" s="9">
        <f t="shared" si="1"/>
        <v>0</v>
      </c>
    </row>
    <row r="17" spans="1:26" ht="14.4" x14ac:dyDescent="0.3">
      <c r="A17" s="10">
        <v>45352</v>
      </c>
      <c r="B17" s="2" t="s">
        <v>453</v>
      </c>
      <c r="C17" s="7" t="s">
        <v>24</v>
      </c>
      <c r="D17" s="43" t="s">
        <v>454</v>
      </c>
      <c r="E17" s="9">
        <v>42000</v>
      </c>
      <c r="F17" s="10">
        <v>45355</v>
      </c>
      <c r="G17" s="6">
        <v>45524</v>
      </c>
      <c r="H17" s="12">
        <v>42000</v>
      </c>
      <c r="I17" s="9">
        <f t="shared" si="0"/>
        <v>0</v>
      </c>
      <c r="J17" s="2" t="s">
        <v>455</v>
      </c>
      <c r="K17" s="7" t="s">
        <v>27</v>
      </c>
      <c r="L17" s="11">
        <v>45352</v>
      </c>
      <c r="M17" s="9"/>
      <c r="N17" s="9"/>
      <c r="O17" s="9"/>
      <c r="P17" s="9"/>
      <c r="Q17" s="9"/>
      <c r="R17" s="9"/>
      <c r="S17" s="9"/>
      <c r="T17" s="9">
        <f t="shared" si="1"/>
        <v>0</v>
      </c>
    </row>
    <row r="18" spans="1:26" ht="14.4" x14ac:dyDescent="0.3">
      <c r="A18" s="10">
        <v>45364</v>
      </c>
      <c r="B18" s="2" t="s">
        <v>456</v>
      </c>
      <c r="C18" s="7" t="s">
        <v>457</v>
      </c>
      <c r="D18" s="43" t="s">
        <v>458</v>
      </c>
      <c r="E18" s="9">
        <v>1080000</v>
      </c>
      <c r="F18" s="10">
        <v>45364</v>
      </c>
      <c r="G18" s="10">
        <v>45365</v>
      </c>
      <c r="H18" s="9">
        <v>1000000</v>
      </c>
      <c r="I18" s="9">
        <f t="shared" si="0"/>
        <v>80000</v>
      </c>
      <c r="J18" s="2" t="s">
        <v>459</v>
      </c>
      <c r="K18" s="2" t="s">
        <v>32</v>
      </c>
      <c r="L18" s="11">
        <v>45352</v>
      </c>
      <c r="M18" s="9">
        <v>1080000</v>
      </c>
      <c r="N18" s="9"/>
      <c r="O18" s="9"/>
      <c r="P18" s="9"/>
      <c r="Q18" s="9">
        <v>1000000</v>
      </c>
      <c r="R18" s="9"/>
      <c r="S18" s="9"/>
      <c r="T18" s="9">
        <f t="shared" si="1"/>
        <v>80000</v>
      </c>
    </row>
    <row r="19" spans="1:26" ht="14.4" x14ac:dyDescent="0.3">
      <c r="A19" s="10">
        <v>45380</v>
      </c>
      <c r="B19" s="2" t="s">
        <v>460</v>
      </c>
      <c r="C19" s="7" t="s">
        <v>461</v>
      </c>
      <c r="D19" s="43" t="s">
        <v>462</v>
      </c>
      <c r="E19" s="9">
        <v>125000</v>
      </c>
      <c r="F19" s="10">
        <v>45380</v>
      </c>
      <c r="G19" s="10">
        <v>45384</v>
      </c>
      <c r="H19" s="9">
        <v>125000</v>
      </c>
      <c r="I19" s="9">
        <f t="shared" si="0"/>
        <v>0</v>
      </c>
      <c r="J19" s="2" t="s">
        <v>463</v>
      </c>
      <c r="K19" s="2" t="s">
        <v>32</v>
      </c>
      <c r="L19" s="11">
        <v>45352</v>
      </c>
      <c r="M19" s="9">
        <v>125000</v>
      </c>
      <c r="N19" s="9"/>
      <c r="O19" s="9">
        <f>M19</f>
        <v>125000</v>
      </c>
      <c r="P19" s="9"/>
      <c r="Q19" s="9"/>
      <c r="R19" s="9"/>
      <c r="S19" s="9"/>
      <c r="T19" s="9">
        <f t="shared" si="1"/>
        <v>0</v>
      </c>
    </row>
    <row r="20" spans="1:26" ht="14.4" x14ac:dyDescent="0.3">
      <c r="A20" s="10">
        <v>45380</v>
      </c>
      <c r="B20" s="2" t="s">
        <v>464</v>
      </c>
      <c r="C20" s="7" t="s">
        <v>198</v>
      </c>
      <c r="D20" s="43" t="s">
        <v>465</v>
      </c>
      <c r="E20" s="9">
        <v>5000</v>
      </c>
      <c r="F20" s="10">
        <v>45384</v>
      </c>
      <c r="G20" s="10">
        <v>45384</v>
      </c>
      <c r="H20" s="9">
        <v>5000</v>
      </c>
      <c r="I20" s="9">
        <f t="shared" si="0"/>
        <v>0</v>
      </c>
      <c r="J20" s="13" t="s">
        <v>466</v>
      </c>
      <c r="K20" s="7" t="s">
        <v>27</v>
      </c>
      <c r="L20" s="11">
        <v>45352</v>
      </c>
      <c r="M20" s="9"/>
      <c r="N20" s="9"/>
      <c r="O20" s="9"/>
      <c r="P20" s="9"/>
      <c r="Q20" s="9"/>
      <c r="R20" s="9"/>
      <c r="S20" s="9"/>
      <c r="T20" s="9">
        <f t="shared" si="1"/>
        <v>0</v>
      </c>
    </row>
    <row r="21" spans="1:26" ht="15.75" customHeight="1" x14ac:dyDescent="0.3">
      <c r="A21" s="44">
        <v>45380</v>
      </c>
      <c r="B21" s="25" t="s">
        <v>467</v>
      </c>
      <c r="C21" s="18" t="s">
        <v>429</v>
      </c>
      <c r="D21" s="45" t="s">
        <v>468</v>
      </c>
      <c r="E21" s="23"/>
      <c r="F21" s="44">
        <v>45384</v>
      </c>
      <c r="G21" s="25"/>
      <c r="H21" s="23"/>
      <c r="I21" s="23">
        <f t="shared" si="0"/>
        <v>0</v>
      </c>
      <c r="J21" s="25"/>
      <c r="K21" s="18" t="s">
        <v>27</v>
      </c>
      <c r="L21" s="46">
        <v>45352</v>
      </c>
      <c r="M21" s="23"/>
      <c r="N21" s="23"/>
      <c r="O21" s="23"/>
      <c r="P21" s="23"/>
      <c r="Q21" s="23"/>
      <c r="R21" s="23"/>
      <c r="S21" s="23"/>
      <c r="T21" s="23">
        <f t="shared" si="1"/>
        <v>0</v>
      </c>
      <c r="U21" s="25"/>
      <c r="V21" s="25"/>
      <c r="W21" s="25"/>
      <c r="X21" s="25"/>
      <c r="Y21" s="25"/>
      <c r="Z21" s="25"/>
    </row>
    <row r="22" spans="1:26" ht="15.75" customHeight="1" x14ac:dyDescent="0.3">
      <c r="A22" s="10">
        <v>45383</v>
      </c>
      <c r="B22" s="2" t="s">
        <v>469</v>
      </c>
      <c r="C22" s="7" t="s">
        <v>20</v>
      </c>
      <c r="D22" s="43" t="s">
        <v>470</v>
      </c>
      <c r="E22" s="9">
        <v>100000</v>
      </c>
      <c r="F22" s="10">
        <v>45384</v>
      </c>
      <c r="G22" s="6">
        <v>45527</v>
      </c>
      <c r="H22" s="9">
        <v>100000</v>
      </c>
      <c r="I22" s="9">
        <f t="shared" si="0"/>
        <v>0</v>
      </c>
      <c r="J22" s="2" t="s">
        <v>471</v>
      </c>
      <c r="K22" s="2" t="s">
        <v>22</v>
      </c>
      <c r="L22" s="11">
        <v>45383</v>
      </c>
      <c r="M22" s="9">
        <v>100000</v>
      </c>
      <c r="N22" s="9">
        <v>100000</v>
      </c>
      <c r="O22" s="9"/>
      <c r="P22" s="9"/>
      <c r="Q22" s="9"/>
      <c r="R22" s="9"/>
      <c r="S22" s="9"/>
      <c r="T22" s="9">
        <f t="shared" si="1"/>
        <v>0</v>
      </c>
    </row>
    <row r="23" spans="1:26" ht="15.75" customHeight="1" x14ac:dyDescent="0.3">
      <c r="A23" s="10">
        <v>45383</v>
      </c>
      <c r="B23" s="2" t="s">
        <v>472</v>
      </c>
      <c r="C23" s="7" t="s">
        <v>24</v>
      </c>
      <c r="D23" s="43" t="s">
        <v>473</v>
      </c>
      <c r="E23" s="9">
        <v>49000</v>
      </c>
      <c r="F23" s="10">
        <v>45384</v>
      </c>
      <c r="G23" s="10">
        <v>45404</v>
      </c>
      <c r="H23" s="12">
        <v>49000</v>
      </c>
      <c r="I23" s="9">
        <f t="shared" si="0"/>
        <v>0</v>
      </c>
      <c r="J23" s="2" t="s">
        <v>474</v>
      </c>
      <c r="K23" s="7" t="s">
        <v>27</v>
      </c>
      <c r="L23" s="11">
        <v>45383</v>
      </c>
      <c r="M23" s="9"/>
      <c r="N23" s="9"/>
      <c r="O23" s="9"/>
      <c r="P23" s="9"/>
      <c r="Q23" s="9"/>
      <c r="R23" s="9"/>
      <c r="S23" s="9"/>
      <c r="T23" s="9">
        <f t="shared" si="1"/>
        <v>0</v>
      </c>
    </row>
    <row r="24" spans="1:26" ht="15.75" customHeight="1" x14ac:dyDescent="0.3">
      <c r="A24" s="10">
        <v>45390</v>
      </c>
      <c r="B24" s="2" t="s">
        <v>475</v>
      </c>
      <c r="C24" s="7" t="s">
        <v>476</v>
      </c>
      <c r="D24" s="43" t="s">
        <v>477</v>
      </c>
      <c r="E24" s="9">
        <v>540000</v>
      </c>
      <c r="F24" s="10">
        <v>45390</v>
      </c>
      <c r="G24" s="10">
        <v>45404</v>
      </c>
      <c r="H24" s="9">
        <v>540000</v>
      </c>
      <c r="I24" s="9">
        <f t="shared" si="0"/>
        <v>0</v>
      </c>
      <c r="J24" s="2" t="s">
        <v>478</v>
      </c>
      <c r="K24" s="2" t="s">
        <v>32</v>
      </c>
      <c r="L24" s="11">
        <v>45383</v>
      </c>
      <c r="M24" s="9">
        <v>540000</v>
      </c>
      <c r="N24" s="9"/>
      <c r="O24" s="9"/>
      <c r="P24" s="9"/>
      <c r="Q24" s="9">
        <v>540000</v>
      </c>
      <c r="R24" s="9"/>
      <c r="S24" s="9"/>
      <c r="T24" s="9">
        <f t="shared" si="1"/>
        <v>0</v>
      </c>
    </row>
    <row r="25" spans="1:26" ht="15.75" customHeight="1" x14ac:dyDescent="0.3">
      <c r="A25" s="10">
        <v>45404</v>
      </c>
      <c r="B25" s="2" t="s">
        <v>479</v>
      </c>
      <c r="C25" s="7" t="s">
        <v>480</v>
      </c>
      <c r="D25" s="43" t="s">
        <v>481</v>
      </c>
      <c r="E25" s="9">
        <v>125000</v>
      </c>
      <c r="F25" s="10">
        <v>45404</v>
      </c>
      <c r="G25" s="10">
        <v>45404</v>
      </c>
      <c r="H25" s="9">
        <v>125000</v>
      </c>
      <c r="I25" s="9">
        <f t="shared" si="0"/>
        <v>0</v>
      </c>
      <c r="J25" s="2" t="s">
        <v>482</v>
      </c>
      <c r="K25" s="2" t="s">
        <v>32</v>
      </c>
      <c r="L25" s="11">
        <v>45383</v>
      </c>
      <c r="M25" s="9">
        <v>125000</v>
      </c>
      <c r="N25" s="9"/>
      <c r="O25" s="9">
        <v>125000</v>
      </c>
      <c r="P25" s="9"/>
      <c r="Q25" s="9"/>
      <c r="R25" s="9"/>
      <c r="S25" s="9"/>
      <c r="T25" s="9">
        <f t="shared" si="1"/>
        <v>0</v>
      </c>
    </row>
    <row r="26" spans="1:26" ht="15.75" customHeight="1" x14ac:dyDescent="0.3">
      <c r="A26" s="10">
        <v>45412</v>
      </c>
      <c r="B26" s="2" t="s">
        <v>483</v>
      </c>
      <c r="C26" s="7" t="s">
        <v>198</v>
      </c>
      <c r="D26" s="8" t="s">
        <v>484</v>
      </c>
      <c r="E26" s="9">
        <v>5000</v>
      </c>
      <c r="F26" s="10">
        <v>45432</v>
      </c>
      <c r="G26" s="10">
        <v>45418</v>
      </c>
      <c r="H26" s="9">
        <v>5000</v>
      </c>
      <c r="I26" s="9">
        <f t="shared" si="0"/>
        <v>0</v>
      </c>
      <c r="J26" s="13" t="s">
        <v>485</v>
      </c>
      <c r="K26" s="7" t="s">
        <v>27</v>
      </c>
      <c r="L26" s="11">
        <v>45413</v>
      </c>
      <c r="M26" s="9"/>
      <c r="N26" s="9"/>
      <c r="O26" s="9"/>
      <c r="P26" s="9"/>
      <c r="Q26" s="9"/>
      <c r="R26" s="9"/>
      <c r="S26" s="9"/>
      <c r="T26" s="9">
        <f t="shared" si="1"/>
        <v>0</v>
      </c>
    </row>
    <row r="27" spans="1:26" ht="15.75" customHeight="1" x14ac:dyDescent="0.3">
      <c r="A27" s="44">
        <v>45412</v>
      </c>
      <c r="B27" s="25" t="s">
        <v>486</v>
      </c>
      <c r="C27" s="18" t="s">
        <v>429</v>
      </c>
      <c r="D27" s="47" t="s">
        <v>487</v>
      </c>
      <c r="E27" s="23"/>
      <c r="F27" s="44">
        <v>45432</v>
      </c>
      <c r="G27" s="25"/>
      <c r="H27" s="23"/>
      <c r="I27" s="23">
        <f t="shared" si="0"/>
        <v>0</v>
      </c>
      <c r="J27" s="25"/>
      <c r="K27" s="18" t="s">
        <v>27</v>
      </c>
      <c r="L27" s="46">
        <v>45413</v>
      </c>
      <c r="M27" s="23"/>
      <c r="N27" s="23"/>
      <c r="O27" s="23"/>
      <c r="P27" s="23"/>
      <c r="Q27" s="23"/>
      <c r="R27" s="23"/>
      <c r="S27" s="23"/>
      <c r="T27" s="23">
        <f t="shared" si="1"/>
        <v>0</v>
      </c>
      <c r="U27" s="25"/>
      <c r="V27" s="25"/>
      <c r="W27" s="25"/>
      <c r="X27" s="25"/>
      <c r="Y27" s="25"/>
      <c r="Z27" s="25"/>
    </row>
    <row r="28" spans="1:26" ht="15.75" customHeight="1" x14ac:dyDescent="0.3">
      <c r="A28" s="10">
        <v>45413</v>
      </c>
      <c r="B28" s="2" t="s">
        <v>488</v>
      </c>
      <c r="C28" s="7" t="s">
        <v>20</v>
      </c>
      <c r="D28" s="8" t="s">
        <v>489</v>
      </c>
      <c r="E28" s="9">
        <v>100000</v>
      </c>
      <c r="F28" s="10">
        <v>45432</v>
      </c>
      <c r="G28" s="6">
        <v>45527</v>
      </c>
      <c r="H28" s="9">
        <v>100000</v>
      </c>
      <c r="I28" s="9">
        <f t="shared" si="0"/>
        <v>0</v>
      </c>
      <c r="J28" s="2" t="s">
        <v>471</v>
      </c>
      <c r="K28" s="2" t="s">
        <v>22</v>
      </c>
      <c r="L28" s="11">
        <v>45413</v>
      </c>
      <c r="M28" s="9">
        <v>100000</v>
      </c>
      <c r="N28" s="9">
        <v>100000</v>
      </c>
      <c r="O28" s="9"/>
      <c r="P28" s="9"/>
      <c r="Q28" s="9"/>
      <c r="R28" s="9"/>
      <c r="S28" s="9"/>
      <c r="T28" s="9">
        <f t="shared" si="1"/>
        <v>0</v>
      </c>
    </row>
    <row r="29" spans="1:26" ht="15.75" customHeight="1" x14ac:dyDescent="0.3">
      <c r="A29" s="10">
        <v>45413</v>
      </c>
      <c r="B29" s="2" t="s">
        <v>490</v>
      </c>
      <c r="C29" s="7" t="s">
        <v>24</v>
      </c>
      <c r="D29" s="8" t="s">
        <v>491</v>
      </c>
      <c r="E29" s="9">
        <v>49000</v>
      </c>
      <c r="F29" s="10">
        <v>45432</v>
      </c>
      <c r="G29" s="10">
        <v>45453</v>
      </c>
      <c r="H29" s="12">
        <v>49000</v>
      </c>
      <c r="I29" s="9">
        <f t="shared" si="0"/>
        <v>0</v>
      </c>
      <c r="J29" s="2" t="s">
        <v>492</v>
      </c>
      <c r="K29" s="7" t="s">
        <v>27</v>
      </c>
      <c r="L29" s="11">
        <v>45413</v>
      </c>
      <c r="M29" s="9"/>
      <c r="N29" s="9"/>
      <c r="O29" s="9"/>
      <c r="P29" s="9"/>
      <c r="Q29" s="9"/>
      <c r="R29" s="9"/>
      <c r="S29" s="9"/>
      <c r="T29" s="9">
        <f t="shared" si="1"/>
        <v>0</v>
      </c>
    </row>
    <row r="30" spans="1:26" ht="15.75" customHeight="1" x14ac:dyDescent="0.3">
      <c r="A30" s="44">
        <v>45437</v>
      </c>
      <c r="B30" s="25" t="s">
        <v>493</v>
      </c>
      <c r="C30" s="25" t="s">
        <v>494</v>
      </c>
      <c r="D30" s="47" t="s">
        <v>495</v>
      </c>
      <c r="E30" s="23"/>
      <c r="F30" s="44">
        <v>45437</v>
      </c>
      <c r="G30" s="25"/>
      <c r="H30" s="23"/>
      <c r="I30" s="23">
        <f t="shared" si="0"/>
        <v>0</v>
      </c>
      <c r="J30" s="25"/>
      <c r="K30" s="25" t="s">
        <v>32</v>
      </c>
      <c r="L30" s="46">
        <v>45413</v>
      </c>
      <c r="M30" s="23">
        <v>115000</v>
      </c>
      <c r="N30" s="23"/>
      <c r="O30" s="23"/>
      <c r="P30" s="23"/>
      <c r="Q30" s="23"/>
      <c r="R30" s="23"/>
      <c r="S30" s="23"/>
      <c r="T30" s="23">
        <f t="shared" si="1"/>
        <v>115000</v>
      </c>
      <c r="U30" s="25"/>
      <c r="V30" s="25"/>
      <c r="W30" s="25"/>
      <c r="X30" s="25"/>
      <c r="Y30" s="25"/>
      <c r="Z30" s="25"/>
    </row>
    <row r="31" spans="1:26" ht="15.75" customHeight="1" x14ac:dyDescent="0.3">
      <c r="A31" s="10">
        <v>45438</v>
      </c>
      <c r="B31" s="2" t="s">
        <v>496</v>
      </c>
      <c r="C31" s="2" t="s">
        <v>497</v>
      </c>
      <c r="D31" s="8" t="s">
        <v>498</v>
      </c>
      <c r="E31" s="9">
        <v>350000</v>
      </c>
      <c r="F31" s="10">
        <v>45438</v>
      </c>
      <c r="G31" s="10">
        <v>45439</v>
      </c>
      <c r="H31" s="9">
        <f>200000+150000</f>
        <v>350000</v>
      </c>
      <c r="I31" s="9">
        <f t="shared" si="0"/>
        <v>0</v>
      </c>
      <c r="J31" s="2" t="s">
        <v>499</v>
      </c>
      <c r="K31" s="2" t="s">
        <v>32</v>
      </c>
      <c r="L31" s="11">
        <v>45413</v>
      </c>
      <c r="M31" s="9">
        <v>350000</v>
      </c>
      <c r="N31" s="9"/>
      <c r="O31" s="9"/>
      <c r="P31" s="9">
        <v>350000</v>
      </c>
      <c r="Q31" s="9"/>
      <c r="R31" s="9"/>
      <c r="S31" s="9"/>
      <c r="T31" s="9">
        <f t="shared" si="1"/>
        <v>0</v>
      </c>
    </row>
    <row r="32" spans="1:26" ht="15.75" customHeight="1" x14ac:dyDescent="0.3">
      <c r="A32" s="10">
        <v>45439</v>
      </c>
      <c r="B32" s="2" t="s">
        <v>500</v>
      </c>
      <c r="C32" s="2" t="s">
        <v>501</v>
      </c>
      <c r="D32" s="8" t="s">
        <v>502</v>
      </c>
      <c r="E32" s="9">
        <v>100000</v>
      </c>
      <c r="F32" s="10">
        <v>45439</v>
      </c>
      <c r="G32" s="10">
        <v>45443</v>
      </c>
      <c r="H32" s="9">
        <v>100000</v>
      </c>
      <c r="I32" s="9">
        <f t="shared" si="0"/>
        <v>0</v>
      </c>
      <c r="J32" s="2" t="s">
        <v>503</v>
      </c>
      <c r="K32" s="2" t="s">
        <v>32</v>
      </c>
      <c r="L32" s="11">
        <v>45413</v>
      </c>
      <c r="M32" s="9">
        <v>100000</v>
      </c>
      <c r="N32" s="9"/>
      <c r="O32" s="9"/>
      <c r="P32" s="9"/>
      <c r="Q32" s="9">
        <v>100000</v>
      </c>
      <c r="R32" s="9"/>
      <c r="S32" s="9"/>
      <c r="T32" s="9">
        <f t="shared" si="1"/>
        <v>0</v>
      </c>
    </row>
    <row r="33" spans="1:20" ht="15.75" customHeight="1" x14ac:dyDescent="0.3">
      <c r="A33" s="10">
        <v>45449</v>
      </c>
      <c r="B33" s="2" t="s">
        <v>504</v>
      </c>
      <c r="C33" s="2" t="s">
        <v>505</v>
      </c>
      <c r="D33" s="2" t="s">
        <v>506</v>
      </c>
      <c r="E33" s="9">
        <v>47500</v>
      </c>
      <c r="F33" s="10">
        <v>45449</v>
      </c>
      <c r="G33" s="10">
        <v>45461</v>
      </c>
      <c r="H33" s="9">
        <v>47500</v>
      </c>
      <c r="I33" s="9">
        <f t="shared" si="0"/>
        <v>0</v>
      </c>
      <c r="J33" s="2" t="s">
        <v>507</v>
      </c>
      <c r="K33" s="2" t="s">
        <v>32</v>
      </c>
      <c r="L33" s="11">
        <v>45444</v>
      </c>
      <c r="M33" s="9">
        <v>47500</v>
      </c>
      <c r="N33" s="9"/>
      <c r="O33" s="9"/>
      <c r="P33" s="9">
        <v>47500</v>
      </c>
      <c r="Q33" s="9"/>
      <c r="R33" s="9"/>
      <c r="S33" s="9"/>
      <c r="T33" s="9">
        <f t="shared" si="1"/>
        <v>0</v>
      </c>
    </row>
    <row r="34" spans="1:20" ht="15.75" customHeight="1" x14ac:dyDescent="0.3">
      <c r="A34" s="10">
        <v>45450</v>
      </c>
      <c r="B34" s="2" t="s">
        <v>508</v>
      </c>
      <c r="C34" s="2" t="s">
        <v>509</v>
      </c>
      <c r="D34" s="2" t="s">
        <v>510</v>
      </c>
      <c r="E34" s="9">
        <v>200000</v>
      </c>
      <c r="F34" s="10">
        <v>45450</v>
      </c>
      <c r="G34" s="10">
        <v>45462</v>
      </c>
      <c r="H34" s="9">
        <f>200000</f>
        <v>200000</v>
      </c>
      <c r="I34" s="9">
        <f t="shared" si="0"/>
        <v>0</v>
      </c>
      <c r="J34" s="2" t="s">
        <v>511</v>
      </c>
      <c r="K34" s="2" t="s">
        <v>32</v>
      </c>
      <c r="L34" s="11">
        <v>45444</v>
      </c>
      <c r="M34" s="9">
        <v>200000</v>
      </c>
      <c r="N34" s="9"/>
      <c r="O34" s="9"/>
      <c r="P34" s="9">
        <v>200000</v>
      </c>
      <c r="Q34" s="9"/>
      <c r="R34" s="9"/>
      <c r="S34" s="9"/>
      <c r="T34" s="9">
        <f t="shared" si="1"/>
        <v>0</v>
      </c>
    </row>
    <row r="35" spans="1:20" ht="15.75" customHeight="1" x14ac:dyDescent="0.3">
      <c r="A35" s="10">
        <v>45450</v>
      </c>
      <c r="B35" s="2" t="s">
        <v>512</v>
      </c>
      <c r="C35" s="2" t="s">
        <v>513</v>
      </c>
      <c r="D35" s="2" t="s">
        <v>514</v>
      </c>
      <c r="E35" s="9">
        <v>800000</v>
      </c>
      <c r="F35" s="10">
        <v>45450</v>
      </c>
      <c r="G35" s="10">
        <v>45476</v>
      </c>
      <c r="H35" s="9">
        <v>800000</v>
      </c>
      <c r="I35" s="9">
        <f t="shared" si="0"/>
        <v>0</v>
      </c>
      <c r="J35" s="2" t="s">
        <v>515</v>
      </c>
      <c r="K35" s="2" t="s">
        <v>32</v>
      </c>
      <c r="L35" s="11">
        <v>45444</v>
      </c>
      <c r="M35" s="9">
        <v>800000</v>
      </c>
      <c r="N35" s="9"/>
      <c r="O35" s="9"/>
      <c r="P35" s="9">
        <v>800000</v>
      </c>
      <c r="Q35" s="9"/>
      <c r="R35" s="9"/>
      <c r="S35" s="9"/>
      <c r="T35" s="9">
        <f t="shared" si="1"/>
        <v>0</v>
      </c>
    </row>
    <row r="36" spans="1:20" ht="15.75" customHeight="1" x14ac:dyDescent="0.3">
      <c r="A36" s="10">
        <v>45457</v>
      </c>
      <c r="B36" s="2" t="s">
        <v>516</v>
      </c>
      <c r="C36" s="2" t="s">
        <v>517</v>
      </c>
      <c r="D36" s="2" t="s">
        <v>518</v>
      </c>
      <c r="E36" s="9">
        <v>160000</v>
      </c>
      <c r="F36" s="10">
        <v>45457</v>
      </c>
      <c r="G36" s="10">
        <v>45459</v>
      </c>
      <c r="H36" s="9">
        <f>60000+100000</f>
        <v>160000</v>
      </c>
      <c r="I36" s="9">
        <f t="shared" si="0"/>
        <v>0</v>
      </c>
      <c r="J36" s="2" t="s">
        <v>519</v>
      </c>
      <c r="K36" s="2" t="s">
        <v>32</v>
      </c>
      <c r="L36" s="11">
        <v>45444</v>
      </c>
      <c r="M36" s="9">
        <f>E36</f>
        <v>160000</v>
      </c>
      <c r="N36" s="9"/>
      <c r="O36" s="9"/>
      <c r="P36" s="9"/>
      <c r="Q36" s="9"/>
      <c r="R36" s="9"/>
      <c r="S36" s="9">
        <v>160000</v>
      </c>
      <c r="T36" s="9">
        <f t="shared" si="1"/>
        <v>0</v>
      </c>
    </row>
    <row r="37" spans="1:20" ht="15.75" customHeight="1" x14ac:dyDescent="0.3">
      <c r="A37" s="10">
        <v>45470</v>
      </c>
      <c r="B37" s="2" t="s">
        <v>520</v>
      </c>
      <c r="C37" s="2" t="s">
        <v>521</v>
      </c>
      <c r="D37" s="2" t="s">
        <v>522</v>
      </c>
      <c r="E37" s="9">
        <v>75000</v>
      </c>
      <c r="F37" s="10">
        <v>45470</v>
      </c>
      <c r="G37" s="10">
        <v>45393</v>
      </c>
      <c r="H37" s="9">
        <v>75000</v>
      </c>
      <c r="I37" s="9">
        <f t="shared" si="0"/>
        <v>0</v>
      </c>
      <c r="J37" s="2" t="s">
        <v>523</v>
      </c>
      <c r="K37" s="2" t="s">
        <v>32</v>
      </c>
      <c r="L37" s="11">
        <v>45383</v>
      </c>
      <c r="M37" s="9">
        <v>75000</v>
      </c>
      <c r="N37" s="9"/>
      <c r="O37" s="9">
        <v>75000</v>
      </c>
      <c r="P37" s="9"/>
      <c r="Q37" s="9"/>
      <c r="R37" s="9"/>
      <c r="S37" s="9"/>
      <c r="T37" s="9">
        <f t="shared" si="1"/>
        <v>0</v>
      </c>
    </row>
    <row r="38" spans="1:20" ht="15.75" customHeight="1" x14ac:dyDescent="0.3">
      <c r="A38" s="10">
        <v>45470</v>
      </c>
      <c r="B38" s="2" t="s">
        <v>524</v>
      </c>
      <c r="C38" s="2" t="s">
        <v>20</v>
      </c>
      <c r="D38" s="2" t="s">
        <v>525</v>
      </c>
      <c r="E38" s="9">
        <v>60103</v>
      </c>
      <c r="F38" s="10">
        <v>45470</v>
      </c>
      <c r="G38" s="10">
        <v>45398</v>
      </c>
      <c r="H38" s="9">
        <v>60103</v>
      </c>
      <c r="I38" s="9">
        <f t="shared" si="0"/>
        <v>0</v>
      </c>
      <c r="J38" s="2" t="s">
        <v>408</v>
      </c>
      <c r="K38" s="2" t="s">
        <v>22</v>
      </c>
      <c r="L38" s="11">
        <v>45383</v>
      </c>
      <c r="M38" s="9">
        <v>60103</v>
      </c>
      <c r="N38" s="9">
        <v>60103</v>
      </c>
      <c r="O38" s="9"/>
      <c r="P38" s="9"/>
      <c r="Q38" s="9"/>
      <c r="R38" s="9"/>
      <c r="S38" s="9"/>
      <c r="T38" s="9">
        <f t="shared" si="1"/>
        <v>0</v>
      </c>
    </row>
    <row r="39" spans="1:20" ht="15.75" customHeight="1" x14ac:dyDescent="0.3">
      <c r="A39" s="10">
        <v>45470</v>
      </c>
      <c r="B39" s="2" t="s">
        <v>526</v>
      </c>
      <c r="C39" s="2" t="s">
        <v>527</v>
      </c>
      <c r="D39" s="2" t="s">
        <v>528</v>
      </c>
      <c r="E39" s="9">
        <v>60000</v>
      </c>
      <c r="F39" s="10">
        <v>45470</v>
      </c>
      <c r="G39" s="10">
        <v>45415</v>
      </c>
      <c r="H39" s="9">
        <v>60000</v>
      </c>
      <c r="I39" s="9">
        <f t="shared" si="0"/>
        <v>0</v>
      </c>
      <c r="J39" s="2" t="s">
        <v>529</v>
      </c>
      <c r="K39" s="2" t="s">
        <v>32</v>
      </c>
      <c r="L39" s="11">
        <v>45413</v>
      </c>
      <c r="M39" s="9">
        <f>E39</f>
        <v>60000</v>
      </c>
      <c r="N39" s="9"/>
      <c r="O39" s="9">
        <f>E39</f>
        <v>60000</v>
      </c>
      <c r="P39" s="9"/>
      <c r="Q39" s="9"/>
      <c r="R39" s="9"/>
      <c r="S39" s="9"/>
      <c r="T39" s="9">
        <f t="shared" si="1"/>
        <v>0</v>
      </c>
    </row>
    <row r="40" spans="1:20" ht="15.75" customHeight="1" x14ac:dyDescent="0.3">
      <c r="A40" s="10">
        <v>45470</v>
      </c>
      <c r="B40" s="2" t="s">
        <v>530</v>
      </c>
      <c r="C40" s="7" t="s">
        <v>198</v>
      </c>
      <c r="D40" s="2" t="s">
        <v>531</v>
      </c>
      <c r="E40" s="9">
        <v>2500</v>
      </c>
      <c r="F40" s="10">
        <v>45470</v>
      </c>
      <c r="G40" s="28">
        <v>45450</v>
      </c>
      <c r="H40" s="9">
        <v>2500</v>
      </c>
      <c r="I40" s="9">
        <f t="shared" si="0"/>
        <v>0</v>
      </c>
      <c r="J40" s="13" t="s">
        <v>532</v>
      </c>
      <c r="K40" s="7" t="s">
        <v>27</v>
      </c>
      <c r="L40" s="11">
        <v>45413</v>
      </c>
      <c r="M40" s="9"/>
      <c r="N40" s="9"/>
      <c r="O40" s="9"/>
      <c r="P40" s="9"/>
      <c r="Q40" s="9"/>
      <c r="R40" s="9"/>
      <c r="S40" s="9"/>
      <c r="T40" s="9">
        <f t="shared" si="1"/>
        <v>0</v>
      </c>
    </row>
    <row r="41" spans="1:20" ht="15.75" customHeight="1" x14ac:dyDescent="0.3">
      <c r="A41" s="10">
        <v>45470</v>
      </c>
      <c r="B41" s="2" t="s">
        <v>533</v>
      </c>
      <c r="C41" s="7" t="s">
        <v>20</v>
      </c>
      <c r="D41" s="2" t="s">
        <v>534</v>
      </c>
      <c r="E41" s="9">
        <v>100000</v>
      </c>
      <c r="F41" s="10">
        <v>45470</v>
      </c>
      <c r="G41" s="6">
        <v>45527</v>
      </c>
      <c r="H41" s="9">
        <v>100000</v>
      </c>
      <c r="I41" s="9">
        <f t="shared" si="0"/>
        <v>0</v>
      </c>
      <c r="J41" s="2" t="s">
        <v>471</v>
      </c>
      <c r="K41" s="2" t="s">
        <v>22</v>
      </c>
      <c r="L41" s="11">
        <v>45444</v>
      </c>
      <c r="M41" s="9">
        <v>100000</v>
      </c>
      <c r="N41" s="9">
        <v>100000</v>
      </c>
      <c r="O41" s="9"/>
      <c r="P41" s="9"/>
      <c r="Q41" s="9"/>
      <c r="R41" s="9"/>
      <c r="S41" s="9"/>
      <c r="T41" s="9">
        <f t="shared" si="1"/>
        <v>0</v>
      </c>
    </row>
    <row r="42" spans="1:20" ht="15.75" customHeight="1" x14ac:dyDescent="0.3">
      <c r="A42" s="10">
        <v>45470</v>
      </c>
      <c r="B42" s="2" t="s">
        <v>535</v>
      </c>
      <c r="C42" s="7" t="s">
        <v>24</v>
      </c>
      <c r="D42" s="2" t="s">
        <v>536</v>
      </c>
      <c r="E42" s="9">
        <v>49000</v>
      </c>
      <c r="F42" s="10">
        <v>45470</v>
      </c>
      <c r="G42" s="6">
        <v>45524</v>
      </c>
      <c r="H42" s="12">
        <v>49000</v>
      </c>
      <c r="I42" s="9">
        <f t="shared" si="0"/>
        <v>0</v>
      </c>
      <c r="J42" s="2" t="s">
        <v>455</v>
      </c>
      <c r="K42" s="7" t="s">
        <v>27</v>
      </c>
      <c r="L42" s="11">
        <v>45444</v>
      </c>
      <c r="M42" s="9"/>
      <c r="N42" s="9"/>
      <c r="O42" s="9"/>
      <c r="P42" s="9"/>
      <c r="Q42" s="9"/>
      <c r="R42" s="9"/>
      <c r="S42" s="9"/>
      <c r="T42" s="9">
        <f t="shared" si="1"/>
        <v>0</v>
      </c>
    </row>
    <row r="43" spans="1:20" ht="15.75" customHeight="1" x14ac:dyDescent="0.3">
      <c r="A43" s="10">
        <v>45473</v>
      </c>
      <c r="B43" s="2" t="s">
        <v>537</v>
      </c>
      <c r="C43" s="7" t="s">
        <v>198</v>
      </c>
      <c r="D43" s="2" t="s">
        <v>538</v>
      </c>
      <c r="E43" s="9">
        <v>5000</v>
      </c>
      <c r="F43" s="10">
        <v>45475</v>
      </c>
      <c r="G43" s="28">
        <v>45477</v>
      </c>
      <c r="H43" s="9">
        <v>5000</v>
      </c>
      <c r="I43" s="9">
        <f t="shared" si="0"/>
        <v>0</v>
      </c>
      <c r="J43" s="13" t="s">
        <v>539</v>
      </c>
      <c r="K43" s="7" t="s">
        <v>27</v>
      </c>
      <c r="L43" s="11">
        <v>45444</v>
      </c>
      <c r="M43" s="9"/>
      <c r="N43" s="9"/>
      <c r="O43" s="9"/>
      <c r="P43" s="9"/>
      <c r="Q43" s="9"/>
      <c r="R43" s="9"/>
      <c r="S43" s="9"/>
      <c r="T43" s="9">
        <f t="shared" si="1"/>
        <v>0</v>
      </c>
    </row>
    <row r="44" spans="1:20" ht="15.75" customHeight="1" x14ac:dyDescent="0.3">
      <c r="A44" s="10">
        <v>45474</v>
      </c>
      <c r="B44" s="2" t="s">
        <v>540</v>
      </c>
      <c r="C44" s="7" t="s">
        <v>20</v>
      </c>
      <c r="D44" s="2" t="s">
        <v>541</v>
      </c>
      <c r="E44" s="9">
        <v>100000</v>
      </c>
      <c r="F44" s="10">
        <v>45475</v>
      </c>
      <c r="G44" s="6">
        <v>45527</v>
      </c>
      <c r="H44" s="9">
        <v>100000</v>
      </c>
      <c r="I44" s="9">
        <f t="shared" si="0"/>
        <v>0</v>
      </c>
      <c r="J44" s="2" t="s">
        <v>471</v>
      </c>
      <c r="K44" s="2" t="s">
        <v>22</v>
      </c>
      <c r="L44" s="11">
        <v>45474</v>
      </c>
      <c r="M44" s="9">
        <v>100000</v>
      </c>
      <c r="N44" s="9">
        <v>100000</v>
      </c>
      <c r="O44" s="9"/>
      <c r="P44" s="9"/>
      <c r="Q44" s="9"/>
      <c r="R44" s="9"/>
      <c r="S44" s="9"/>
      <c r="T44" s="9">
        <f t="shared" si="1"/>
        <v>0</v>
      </c>
    </row>
    <row r="45" spans="1:20" ht="15.75" customHeight="1" x14ac:dyDescent="0.3">
      <c r="A45" s="10">
        <v>45474</v>
      </c>
      <c r="B45" s="2" t="s">
        <v>542</v>
      </c>
      <c r="C45" s="7" t="s">
        <v>24</v>
      </c>
      <c r="D45" s="2" t="s">
        <v>543</v>
      </c>
      <c r="E45" s="9">
        <v>49000</v>
      </c>
      <c r="F45" s="10">
        <v>45475</v>
      </c>
      <c r="G45" s="6">
        <v>45554</v>
      </c>
      <c r="H45" s="12">
        <v>49000</v>
      </c>
      <c r="I45" s="9">
        <f t="shared" si="0"/>
        <v>0</v>
      </c>
      <c r="J45" s="2" t="s">
        <v>544</v>
      </c>
      <c r="K45" s="7" t="s">
        <v>27</v>
      </c>
      <c r="L45" s="11">
        <v>45474</v>
      </c>
      <c r="M45" s="9"/>
      <c r="N45" s="9"/>
      <c r="O45" s="9"/>
      <c r="P45" s="9"/>
      <c r="Q45" s="9"/>
      <c r="R45" s="9"/>
      <c r="S45" s="9"/>
      <c r="T45" s="9">
        <f t="shared" si="1"/>
        <v>0</v>
      </c>
    </row>
    <row r="46" spans="1:20" ht="15.75" customHeight="1" x14ac:dyDescent="0.3">
      <c r="A46" s="10">
        <v>45481</v>
      </c>
      <c r="B46" s="2" t="s">
        <v>545</v>
      </c>
      <c r="C46" s="2" t="s">
        <v>546</v>
      </c>
      <c r="D46" s="2" t="s">
        <v>547</v>
      </c>
      <c r="E46" s="9">
        <v>700000</v>
      </c>
      <c r="F46" s="10">
        <v>45481</v>
      </c>
      <c r="H46" s="9"/>
      <c r="I46" s="9">
        <f t="shared" si="0"/>
        <v>700000</v>
      </c>
      <c r="K46" s="2" t="s">
        <v>32</v>
      </c>
      <c r="L46" s="11">
        <v>45474</v>
      </c>
      <c r="M46" s="9">
        <v>700000</v>
      </c>
      <c r="N46" s="9"/>
      <c r="O46" s="9"/>
      <c r="P46" s="9"/>
      <c r="Q46" s="9"/>
      <c r="R46" s="9"/>
      <c r="S46" s="9"/>
      <c r="T46" s="9">
        <f t="shared" si="1"/>
        <v>700000</v>
      </c>
    </row>
    <row r="47" spans="1:20" ht="15.75" customHeight="1" x14ac:dyDescent="0.3">
      <c r="A47" s="10">
        <v>45512</v>
      </c>
      <c r="B47" s="2" t="s">
        <v>548</v>
      </c>
      <c r="C47" s="2" t="s">
        <v>549</v>
      </c>
      <c r="D47" s="2" t="s">
        <v>550</v>
      </c>
      <c r="E47" s="9">
        <v>100000</v>
      </c>
      <c r="F47" s="10">
        <v>45512</v>
      </c>
      <c r="G47" s="6">
        <v>45513</v>
      </c>
      <c r="H47" s="9">
        <v>100000</v>
      </c>
      <c r="I47" s="9">
        <f t="shared" si="0"/>
        <v>0</v>
      </c>
      <c r="J47" s="2" t="s">
        <v>551</v>
      </c>
      <c r="K47" s="2" t="s">
        <v>32</v>
      </c>
      <c r="L47" s="48">
        <v>45528</v>
      </c>
      <c r="M47" s="9">
        <v>100000</v>
      </c>
      <c r="N47" s="9"/>
      <c r="O47" s="9"/>
      <c r="P47" s="9"/>
      <c r="Q47" s="9"/>
      <c r="R47" s="9"/>
      <c r="S47" s="9">
        <v>100000</v>
      </c>
      <c r="T47" s="9">
        <f t="shared" si="1"/>
        <v>0</v>
      </c>
    </row>
    <row r="48" spans="1:20" ht="15.75" customHeight="1" x14ac:dyDescent="0.3">
      <c r="A48" s="10">
        <v>45512</v>
      </c>
      <c r="B48" s="2" t="s">
        <v>552</v>
      </c>
      <c r="C48" s="7" t="s">
        <v>20</v>
      </c>
      <c r="D48" s="2" t="s">
        <v>553</v>
      </c>
      <c r="E48" s="9">
        <v>100000</v>
      </c>
      <c r="F48" s="10">
        <v>45516</v>
      </c>
      <c r="G48" s="6">
        <v>45751</v>
      </c>
      <c r="H48" s="9">
        <v>100000</v>
      </c>
      <c r="I48" s="9">
        <f t="shared" si="0"/>
        <v>0</v>
      </c>
      <c r="J48" s="2" t="s">
        <v>189</v>
      </c>
      <c r="K48" s="2" t="s">
        <v>22</v>
      </c>
      <c r="L48" s="48">
        <v>45528</v>
      </c>
      <c r="M48" s="9">
        <v>100000</v>
      </c>
      <c r="N48" s="9">
        <v>100000</v>
      </c>
      <c r="O48" s="9"/>
      <c r="P48" s="9"/>
      <c r="Q48" s="9"/>
      <c r="R48" s="9"/>
      <c r="S48" s="9"/>
      <c r="T48" s="9">
        <f t="shared" si="1"/>
        <v>0</v>
      </c>
    </row>
    <row r="49" spans="1:20" ht="15.75" customHeight="1" x14ac:dyDescent="0.3">
      <c r="A49" s="10">
        <v>45512</v>
      </c>
      <c r="B49" s="2" t="s">
        <v>554</v>
      </c>
      <c r="C49" s="7" t="s">
        <v>24</v>
      </c>
      <c r="D49" s="2" t="s">
        <v>555</v>
      </c>
      <c r="E49" s="9">
        <v>49000</v>
      </c>
      <c r="F49" s="10">
        <v>45516</v>
      </c>
      <c r="G49" s="28">
        <v>45575</v>
      </c>
      <c r="H49" s="9">
        <v>49000</v>
      </c>
      <c r="I49" s="9">
        <f t="shared" si="0"/>
        <v>0</v>
      </c>
      <c r="J49" s="2" t="s">
        <v>556</v>
      </c>
      <c r="K49" s="7" t="s">
        <v>27</v>
      </c>
      <c r="L49" s="48">
        <v>45528</v>
      </c>
      <c r="M49" s="9"/>
      <c r="N49" s="9"/>
      <c r="O49" s="9"/>
      <c r="P49" s="9"/>
      <c r="Q49" s="9"/>
      <c r="R49" s="9"/>
      <c r="S49" s="9"/>
      <c r="T49" s="9">
        <f t="shared" si="1"/>
        <v>0</v>
      </c>
    </row>
    <row r="50" spans="1:20" ht="15.75" customHeight="1" x14ac:dyDescent="0.3">
      <c r="A50" s="10">
        <v>45513</v>
      </c>
      <c r="B50" s="2" t="s">
        <v>557</v>
      </c>
      <c r="C50" s="2" t="s">
        <v>558</v>
      </c>
      <c r="D50" s="2" t="s">
        <v>559</v>
      </c>
      <c r="E50" s="9">
        <v>45000</v>
      </c>
      <c r="F50" s="10">
        <v>45543</v>
      </c>
      <c r="G50" s="28">
        <v>45515</v>
      </c>
      <c r="H50" s="9">
        <v>45000</v>
      </c>
      <c r="I50" s="9">
        <f t="shared" si="0"/>
        <v>0</v>
      </c>
      <c r="J50" s="2" t="s">
        <v>560</v>
      </c>
      <c r="K50" s="2" t="s">
        <v>32</v>
      </c>
      <c r="L50" s="48">
        <v>45528</v>
      </c>
      <c r="M50" s="9">
        <v>45000</v>
      </c>
      <c r="N50" s="9"/>
      <c r="O50" s="9">
        <f>E50</f>
        <v>45000</v>
      </c>
      <c r="P50" s="9"/>
      <c r="Q50" s="9"/>
      <c r="R50" s="9"/>
      <c r="S50" s="9"/>
      <c r="T50" s="9">
        <f t="shared" si="1"/>
        <v>0</v>
      </c>
    </row>
    <row r="51" spans="1:20" ht="15.75" customHeight="1" x14ac:dyDescent="0.3">
      <c r="A51" s="10">
        <v>45513</v>
      </c>
      <c r="B51" s="2" t="s">
        <v>561</v>
      </c>
      <c r="C51" s="2" t="s">
        <v>198</v>
      </c>
      <c r="D51" s="2" t="s">
        <v>562</v>
      </c>
      <c r="E51" s="9">
        <v>2500</v>
      </c>
      <c r="F51" s="10">
        <v>45543</v>
      </c>
      <c r="G51" s="37">
        <v>45511</v>
      </c>
      <c r="H51" s="12">
        <v>2500</v>
      </c>
      <c r="I51" s="12">
        <f t="shared" si="0"/>
        <v>0</v>
      </c>
      <c r="J51" s="13" t="s">
        <v>563</v>
      </c>
      <c r="K51" s="2" t="s">
        <v>27</v>
      </c>
      <c r="L51" s="11">
        <v>45474</v>
      </c>
      <c r="M51" s="9"/>
      <c r="N51" s="9"/>
      <c r="O51" s="9"/>
      <c r="P51" s="9"/>
      <c r="Q51" s="9"/>
      <c r="R51" s="9"/>
      <c r="S51" s="9"/>
      <c r="T51" s="9">
        <f t="shared" si="1"/>
        <v>0</v>
      </c>
    </row>
    <row r="52" spans="1:20" ht="15.75" customHeight="1" x14ac:dyDescent="0.3">
      <c r="A52" s="10">
        <v>45513</v>
      </c>
      <c r="B52" s="2" t="s">
        <v>564</v>
      </c>
      <c r="C52" s="2" t="s">
        <v>565</v>
      </c>
      <c r="D52" s="2" t="s">
        <v>566</v>
      </c>
      <c r="E52" s="9">
        <v>100000</v>
      </c>
      <c r="F52" s="10">
        <v>45543</v>
      </c>
      <c r="G52" s="6">
        <v>45521</v>
      </c>
      <c r="H52" s="9">
        <v>100000</v>
      </c>
      <c r="I52" s="9">
        <f t="shared" si="0"/>
        <v>0</v>
      </c>
      <c r="J52" s="2" t="s">
        <v>567</v>
      </c>
      <c r="K52" s="2" t="s">
        <v>32</v>
      </c>
      <c r="L52" s="48">
        <v>45528</v>
      </c>
      <c r="M52" s="9">
        <v>100000</v>
      </c>
      <c r="N52" s="9"/>
      <c r="O52" s="9">
        <f>M52</f>
        <v>100000</v>
      </c>
      <c r="P52" s="9"/>
      <c r="Q52" s="9"/>
      <c r="R52" s="9"/>
      <c r="S52" s="9"/>
      <c r="T52" s="9">
        <f t="shared" si="1"/>
        <v>0</v>
      </c>
    </row>
    <row r="53" spans="1:20" ht="15.75" customHeight="1" x14ac:dyDescent="0.3">
      <c r="A53" s="10">
        <v>45513</v>
      </c>
      <c r="B53" s="2" t="s">
        <v>568</v>
      </c>
      <c r="C53" s="2" t="s">
        <v>569</v>
      </c>
      <c r="D53" s="2" t="s">
        <v>570</v>
      </c>
      <c r="E53" s="9">
        <v>90000</v>
      </c>
      <c r="F53" s="10">
        <v>45543</v>
      </c>
      <c r="G53" s="6">
        <v>45507</v>
      </c>
      <c r="H53" s="9">
        <v>90000</v>
      </c>
      <c r="I53" s="9">
        <f t="shared" si="0"/>
        <v>0</v>
      </c>
      <c r="J53" s="2" t="s">
        <v>571</v>
      </c>
      <c r="K53" s="2" t="s">
        <v>32</v>
      </c>
      <c r="L53" s="48">
        <v>45528</v>
      </c>
      <c r="M53" s="9">
        <v>90000</v>
      </c>
      <c r="N53" s="9"/>
      <c r="O53" s="9"/>
      <c r="P53" s="9"/>
      <c r="Q53" s="9"/>
      <c r="R53" s="9"/>
      <c r="S53" s="9">
        <f t="shared" ref="S53:S54" si="2">M53</f>
        <v>90000</v>
      </c>
      <c r="T53" s="9">
        <f t="shared" si="1"/>
        <v>0</v>
      </c>
    </row>
    <row r="54" spans="1:20" ht="15.75" customHeight="1" x14ac:dyDescent="0.3">
      <c r="A54" s="10">
        <v>45513</v>
      </c>
      <c r="B54" s="2" t="s">
        <v>572</v>
      </c>
      <c r="C54" s="2" t="s">
        <v>573</v>
      </c>
      <c r="D54" s="2" t="s">
        <v>574</v>
      </c>
      <c r="E54" s="9">
        <v>105000</v>
      </c>
      <c r="F54" s="10">
        <v>45543</v>
      </c>
      <c r="G54" s="6">
        <v>45527</v>
      </c>
      <c r="H54" s="9">
        <v>105000</v>
      </c>
      <c r="I54" s="9">
        <f t="shared" si="0"/>
        <v>0</v>
      </c>
      <c r="J54" s="2" t="s">
        <v>575</v>
      </c>
      <c r="K54" s="2" t="s">
        <v>32</v>
      </c>
      <c r="L54" s="48">
        <v>45528</v>
      </c>
      <c r="M54" s="9">
        <v>105000</v>
      </c>
      <c r="N54" s="9"/>
      <c r="O54" s="9"/>
      <c r="P54" s="9"/>
      <c r="Q54" s="9"/>
      <c r="R54" s="9"/>
      <c r="S54" s="9">
        <f t="shared" si="2"/>
        <v>105000</v>
      </c>
      <c r="T54" s="9">
        <f t="shared" si="1"/>
        <v>0</v>
      </c>
    </row>
    <row r="55" spans="1:20" ht="15.75" customHeight="1" x14ac:dyDescent="0.3">
      <c r="A55" s="10">
        <v>45541</v>
      </c>
      <c r="B55" s="2" t="s">
        <v>576</v>
      </c>
      <c r="C55" s="7" t="s">
        <v>20</v>
      </c>
      <c r="D55" s="2" t="s">
        <v>577</v>
      </c>
      <c r="E55" s="9">
        <v>100000</v>
      </c>
      <c r="F55" s="10">
        <v>45541</v>
      </c>
      <c r="G55" s="6">
        <v>45751</v>
      </c>
      <c r="H55" s="9">
        <v>100000</v>
      </c>
      <c r="I55" s="9">
        <f t="shared" si="0"/>
        <v>0</v>
      </c>
      <c r="J55" s="2" t="s">
        <v>189</v>
      </c>
      <c r="K55" s="2" t="s">
        <v>22</v>
      </c>
      <c r="L55" s="11">
        <v>45536</v>
      </c>
      <c r="M55" s="9">
        <v>100000</v>
      </c>
      <c r="N55" s="9">
        <v>100000</v>
      </c>
      <c r="O55" s="9"/>
      <c r="P55" s="9"/>
      <c r="Q55" s="9"/>
      <c r="R55" s="9"/>
      <c r="S55" s="9"/>
      <c r="T55" s="9">
        <f t="shared" si="1"/>
        <v>0</v>
      </c>
    </row>
    <row r="56" spans="1:20" ht="15.75" customHeight="1" x14ac:dyDescent="0.3">
      <c r="A56" s="10">
        <v>45541</v>
      </c>
      <c r="B56" s="2" t="s">
        <v>578</v>
      </c>
      <c r="C56" s="7" t="s">
        <v>24</v>
      </c>
      <c r="D56" s="2" t="s">
        <v>579</v>
      </c>
      <c r="E56" s="9">
        <v>49000</v>
      </c>
      <c r="F56" s="10">
        <v>45544</v>
      </c>
      <c r="H56" s="9"/>
      <c r="I56" s="9">
        <f t="shared" si="0"/>
        <v>49000</v>
      </c>
      <c r="K56" s="2" t="s">
        <v>27</v>
      </c>
      <c r="L56" s="11">
        <v>45536</v>
      </c>
      <c r="M56" s="9"/>
      <c r="N56" s="9"/>
      <c r="O56" s="9"/>
      <c r="P56" s="9"/>
      <c r="Q56" s="9"/>
      <c r="R56" s="9"/>
      <c r="S56" s="9"/>
      <c r="T56" s="9">
        <f t="shared" si="1"/>
        <v>0</v>
      </c>
    </row>
    <row r="57" spans="1:20" ht="15.75" customHeight="1" x14ac:dyDescent="0.3">
      <c r="A57" s="10">
        <v>45541</v>
      </c>
      <c r="B57" s="2" t="s">
        <v>580</v>
      </c>
      <c r="C57" s="2" t="s">
        <v>198</v>
      </c>
      <c r="D57" s="2" t="s">
        <v>581</v>
      </c>
      <c r="E57" s="9">
        <v>2500</v>
      </c>
      <c r="F57" s="10">
        <v>45541</v>
      </c>
      <c r="G57" s="6">
        <v>45538</v>
      </c>
      <c r="H57" s="9">
        <v>2500</v>
      </c>
      <c r="I57" s="9">
        <f t="shared" si="0"/>
        <v>0</v>
      </c>
      <c r="J57" s="13" t="s">
        <v>582</v>
      </c>
      <c r="K57" s="2" t="s">
        <v>27</v>
      </c>
      <c r="L57" s="11">
        <v>45505</v>
      </c>
      <c r="M57" s="9"/>
      <c r="N57" s="9"/>
      <c r="O57" s="9"/>
      <c r="P57" s="9"/>
      <c r="Q57" s="9"/>
      <c r="R57" s="9"/>
      <c r="S57" s="9"/>
      <c r="T57" s="9">
        <f t="shared" si="1"/>
        <v>0</v>
      </c>
    </row>
    <row r="58" spans="1:20" ht="15.75" customHeight="1" x14ac:dyDescent="0.3">
      <c r="A58" s="10">
        <v>45541</v>
      </c>
      <c r="B58" s="2" t="s">
        <v>583</v>
      </c>
      <c r="C58" s="2" t="s">
        <v>584</v>
      </c>
      <c r="D58" s="2" t="s">
        <v>585</v>
      </c>
      <c r="E58" s="9">
        <v>55000</v>
      </c>
      <c r="F58" s="10">
        <v>45541</v>
      </c>
      <c r="G58" s="6">
        <v>45546</v>
      </c>
      <c r="H58" s="9">
        <v>55000</v>
      </c>
      <c r="I58" s="9">
        <f t="shared" si="0"/>
        <v>0</v>
      </c>
      <c r="J58" s="2" t="s">
        <v>544</v>
      </c>
      <c r="K58" s="2" t="s">
        <v>32</v>
      </c>
      <c r="L58" s="11">
        <v>45536</v>
      </c>
      <c r="M58" s="9">
        <f t="shared" ref="M58:M59" si="3">E58</f>
        <v>55000</v>
      </c>
      <c r="N58" s="9"/>
      <c r="O58" s="9"/>
      <c r="P58" s="9"/>
      <c r="Q58" s="9">
        <f>M58</f>
        <v>55000</v>
      </c>
      <c r="R58" s="9"/>
      <c r="S58" s="9"/>
      <c r="T58" s="9">
        <f t="shared" si="1"/>
        <v>0</v>
      </c>
    </row>
    <row r="59" spans="1:20" ht="15.75" customHeight="1" x14ac:dyDescent="0.3">
      <c r="A59" s="10">
        <v>45546</v>
      </c>
      <c r="B59" s="2" t="s">
        <v>586</v>
      </c>
      <c r="C59" s="2" t="s">
        <v>587</v>
      </c>
      <c r="D59" s="2" t="s">
        <v>588</v>
      </c>
      <c r="E59" s="9">
        <v>5000</v>
      </c>
      <c r="F59" s="10">
        <v>45546</v>
      </c>
      <c r="G59" s="6">
        <v>45540</v>
      </c>
      <c r="H59" s="9">
        <v>5000</v>
      </c>
      <c r="I59" s="9">
        <f t="shared" si="0"/>
        <v>0</v>
      </c>
      <c r="J59" s="2" t="s">
        <v>589</v>
      </c>
      <c r="K59" s="2" t="s">
        <v>32</v>
      </c>
      <c r="L59" s="11">
        <v>45505</v>
      </c>
      <c r="M59" s="9">
        <f t="shared" si="3"/>
        <v>5000</v>
      </c>
      <c r="N59" s="9"/>
      <c r="O59" s="9"/>
      <c r="P59" s="9"/>
      <c r="Q59" s="9"/>
      <c r="R59" s="9"/>
      <c r="S59" s="9">
        <f>M59</f>
        <v>5000</v>
      </c>
      <c r="T59" s="9">
        <f t="shared" si="1"/>
        <v>0</v>
      </c>
    </row>
    <row r="60" spans="1:20" ht="15.75" customHeight="1" x14ac:dyDescent="0.3">
      <c r="A60" s="6">
        <v>45566</v>
      </c>
      <c r="B60" s="2" t="s">
        <v>590</v>
      </c>
      <c r="C60" s="7" t="s">
        <v>20</v>
      </c>
      <c r="D60" s="2" t="s">
        <v>591</v>
      </c>
      <c r="E60" s="9">
        <v>100000</v>
      </c>
      <c r="F60" s="6">
        <v>45567</v>
      </c>
      <c r="G60" s="6">
        <v>45751</v>
      </c>
      <c r="H60" s="9">
        <v>100000</v>
      </c>
      <c r="I60" s="9">
        <f t="shared" si="0"/>
        <v>0</v>
      </c>
      <c r="J60" s="2" t="s">
        <v>189</v>
      </c>
      <c r="K60" s="2" t="s">
        <v>22</v>
      </c>
      <c r="L60" s="11">
        <v>45566</v>
      </c>
      <c r="M60" s="9">
        <v>100000</v>
      </c>
      <c r="N60" s="9">
        <f>M60</f>
        <v>100000</v>
      </c>
      <c r="O60" s="9"/>
      <c r="P60" s="9"/>
      <c r="Q60" s="9"/>
      <c r="R60" s="9"/>
      <c r="S60" s="9"/>
      <c r="T60" s="9">
        <f t="shared" si="1"/>
        <v>0</v>
      </c>
    </row>
    <row r="61" spans="1:20" ht="15.75" customHeight="1" x14ac:dyDescent="0.3">
      <c r="A61" s="6">
        <v>45566</v>
      </c>
      <c r="B61" s="2" t="s">
        <v>592</v>
      </c>
      <c r="C61" s="7" t="s">
        <v>24</v>
      </c>
      <c r="D61" s="2" t="s">
        <v>593</v>
      </c>
      <c r="E61" s="9">
        <v>42000</v>
      </c>
      <c r="F61" s="6">
        <v>45567</v>
      </c>
      <c r="G61" s="28">
        <v>45616</v>
      </c>
      <c r="H61" s="9">
        <v>42000</v>
      </c>
      <c r="I61" s="9">
        <f t="shared" si="0"/>
        <v>0</v>
      </c>
      <c r="J61" s="2" t="s">
        <v>594</v>
      </c>
      <c r="K61" s="2" t="s">
        <v>27</v>
      </c>
      <c r="L61" s="11">
        <v>45566</v>
      </c>
      <c r="M61" s="9"/>
      <c r="N61" s="9"/>
      <c r="O61" s="9"/>
      <c r="P61" s="9"/>
      <c r="Q61" s="9"/>
      <c r="R61" s="9"/>
      <c r="S61" s="9"/>
      <c r="T61" s="9">
        <f t="shared" si="1"/>
        <v>0</v>
      </c>
    </row>
    <row r="62" spans="1:20" ht="15.75" customHeight="1" x14ac:dyDescent="0.3">
      <c r="A62" s="6">
        <v>45566</v>
      </c>
      <c r="B62" s="2" t="s">
        <v>595</v>
      </c>
      <c r="C62" s="2" t="s">
        <v>198</v>
      </c>
      <c r="D62" s="2" t="s">
        <v>596</v>
      </c>
      <c r="E62" s="9">
        <v>5000</v>
      </c>
      <c r="F62" s="6">
        <v>45566</v>
      </c>
      <c r="G62" s="28">
        <v>45581</v>
      </c>
      <c r="H62" s="9">
        <v>5000</v>
      </c>
      <c r="I62" s="9">
        <f t="shared" si="0"/>
        <v>0</v>
      </c>
      <c r="J62" s="13" t="s">
        <v>597</v>
      </c>
      <c r="K62" s="2" t="s">
        <v>27</v>
      </c>
      <c r="L62" s="11">
        <v>45536</v>
      </c>
      <c r="M62" s="9"/>
      <c r="N62" s="9"/>
      <c r="O62" s="9"/>
      <c r="P62" s="9"/>
      <c r="Q62" s="9"/>
      <c r="R62" s="9"/>
      <c r="S62" s="9"/>
      <c r="T62" s="9">
        <f t="shared" si="1"/>
        <v>0</v>
      </c>
    </row>
    <row r="63" spans="1:20" ht="15.75" customHeight="1" x14ac:dyDescent="0.3">
      <c r="A63" s="6">
        <v>45566</v>
      </c>
      <c r="B63" s="2" t="s">
        <v>598</v>
      </c>
      <c r="C63" s="2" t="s">
        <v>599</v>
      </c>
      <c r="D63" s="2" t="s">
        <v>600</v>
      </c>
      <c r="E63" s="9">
        <v>125000</v>
      </c>
      <c r="F63" s="6">
        <v>45566</v>
      </c>
      <c r="G63" s="6">
        <v>45566</v>
      </c>
      <c r="H63" s="9">
        <v>125000</v>
      </c>
      <c r="I63" s="9">
        <f t="shared" si="0"/>
        <v>0</v>
      </c>
      <c r="J63" s="2" t="s">
        <v>601</v>
      </c>
      <c r="K63" s="2" t="s">
        <v>27</v>
      </c>
      <c r="L63" s="11">
        <v>45566</v>
      </c>
      <c r="M63" s="9"/>
      <c r="N63" s="9"/>
      <c r="O63" s="9"/>
      <c r="P63" s="9"/>
      <c r="Q63" s="9"/>
      <c r="R63" s="9"/>
      <c r="S63" s="9"/>
      <c r="T63" s="9">
        <f t="shared" si="1"/>
        <v>0</v>
      </c>
    </row>
    <row r="64" spans="1:20" ht="15.75" customHeight="1" x14ac:dyDescent="0.3">
      <c r="A64" s="6">
        <v>45566</v>
      </c>
      <c r="B64" s="2" t="s">
        <v>602</v>
      </c>
      <c r="C64" s="2" t="s">
        <v>603</v>
      </c>
      <c r="D64" s="2" t="s">
        <v>604</v>
      </c>
      <c r="E64" s="9">
        <v>9000</v>
      </c>
      <c r="F64" s="6"/>
      <c r="G64" s="6">
        <v>45480</v>
      </c>
      <c r="H64" s="9">
        <v>9000</v>
      </c>
      <c r="I64" s="9">
        <f t="shared" si="0"/>
        <v>0</v>
      </c>
      <c r="K64" s="2" t="s">
        <v>27</v>
      </c>
      <c r="L64" s="11">
        <v>45474</v>
      </c>
      <c r="M64" s="9"/>
      <c r="N64" s="9"/>
      <c r="O64" s="9"/>
      <c r="P64" s="9"/>
      <c r="Q64" s="9">
        <f>M64</f>
        <v>0</v>
      </c>
      <c r="R64" s="9"/>
      <c r="S64" s="9"/>
      <c r="T64" s="9">
        <f t="shared" si="1"/>
        <v>0</v>
      </c>
    </row>
    <row r="65" spans="1:20" ht="15.75" customHeight="1" x14ac:dyDescent="0.3">
      <c r="A65" s="6">
        <v>45566</v>
      </c>
      <c r="B65" s="2" t="s">
        <v>605</v>
      </c>
      <c r="C65" s="2" t="s">
        <v>603</v>
      </c>
      <c r="D65" s="2" t="s">
        <v>606</v>
      </c>
      <c r="E65" s="9">
        <v>9000</v>
      </c>
      <c r="F65" s="9"/>
      <c r="G65" s="6">
        <v>45504</v>
      </c>
      <c r="H65" s="9">
        <v>9000</v>
      </c>
      <c r="I65" s="9">
        <f t="shared" si="0"/>
        <v>0</v>
      </c>
      <c r="K65" s="2" t="s">
        <v>27</v>
      </c>
      <c r="L65" s="48">
        <v>45528</v>
      </c>
      <c r="M65" s="9"/>
      <c r="N65" s="9"/>
      <c r="O65" s="9"/>
      <c r="P65" s="9"/>
      <c r="Q65" s="9"/>
      <c r="R65" s="9"/>
      <c r="S65" s="9"/>
      <c r="T65" s="9">
        <f t="shared" si="1"/>
        <v>0</v>
      </c>
    </row>
    <row r="66" spans="1:20" ht="15.75" customHeight="1" x14ac:dyDescent="0.3">
      <c r="A66" s="6">
        <v>45566</v>
      </c>
      <c r="B66" s="2" t="s">
        <v>607</v>
      </c>
      <c r="C66" s="2" t="s">
        <v>603</v>
      </c>
      <c r="D66" s="2" t="s">
        <v>608</v>
      </c>
      <c r="E66" s="9">
        <v>9000</v>
      </c>
      <c r="F66" s="9"/>
      <c r="G66" s="6">
        <v>45536</v>
      </c>
      <c r="H66" s="9">
        <v>9000</v>
      </c>
      <c r="I66" s="9">
        <f t="shared" si="0"/>
        <v>0</v>
      </c>
      <c r="J66" s="2" t="s">
        <v>609</v>
      </c>
      <c r="K66" s="2" t="s">
        <v>27</v>
      </c>
      <c r="L66" s="11">
        <v>45536</v>
      </c>
      <c r="M66" s="9"/>
      <c r="N66" s="9"/>
      <c r="O66" s="9"/>
      <c r="P66" s="9"/>
      <c r="Q66" s="9"/>
      <c r="R66" s="9"/>
      <c r="S66" s="9"/>
      <c r="T66" s="9">
        <f t="shared" si="1"/>
        <v>0</v>
      </c>
    </row>
    <row r="67" spans="1:20" ht="15.75" customHeight="1" x14ac:dyDescent="0.3">
      <c r="A67" s="6">
        <v>45566</v>
      </c>
      <c r="B67" s="2" t="s">
        <v>610</v>
      </c>
      <c r="C67" s="2" t="s">
        <v>603</v>
      </c>
      <c r="D67" s="2" t="s">
        <v>611</v>
      </c>
      <c r="E67" s="9">
        <v>9000</v>
      </c>
      <c r="F67" s="9"/>
      <c r="G67" s="6">
        <v>45566</v>
      </c>
      <c r="H67" s="9">
        <v>9000</v>
      </c>
      <c r="I67" s="9">
        <f t="shared" si="0"/>
        <v>0</v>
      </c>
      <c r="J67" s="2" t="s">
        <v>612</v>
      </c>
      <c r="K67" s="2" t="s">
        <v>27</v>
      </c>
      <c r="L67" s="11">
        <v>45566</v>
      </c>
      <c r="M67" s="9"/>
      <c r="N67" s="9"/>
      <c r="O67" s="9"/>
      <c r="P67" s="9"/>
      <c r="Q67" s="9"/>
      <c r="R67" s="9"/>
      <c r="S67" s="9"/>
      <c r="T67" s="9">
        <f t="shared" si="1"/>
        <v>0</v>
      </c>
    </row>
    <row r="68" spans="1:20" ht="15.75" customHeight="1" x14ac:dyDescent="0.3">
      <c r="A68" s="6">
        <v>45595</v>
      </c>
      <c r="B68" s="2" t="s">
        <v>613</v>
      </c>
      <c r="C68" s="2" t="s">
        <v>614</v>
      </c>
      <c r="D68" s="2" t="s">
        <v>615</v>
      </c>
      <c r="E68" s="9">
        <v>450000</v>
      </c>
      <c r="F68" s="6">
        <v>45595</v>
      </c>
      <c r="G68" s="6">
        <v>45595</v>
      </c>
      <c r="H68" s="9">
        <f>E68</f>
        <v>450000</v>
      </c>
      <c r="I68" s="9">
        <f t="shared" si="0"/>
        <v>0</v>
      </c>
      <c r="J68" s="2" t="s">
        <v>616</v>
      </c>
      <c r="K68" s="2" t="s">
        <v>32</v>
      </c>
      <c r="L68" s="11">
        <v>45566</v>
      </c>
      <c r="M68" s="9">
        <f>H68</f>
        <v>450000</v>
      </c>
      <c r="N68" s="9"/>
      <c r="O68" s="9"/>
      <c r="P68" s="9">
        <f>M68</f>
        <v>450000</v>
      </c>
      <c r="Q68" s="9"/>
      <c r="R68" s="9"/>
      <c r="S68" s="9"/>
      <c r="T68" s="9">
        <f t="shared" si="1"/>
        <v>0</v>
      </c>
    </row>
    <row r="69" spans="1:20" ht="15.75" customHeight="1" x14ac:dyDescent="0.3">
      <c r="A69" s="6">
        <v>45595</v>
      </c>
      <c r="B69" s="2" t="s">
        <v>617</v>
      </c>
      <c r="C69" s="2" t="s">
        <v>618</v>
      </c>
      <c r="D69" s="2" t="s">
        <v>619</v>
      </c>
      <c r="E69" s="9">
        <v>165000</v>
      </c>
      <c r="F69" s="6">
        <v>45595</v>
      </c>
      <c r="G69" s="6">
        <v>45601</v>
      </c>
      <c r="H69" s="9">
        <v>165000</v>
      </c>
      <c r="I69" s="9">
        <f t="shared" si="0"/>
        <v>0</v>
      </c>
      <c r="J69" s="2" t="s">
        <v>620</v>
      </c>
      <c r="K69" s="2" t="s">
        <v>32</v>
      </c>
      <c r="L69" s="11">
        <v>45566</v>
      </c>
      <c r="M69" s="9">
        <f>E69</f>
        <v>165000</v>
      </c>
      <c r="N69" s="9"/>
      <c r="O69" s="9"/>
      <c r="P69" s="9"/>
      <c r="Q69" s="9"/>
      <c r="R69" s="9"/>
      <c r="S69" s="9">
        <f>M69</f>
        <v>165000</v>
      </c>
      <c r="T69" s="9">
        <f t="shared" si="1"/>
        <v>0</v>
      </c>
    </row>
    <row r="70" spans="1:20" ht="15.75" customHeight="1" x14ac:dyDescent="0.3">
      <c r="A70" s="6">
        <v>45595</v>
      </c>
      <c r="B70" s="2" t="s">
        <v>621</v>
      </c>
      <c r="C70" s="2" t="s">
        <v>198</v>
      </c>
      <c r="D70" s="2" t="s">
        <v>622</v>
      </c>
      <c r="E70" s="9">
        <v>5000</v>
      </c>
      <c r="F70" s="6">
        <v>45595</v>
      </c>
      <c r="G70" s="6">
        <v>45602</v>
      </c>
      <c r="H70" s="9">
        <v>5000</v>
      </c>
      <c r="I70" s="9">
        <f t="shared" si="0"/>
        <v>0</v>
      </c>
      <c r="J70" s="13" t="s">
        <v>623</v>
      </c>
      <c r="K70" s="2" t="s">
        <v>27</v>
      </c>
      <c r="L70" s="11">
        <v>45566</v>
      </c>
      <c r="M70" s="9"/>
      <c r="N70" s="9"/>
      <c r="O70" s="9"/>
      <c r="P70" s="9"/>
      <c r="Q70" s="9"/>
      <c r="R70" s="9"/>
      <c r="S70" s="9"/>
      <c r="T70" s="9">
        <f t="shared" si="1"/>
        <v>0</v>
      </c>
    </row>
    <row r="71" spans="1:20" ht="15.75" customHeight="1" x14ac:dyDescent="0.3">
      <c r="A71" s="6">
        <v>45601</v>
      </c>
      <c r="B71" s="2" t="s">
        <v>624</v>
      </c>
      <c r="C71" s="7" t="s">
        <v>20</v>
      </c>
      <c r="D71" s="2" t="s">
        <v>625</v>
      </c>
      <c r="E71" s="9">
        <v>100000</v>
      </c>
      <c r="F71" s="6">
        <v>45602</v>
      </c>
      <c r="G71" s="6">
        <v>45751</v>
      </c>
      <c r="H71" s="9">
        <v>100000</v>
      </c>
      <c r="I71" s="9">
        <f t="shared" si="0"/>
        <v>0</v>
      </c>
      <c r="J71" s="2" t="s">
        <v>189</v>
      </c>
      <c r="K71" s="2" t="s">
        <v>22</v>
      </c>
      <c r="L71" s="11">
        <v>45598</v>
      </c>
      <c r="M71" s="9">
        <v>100000</v>
      </c>
      <c r="N71" s="9">
        <v>100000</v>
      </c>
      <c r="O71" s="9"/>
      <c r="P71" s="9"/>
      <c r="Q71" s="9"/>
      <c r="R71" s="9"/>
      <c r="S71" s="9"/>
      <c r="T71" s="9">
        <f t="shared" si="1"/>
        <v>0</v>
      </c>
    </row>
    <row r="72" spans="1:20" ht="15.75" customHeight="1" x14ac:dyDescent="0.3">
      <c r="A72" s="6">
        <v>45601</v>
      </c>
      <c r="B72" s="2" t="s">
        <v>626</v>
      </c>
      <c r="C72" s="7" t="s">
        <v>24</v>
      </c>
      <c r="D72" s="2" t="s">
        <v>627</v>
      </c>
      <c r="E72" s="9">
        <v>42000</v>
      </c>
      <c r="F72" s="6">
        <v>45602</v>
      </c>
      <c r="G72" s="28">
        <v>45616</v>
      </c>
      <c r="H72" s="9">
        <v>42000</v>
      </c>
      <c r="I72" s="9">
        <f t="shared" si="0"/>
        <v>0</v>
      </c>
      <c r="J72" s="2" t="s">
        <v>594</v>
      </c>
      <c r="K72" s="2" t="s">
        <v>27</v>
      </c>
      <c r="L72" s="11">
        <v>45598</v>
      </c>
      <c r="M72" s="9"/>
      <c r="N72" s="9"/>
      <c r="O72" s="9"/>
      <c r="P72" s="9"/>
      <c r="Q72" s="9"/>
      <c r="R72" s="9"/>
      <c r="S72" s="9"/>
      <c r="T72" s="9">
        <f t="shared" si="1"/>
        <v>0</v>
      </c>
    </row>
    <row r="73" spans="1:20" ht="15.75" customHeight="1" x14ac:dyDescent="0.3">
      <c r="A73" s="6">
        <v>45601</v>
      </c>
      <c r="B73" s="2" t="s">
        <v>628</v>
      </c>
      <c r="C73" s="2" t="s">
        <v>599</v>
      </c>
      <c r="D73" s="2" t="s">
        <v>629</v>
      </c>
      <c r="E73" s="9">
        <v>50000</v>
      </c>
      <c r="F73" s="6">
        <v>45601</v>
      </c>
      <c r="G73" s="6">
        <v>45597</v>
      </c>
      <c r="H73" s="9">
        <v>50000</v>
      </c>
      <c r="I73" s="9">
        <f t="shared" si="0"/>
        <v>0</v>
      </c>
      <c r="J73" s="2" t="s">
        <v>630</v>
      </c>
      <c r="K73" s="2" t="s">
        <v>27</v>
      </c>
      <c r="L73" s="11">
        <v>45598</v>
      </c>
      <c r="M73" s="9"/>
      <c r="N73" s="9"/>
      <c r="O73" s="9"/>
      <c r="P73" s="9"/>
      <c r="Q73" s="9"/>
      <c r="R73" s="9"/>
      <c r="S73" s="9"/>
      <c r="T73" s="9">
        <f t="shared" si="1"/>
        <v>0</v>
      </c>
    </row>
    <row r="74" spans="1:20" ht="15.75" customHeight="1" x14ac:dyDescent="0.3">
      <c r="A74" s="6">
        <v>45601</v>
      </c>
      <c r="B74" s="2" t="s">
        <v>631</v>
      </c>
      <c r="C74" s="2" t="s">
        <v>632</v>
      </c>
      <c r="D74" s="2" t="s">
        <v>633</v>
      </c>
      <c r="E74" s="9">
        <v>105000</v>
      </c>
      <c r="F74" s="6">
        <v>45601</v>
      </c>
      <c r="G74" s="6">
        <v>45603</v>
      </c>
      <c r="H74" s="9">
        <v>105000</v>
      </c>
      <c r="I74" s="9">
        <f t="shared" si="0"/>
        <v>0</v>
      </c>
      <c r="J74" s="2" t="s">
        <v>634</v>
      </c>
      <c r="K74" s="2" t="s">
        <v>32</v>
      </c>
      <c r="L74" s="11">
        <v>45598</v>
      </c>
      <c r="M74" s="9">
        <v>105000</v>
      </c>
      <c r="N74" s="9"/>
      <c r="O74" s="9"/>
      <c r="P74" s="9"/>
      <c r="Q74" s="9">
        <v>105000</v>
      </c>
      <c r="R74" s="9"/>
      <c r="S74" s="9"/>
      <c r="T74" s="9">
        <f t="shared" si="1"/>
        <v>0</v>
      </c>
    </row>
    <row r="75" spans="1:20" ht="15.75" customHeight="1" x14ac:dyDescent="0.3">
      <c r="A75" s="6">
        <v>45616</v>
      </c>
      <c r="B75" s="2" t="s">
        <v>635</v>
      </c>
      <c r="C75" s="2" t="s">
        <v>636</v>
      </c>
      <c r="D75" s="2" t="s">
        <v>637</v>
      </c>
      <c r="E75" s="9">
        <v>780000</v>
      </c>
      <c r="F75" s="6">
        <v>45616</v>
      </c>
      <c r="G75" s="28">
        <v>45618</v>
      </c>
      <c r="H75" s="9">
        <f>390000+390000</f>
        <v>780000</v>
      </c>
      <c r="I75" s="9">
        <f t="shared" si="0"/>
        <v>0</v>
      </c>
      <c r="J75" s="2" t="s">
        <v>638</v>
      </c>
      <c r="K75" s="2" t="s">
        <v>32</v>
      </c>
      <c r="L75" s="11">
        <v>45598</v>
      </c>
      <c r="M75" s="9">
        <f>E75</f>
        <v>780000</v>
      </c>
      <c r="N75" s="9"/>
      <c r="O75" s="9"/>
      <c r="P75" s="9"/>
      <c r="Q75" s="9">
        <v>390000</v>
      </c>
      <c r="R75" s="9"/>
      <c r="S75" s="9"/>
      <c r="T75" s="9">
        <f t="shared" si="1"/>
        <v>390000</v>
      </c>
    </row>
    <row r="76" spans="1:20" ht="15.75" customHeight="1" x14ac:dyDescent="0.3">
      <c r="A76" s="6">
        <v>45625</v>
      </c>
      <c r="B76" s="2" t="s">
        <v>639</v>
      </c>
      <c r="C76" s="2" t="s">
        <v>640</v>
      </c>
      <c r="D76" s="2" t="s">
        <v>641</v>
      </c>
      <c r="E76" s="9">
        <v>500000</v>
      </c>
      <c r="F76" s="6">
        <v>45625</v>
      </c>
      <c r="G76" s="6">
        <v>45629</v>
      </c>
      <c r="H76" s="9">
        <v>500000</v>
      </c>
      <c r="I76" s="9">
        <f t="shared" si="0"/>
        <v>0</v>
      </c>
      <c r="J76" s="2" t="s">
        <v>642</v>
      </c>
      <c r="K76" s="2" t="s">
        <v>32</v>
      </c>
      <c r="L76" s="11">
        <v>45598</v>
      </c>
      <c r="M76" s="9">
        <v>500000</v>
      </c>
      <c r="N76" s="9"/>
      <c r="O76" s="9"/>
      <c r="P76" s="9">
        <v>500000</v>
      </c>
      <c r="Q76" s="9"/>
      <c r="R76" s="9"/>
      <c r="S76" s="9"/>
      <c r="T76" s="9">
        <f t="shared" si="1"/>
        <v>0</v>
      </c>
    </row>
    <row r="77" spans="1:20" ht="15.75" customHeight="1" x14ac:dyDescent="0.3">
      <c r="A77" s="6">
        <v>45625</v>
      </c>
      <c r="B77" s="2" t="s">
        <v>639</v>
      </c>
      <c r="C77" s="2" t="s">
        <v>643</v>
      </c>
      <c r="D77" s="2" t="s">
        <v>644</v>
      </c>
      <c r="E77" s="9">
        <v>500000</v>
      </c>
      <c r="F77" s="6">
        <v>45625</v>
      </c>
      <c r="G77" s="6">
        <v>45629</v>
      </c>
      <c r="H77" s="9">
        <v>500000</v>
      </c>
      <c r="I77" s="9">
        <f t="shared" si="0"/>
        <v>0</v>
      </c>
      <c r="J77" s="2" t="s">
        <v>645</v>
      </c>
      <c r="K77" s="2" t="s">
        <v>32</v>
      </c>
      <c r="L77" s="11">
        <v>45598</v>
      </c>
      <c r="M77" s="9">
        <v>500000</v>
      </c>
      <c r="N77" s="9"/>
      <c r="O77" s="9"/>
      <c r="P77" s="9">
        <v>500000</v>
      </c>
      <c r="Q77" s="9"/>
      <c r="R77" s="9"/>
      <c r="S77" s="9"/>
      <c r="T77" s="9">
        <f t="shared" si="1"/>
        <v>0</v>
      </c>
    </row>
    <row r="78" spans="1:20" ht="15.75" customHeight="1" x14ac:dyDescent="0.3">
      <c r="A78" s="6">
        <v>45628</v>
      </c>
      <c r="B78" s="2" t="s">
        <v>646</v>
      </c>
      <c r="C78" s="2" t="s">
        <v>647</v>
      </c>
      <c r="D78" s="2" t="s">
        <v>648</v>
      </c>
      <c r="E78" s="9">
        <v>200000</v>
      </c>
      <c r="F78" s="6">
        <v>45628</v>
      </c>
      <c r="G78" s="6">
        <v>45628</v>
      </c>
      <c r="H78" s="9">
        <v>200000</v>
      </c>
      <c r="I78" s="9">
        <f t="shared" si="0"/>
        <v>0</v>
      </c>
      <c r="J78" s="2" t="s">
        <v>649</v>
      </c>
      <c r="K78" s="2" t="s">
        <v>32</v>
      </c>
      <c r="L78" s="11">
        <v>45598</v>
      </c>
      <c r="M78" s="9">
        <v>100000</v>
      </c>
      <c r="N78" s="9"/>
      <c r="O78" s="9"/>
      <c r="P78" s="9">
        <v>100000</v>
      </c>
      <c r="Q78" s="9"/>
      <c r="R78" s="9"/>
      <c r="S78" s="9"/>
      <c r="T78" s="9">
        <f t="shared" si="1"/>
        <v>0</v>
      </c>
    </row>
    <row r="79" spans="1:20" ht="15.75" customHeight="1" x14ac:dyDescent="0.3">
      <c r="A79" s="6">
        <v>45629</v>
      </c>
      <c r="B79" s="2" t="s">
        <v>650</v>
      </c>
      <c r="C79" s="7" t="s">
        <v>20</v>
      </c>
      <c r="D79" s="2" t="s">
        <v>651</v>
      </c>
      <c r="E79" s="9">
        <v>100000</v>
      </c>
      <c r="F79" s="6">
        <v>45629</v>
      </c>
      <c r="G79" s="6">
        <v>45751</v>
      </c>
      <c r="H79" s="9">
        <v>100000</v>
      </c>
      <c r="I79" s="9">
        <f t="shared" si="0"/>
        <v>0</v>
      </c>
      <c r="J79" s="2" t="s">
        <v>189</v>
      </c>
      <c r="K79" s="2" t="s">
        <v>22</v>
      </c>
      <c r="L79" s="11">
        <v>45628</v>
      </c>
      <c r="M79" s="9">
        <v>100000</v>
      </c>
      <c r="N79" s="9">
        <v>100000</v>
      </c>
      <c r="O79" s="9"/>
      <c r="P79" s="9"/>
      <c r="Q79" s="9"/>
      <c r="R79" s="9"/>
      <c r="S79" s="9"/>
      <c r="T79" s="9">
        <f t="shared" si="1"/>
        <v>0</v>
      </c>
    </row>
    <row r="80" spans="1:20" ht="15.75" customHeight="1" x14ac:dyDescent="0.3">
      <c r="A80" s="6">
        <v>45629</v>
      </c>
      <c r="B80" s="2" t="s">
        <v>652</v>
      </c>
      <c r="C80" s="7" t="s">
        <v>24</v>
      </c>
      <c r="D80" s="2" t="s">
        <v>653</v>
      </c>
      <c r="E80" s="9">
        <f>7000*4</f>
        <v>28000</v>
      </c>
      <c r="F80" s="6">
        <v>45629</v>
      </c>
      <c r="G80" s="28">
        <v>45652</v>
      </c>
      <c r="H80" s="9">
        <v>28000</v>
      </c>
      <c r="I80" s="9">
        <f t="shared" si="0"/>
        <v>0</v>
      </c>
      <c r="J80" s="2" t="s">
        <v>654</v>
      </c>
      <c r="K80" s="2" t="s">
        <v>27</v>
      </c>
      <c r="L80" s="11">
        <v>45628</v>
      </c>
      <c r="M80" s="9"/>
      <c r="N80" s="9"/>
      <c r="O80" s="9"/>
      <c r="P80" s="9"/>
      <c r="Q80" s="9"/>
      <c r="R80" s="9"/>
      <c r="S80" s="9"/>
      <c r="T80" s="9">
        <f t="shared" si="1"/>
        <v>0</v>
      </c>
    </row>
    <row r="81" spans="1:20" ht="15.75" customHeight="1" x14ac:dyDescent="0.3">
      <c r="A81" s="6">
        <v>45637</v>
      </c>
      <c r="B81" s="2" t="s">
        <v>655</v>
      </c>
      <c r="C81" s="2" t="s">
        <v>656</v>
      </c>
      <c r="D81" s="2" t="s">
        <v>657</v>
      </c>
      <c r="E81" s="9">
        <v>645000</v>
      </c>
      <c r="F81" s="6">
        <v>45629</v>
      </c>
      <c r="G81" s="6">
        <v>45644</v>
      </c>
      <c r="H81" s="9">
        <v>645000</v>
      </c>
      <c r="I81" s="9">
        <f t="shared" si="0"/>
        <v>0</v>
      </c>
      <c r="J81" s="2" t="s">
        <v>658</v>
      </c>
      <c r="K81" s="2" t="s">
        <v>32</v>
      </c>
      <c r="L81" s="11">
        <v>45628</v>
      </c>
      <c r="M81" s="9">
        <f t="shared" ref="M81:M84" si="4">E81</f>
        <v>645000</v>
      </c>
      <c r="N81" s="9"/>
      <c r="O81" s="9"/>
      <c r="P81" s="9"/>
      <c r="Q81" s="9">
        <f t="shared" ref="Q81:Q82" si="5">M81</f>
        <v>645000</v>
      </c>
      <c r="R81" s="9"/>
      <c r="S81" s="9"/>
      <c r="T81" s="9">
        <f t="shared" si="1"/>
        <v>0</v>
      </c>
    </row>
    <row r="82" spans="1:20" ht="15.75" customHeight="1" x14ac:dyDescent="0.3">
      <c r="A82" s="6">
        <v>45640</v>
      </c>
      <c r="B82" s="2" t="s">
        <v>659</v>
      </c>
      <c r="C82" s="2" t="s">
        <v>660</v>
      </c>
      <c r="D82" s="2" t="s">
        <v>661</v>
      </c>
      <c r="E82" s="9">
        <v>645000</v>
      </c>
      <c r="F82" s="6">
        <v>45640</v>
      </c>
      <c r="G82" s="6">
        <v>45644</v>
      </c>
      <c r="H82" s="9">
        <v>645000</v>
      </c>
      <c r="I82" s="9">
        <f t="shared" si="0"/>
        <v>0</v>
      </c>
      <c r="J82" s="2" t="s">
        <v>662</v>
      </c>
      <c r="K82" s="2" t="s">
        <v>32</v>
      </c>
      <c r="L82" s="11">
        <v>45628</v>
      </c>
      <c r="M82" s="9">
        <f t="shared" si="4"/>
        <v>645000</v>
      </c>
      <c r="N82" s="9"/>
      <c r="O82" s="9"/>
      <c r="P82" s="9"/>
      <c r="Q82" s="9">
        <f t="shared" si="5"/>
        <v>645000</v>
      </c>
      <c r="R82" s="9"/>
      <c r="S82" s="9"/>
      <c r="T82" s="9">
        <f t="shared" si="1"/>
        <v>0</v>
      </c>
    </row>
    <row r="83" spans="1:20" ht="15.75" customHeight="1" x14ac:dyDescent="0.3">
      <c r="A83" s="28">
        <v>45655</v>
      </c>
      <c r="B83" s="2" t="s">
        <v>663</v>
      </c>
      <c r="C83" s="2" t="s">
        <v>151</v>
      </c>
      <c r="D83" s="2" t="s">
        <v>664</v>
      </c>
      <c r="E83" s="9">
        <v>1075000</v>
      </c>
      <c r="F83" s="6">
        <v>45655</v>
      </c>
      <c r="G83" s="6">
        <v>45673</v>
      </c>
      <c r="H83" s="9">
        <v>1075000</v>
      </c>
      <c r="I83" s="9">
        <f t="shared" si="0"/>
        <v>0</v>
      </c>
      <c r="J83" s="2" t="s">
        <v>665</v>
      </c>
      <c r="K83" s="2" t="s">
        <v>32</v>
      </c>
      <c r="L83" s="11">
        <v>45628</v>
      </c>
      <c r="M83" s="9">
        <f t="shared" si="4"/>
        <v>1075000</v>
      </c>
      <c r="N83" s="9"/>
      <c r="O83" s="9"/>
      <c r="P83" s="9"/>
      <c r="Q83" s="9"/>
      <c r="R83" s="9"/>
      <c r="S83" s="9">
        <f>M83</f>
        <v>1075000</v>
      </c>
      <c r="T83" s="9">
        <f t="shared" si="1"/>
        <v>0</v>
      </c>
    </row>
    <row r="84" spans="1:20" ht="15.75" customHeight="1" x14ac:dyDescent="0.3">
      <c r="A84" s="28">
        <v>45655</v>
      </c>
      <c r="B84" s="2" t="s">
        <v>666</v>
      </c>
      <c r="C84" s="2" t="s">
        <v>667</v>
      </c>
      <c r="D84" s="2" t="s">
        <v>668</v>
      </c>
      <c r="E84" s="9">
        <v>390000</v>
      </c>
      <c r="F84" s="6">
        <v>45655</v>
      </c>
      <c r="G84" s="28">
        <v>45652</v>
      </c>
      <c r="H84" s="9">
        <f>195000+55000+90000+25000+5000+20000</f>
        <v>390000</v>
      </c>
      <c r="I84" s="9">
        <f t="shared" si="0"/>
        <v>0</v>
      </c>
      <c r="J84" s="2" t="s">
        <v>669</v>
      </c>
      <c r="K84" s="2" t="s">
        <v>32</v>
      </c>
      <c r="L84" s="11">
        <v>45628</v>
      </c>
      <c r="M84" s="9">
        <f t="shared" si="4"/>
        <v>390000</v>
      </c>
      <c r="N84" s="9"/>
      <c r="O84" s="9"/>
      <c r="P84" s="9">
        <f>M84</f>
        <v>390000</v>
      </c>
      <c r="Q84" s="9"/>
      <c r="R84" s="9"/>
      <c r="S84" s="9"/>
      <c r="T84" s="9">
        <f t="shared" si="1"/>
        <v>0</v>
      </c>
    </row>
    <row r="85" spans="1:20" ht="15.75" customHeight="1" x14ac:dyDescent="0.3">
      <c r="A85" s="6">
        <v>45657</v>
      </c>
      <c r="B85" s="2" t="s">
        <v>670</v>
      </c>
      <c r="C85" s="2" t="s">
        <v>198</v>
      </c>
      <c r="D85" s="2" t="s">
        <v>671</v>
      </c>
      <c r="E85" s="9">
        <v>5000</v>
      </c>
      <c r="F85" s="6">
        <v>45657</v>
      </c>
      <c r="G85" s="6">
        <v>45663</v>
      </c>
      <c r="H85" s="9">
        <v>5000</v>
      </c>
      <c r="I85" s="9">
        <f t="shared" si="0"/>
        <v>0</v>
      </c>
      <c r="J85" s="2" t="s">
        <v>672</v>
      </c>
      <c r="K85" s="2" t="s">
        <v>27</v>
      </c>
      <c r="L85" s="11">
        <v>45628</v>
      </c>
      <c r="M85" s="9"/>
      <c r="N85" s="9"/>
      <c r="O85" s="9"/>
      <c r="P85" s="9"/>
      <c r="Q85" s="9"/>
      <c r="R85" s="9"/>
      <c r="S85" s="9"/>
      <c r="T85" s="9">
        <f t="shared" si="1"/>
        <v>0</v>
      </c>
    </row>
    <row r="86" spans="1:20" ht="15.75" customHeight="1" x14ac:dyDescent="0.3">
      <c r="A86" s="6">
        <v>45657</v>
      </c>
      <c r="B86" s="2" t="s">
        <v>673</v>
      </c>
      <c r="C86" s="2" t="s">
        <v>198</v>
      </c>
      <c r="D86" s="2" t="s">
        <v>674</v>
      </c>
      <c r="E86" s="9">
        <v>2500</v>
      </c>
      <c r="F86" s="6">
        <v>45657</v>
      </c>
      <c r="G86" s="6">
        <v>45631</v>
      </c>
      <c r="H86" s="9">
        <v>2500</v>
      </c>
      <c r="I86" s="9">
        <f t="shared" si="0"/>
        <v>0</v>
      </c>
      <c r="J86" s="2" t="s">
        <v>675</v>
      </c>
      <c r="K86" s="2" t="s">
        <v>27</v>
      </c>
      <c r="L86" s="11">
        <v>45598</v>
      </c>
      <c r="M86" s="9"/>
      <c r="N86" s="9"/>
      <c r="O86" s="9"/>
      <c r="P86" s="9"/>
      <c r="Q86" s="9"/>
      <c r="R86" s="9"/>
      <c r="S86" s="9"/>
      <c r="T86" s="9">
        <f t="shared" si="1"/>
        <v>0</v>
      </c>
    </row>
    <row r="87" spans="1:20" ht="15.75" customHeight="1" x14ac:dyDescent="0.3">
      <c r="E87" s="9"/>
      <c r="F87" s="9"/>
      <c r="H87" s="9"/>
      <c r="I87" s="9">
        <f t="shared" si="0"/>
        <v>0</v>
      </c>
      <c r="M87" s="9"/>
      <c r="N87" s="9"/>
      <c r="O87" s="9"/>
      <c r="P87" s="9"/>
      <c r="Q87" s="9"/>
      <c r="R87" s="9"/>
      <c r="S87" s="9"/>
      <c r="T87" s="9">
        <f t="shared" si="1"/>
        <v>0</v>
      </c>
    </row>
    <row r="88" spans="1:20" ht="15.75" customHeight="1" x14ac:dyDescent="0.3">
      <c r="E88" s="9"/>
      <c r="F88" s="9"/>
      <c r="H88" s="9"/>
      <c r="I88" s="9">
        <f t="shared" si="0"/>
        <v>0</v>
      </c>
      <c r="M88" s="9"/>
      <c r="N88" s="9"/>
      <c r="O88" s="9"/>
      <c r="P88" s="9"/>
      <c r="Q88" s="9"/>
      <c r="R88" s="9"/>
      <c r="S88" s="9"/>
      <c r="T88" s="9">
        <f t="shared" si="1"/>
        <v>0</v>
      </c>
    </row>
    <row r="89" spans="1:20" ht="15.75" customHeight="1" x14ac:dyDescent="0.3">
      <c r="E89" s="9"/>
      <c r="F89" s="9"/>
      <c r="H89" s="9"/>
      <c r="I89" s="9">
        <f t="shared" si="0"/>
        <v>0</v>
      </c>
      <c r="M89" s="9"/>
      <c r="N89" s="9"/>
      <c r="O89" s="9"/>
      <c r="P89" s="9"/>
      <c r="Q89" s="9"/>
      <c r="R89" s="9"/>
      <c r="S89" s="9"/>
      <c r="T89" s="9">
        <f t="shared" si="1"/>
        <v>0</v>
      </c>
    </row>
    <row r="90" spans="1:20" ht="15.75" customHeight="1" x14ac:dyDescent="0.3">
      <c r="E90" s="9"/>
      <c r="F90" s="9"/>
      <c r="H90" s="9"/>
      <c r="I90" s="9">
        <f t="shared" si="0"/>
        <v>0</v>
      </c>
      <c r="M90" s="9"/>
      <c r="N90" s="9"/>
      <c r="O90" s="9"/>
      <c r="P90" s="9"/>
      <c r="Q90" s="9"/>
      <c r="R90" s="9"/>
      <c r="S90" s="9"/>
      <c r="T90" s="9">
        <f t="shared" si="1"/>
        <v>0</v>
      </c>
    </row>
    <row r="91" spans="1:20" ht="15.75" customHeight="1" x14ac:dyDescent="0.3">
      <c r="E91" s="29">
        <f>SUM(E2:E86)</f>
        <v>12863603</v>
      </c>
      <c r="F91" s="9"/>
      <c r="G91" s="9"/>
      <c r="H91" s="29">
        <f t="shared" ref="H91:I91" si="6">SUM(H2:H86)</f>
        <v>12019603</v>
      </c>
      <c r="I91" s="29">
        <f t="shared" si="6"/>
        <v>844000</v>
      </c>
      <c r="J91" s="9"/>
      <c r="K91" s="9"/>
      <c r="L91" s="9"/>
      <c r="M91" s="29">
        <f t="shared" ref="M91:T91" si="7">SUM(M2:M86)</f>
        <v>12077603</v>
      </c>
      <c r="N91" s="29">
        <f t="shared" si="7"/>
        <v>1260103</v>
      </c>
      <c r="O91" s="29">
        <f t="shared" si="7"/>
        <v>700000</v>
      </c>
      <c r="P91" s="29">
        <f t="shared" si="7"/>
        <v>3337500</v>
      </c>
      <c r="Q91" s="29">
        <f t="shared" si="7"/>
        <v>3480000</v>
      </c>
      <c r="R91" s="29">
        <f t="shared" si="7"/>
        <v>0</v>
      </c>
      <c r="S91" s="29">
        <f t="shared" si="7"/>
        <v>2000000</v>
      </c>
      <c r="T91" s="29">
        <f t="shared" si="7"/>
        <v>1300000</v>
      </c>
    </row>
    <row r="92" spans="1:20" ht="15.75" customHeight="1" x14ac:dyDescent="0.3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 ht="15.75" customHeight="1" x14ac:dyDescent="0.3">
      <c r="E93" s="31" t="s">
        <v>181</v>
      </c>
      <c r="F93" s="31" t="s">
        <v>12</v>
      </c>
      <c r="H93" s="31" t="s">
        <v>182</v>
      </c>
      <c r="I93" s="32" t="s">
        <v>183</v>
      </c>
      <c r="M93" s="9" t="s">
        <v>676</v>
      </c>
      <c r="N93" s="9"/>
      <c r="O93" s="9"/>
      <c r="P93" s="9">
        <v>12000000</v>
      </c>
      <c r="Q93" s="9">
        <v>12000000</v>
      </c>
      <c r="R93" s="9">
        <v>12000000</v>
      </c>
      <c r="S93" s="9">
        <v>12000000</v>
      </c>
    </row>
    <row r="94" spans="1:20" ht="15.75" customHeight="1" x14ac:dyDescent="0.3">
      <c r="D94" s="2" t="s">
        <v>32</v>
      </c>
      <c r="E94" s="9">
        <f>SUMIF(K2:K86,D94,E2:E86)</f>
        <v>10802500</v>
      </c>
      <c r="F94" s="9">
        <f>SUMIF(K2:K86,D94,M2:M86)</f>
        <v>10817500</v>
      </c>
      <c r="G94" s="9"/>
      <c r="H94" s="9">
        <f t="shared" ref="H94:I94" si="8">SUMIF($K2:$K86,$D$94,H2:H86)</f>
        <v>10007500</v>
      </c>
      <c r="I94" s="9">
        <f t="shared" si="8"/>
        <v>795000</v>
      </c>
      <c r="M94" s="9" t="s">
        <v>185</v>
      </c>
      <c r="N94" s="9"/>
      <c r="O94" s="9"/>
      <c r="P94" s="9">
        <f t="shared" ref="P94:S94" si="9">P93-P91</f>
        <v>8662500</v>
      </c>
      <c r="Q94" s="9">
        <f t="shared" si="9"/>
        <v>8520000</v>
      </c>
      <c r="R94" s="9">
        <f t="shared" si="9"/>
        <v>12000000</v>
      </c>
      <c r="S94" s="9">
        <f t="shared" si="9"/>
        <v>10000000</v>
      </c>
    </row>
    <row r="95" spans="1:20" ht="15.75" customHeight="1" x14ac:dyDescent="0.3">
      <c r="D95" s="2" t="s">
        <v>22</v>
      </c>
      <c r="E95" s="9">
        <f>SUMIF(K2:K86,D95,E2:E86)</f>
        <v>1260103</v>
      </c>
      <c r="F95" s="9">
        <f>SUMIF(K2:K86,D95,M2:M86)</f>
        <v>1260103</v>
      </c>
      <c r="G95" s="9"/>
      <c r="H95" s="9">
        <f t="shared" ref="H95:I95" si="10">SUMIF($K2:$K86,$D$95,H2:H86)</f>
        <v>1260103</v>
      </c>
      <c r="I95" s="9">
        <f t="shared" si="10"/>
        <v>0</v>
      </c>
      <c r="M95" s="9" t="s">
        <v>186</v>
      </c>
      <c r="N95" s="9"/>
      <c r="O95" s="9"/>
      <c r="P95" s="33">
        <f t="shared" ref="P95:S95" si="11">P91/P93</f>
        <v>0.27812500000000001</v>
      </c>
      <c r="Q95" s="33">
        <f t="shared" si="11"/>
        <v>0.28999999999999998</v>
      </c>
      <c r="R95" s="33">
        <f t="shared" si="11"/>
        <v>0</v>
      </c>
      <c r="S95" s="33">
        <f t="shared" si="11"/>
        <v>0.16666666666666666</v>
      </c>
    </row>
    <row r="96" spans="1:20" ht="15.75" customHeight="1" x14ac:dyDescent="0.3">
      <c r="D96" s="2" t="s">
        <v>27</v>
      </c>
      <c r="E96" s="9">
        <f>SUMIF(K2:K86,D96,E2:E86)</f>
        <v>801000</v>
      </c>
      <c r="F96" s="9"/>
      <c r="G96" s="9"/>
      <c r="H96" s="9">
        <f t="shared" ref="H96:I96" si="12">SUMIF($K2:$K86,$D$96,H2:H86)</f>
        <v>752000</v>
      </c>
      <c r="I96" s="9">
        <f t="shared" si="12"/>
        <v>49000</v>
      </c>
      <c r="M96" s="9"/>
      <c r="N96" s="9"/>
      <c r="O96" s="9"/>
      <c r="P96" s="9"/>
      <c r="Q96" s="9"/>
      <c r="R96" s="9"/>
      <c r="S96" s="9"/>
    </row>
    <row r="97" spans="5:19" ht="15.75" customHeight="1" x14ac:dyDescent="0.3">
      <c r="E97" s="29">
        <f t="shared" ref="E97:F97" si="13">SUM(E94:E96)</f>
        <v>12863603</v>
      </c>
      <c r="F97" s="29">
        <f t="shared" si="13"/>
        <v>12077603</v>
      </c>
      <c r="G97" s="9"/>
      <c r="H97" s="9">
        <f>SUMIF($K2:$K93,$D$94,H2:H93)</f>
        <v>10007500</v>
      </c>
      <c r="I97" s="29">
        <f>SUM(I94:I96)</f>
        <v>844000</v>
      </c>
      <c r="M97" s="9"/>
      <c r="N97" s="9"/>
      <c r="O97" s="9"/>
      <c r="P97" s="9"/>
      <c r="Q97" s="9"/>
      <c r="R97" s="9"/>
      <c r="S97" s="9"/>
    </row>
    <row r="98" spans="5:19" ht="15.75" customHeight="1" x14ac:dyDescent="0.3">
      <c r="E98" s="9">
        <f>E91-E97</f>
        <v>0</v>
      </c>
      <c r="F98" s="9">
        <f>F97-T91</f>
        <v>10777603</v>
      </c>
      <c r="G98" s="9"/>
      <c r="H98" s="9">
        <f>SUMIF($K2:$K94,$D$94,H2:H94)</f>
        <v>10007500</v>
      </c>
      <c r="I98" s="9">
        <f>I91-I97</f>
        <v>0</v>
      </c>
      <c r="M98" s="9"/>
      <c r="N98" s="9"/>
      <c r="O98" s="9"/>
      <c r="P98" s="9"/>
      <c r="Q98" s="9"/>
      <c r="R98" s="9"/>
      <c r="S98" s="9"/>
    </row>
    <row r="99" spans="5:19" ht="15.75" customHeight="1" x14ac:dyDescent="0.3">
      <c r="E99" s="9"/>
      <c r="F99" s="9"/>
      <c r="G99" s="9"/>
      <c r="H99" s="9"/>
      <c r="M99" s="9"/>
      <c r="N99" s="9"/>
      <c r="O99" s="9"/>
      <c r="P99" s="9"/>
      <c r="Q99" s="9"/>
      <c r="R99" s="9"/>
      <c r="S99" s="9"/>
    </row>
    <row r="100" spans="5:19" ht="15.75" customHeight="1" x14ac:dyDescent="0.3">
      <c r="E100" s="9"/>
      <c r="F100" s="9"/>
      <c r="H100" s="9"/>
      <c r="M100" s="9"/>
      <c r="N100" s="9"/>
      <c r="O100" s="9"/>
      <c r="P100" s="9"/>
      <c r="Q100" s="9"/>
      <c r="R100" s="9"/>
      <c r="S100" s="9"/>
    </row>
    <row r="101" spans="5:19" ht="15.75" customHeight="1" x14ac:dyDescent="0.3">
      <c r="E101" s="9"/>
      <c r="F101" s="9"/>
      <c r="H101" s="9"/>
      <c r="M101" s="9"/>
      <c r="N101" s="9"/>
      <c r="O101" s="9"/>
      <c r="P101" s="9"/>
      <c r="Q101" s="9"/>
      <c r="R101" s="9"/>
      <c r="S101" s="9"/>
    </row>
    <row r="102" spans="5:19" ht="15.75" customHeight="1" x14ac:dyDescent="0.3">
      <c r="E102" s="9"/>
      <c r="F102" s="9"/>
      <c r="H102" s="9"/>
      <c r="M102" s="9"/>
      <c r="N102" s="9"/>
      <c r="O102" s="9"/>
      <c r="P102" s="9"/>
      <c r="Q102" s="9"/>
      <c r="R102" s="9"/>
      <c r="S102" s="9"/>
    </row>
    <row r="103" spans="5:19" ht="15.75" customHeight="1" x14ac:dyDescent="0.3">
      <c r="E103" s="9"/>
      <c r="F103" s="9"/>
      <c r="H103" s="9"/>
      <c r="M103" s="9"/>
      <c r="N103" s="9"/>
      <c r="O103" s="9"/>
      <c r="P103" s="9"/>
      <c r="Q103" s="9"/>
      <c r="R103" s="9"/>
      <c r="S103" s="9"/>
    </row>
    <row r="104" spans="5:19" ht="15.75" customHeight="1" x14ac:dyDescent="0.3">
      <c r="E104" s="9"/>
      <c r="F104" s="9"/>
      <c r="H104" s="9"/>
      <c r="M104" s="9"/>
      <c r="N104" s="9"/>
      <c r="O104" s="9"/>
      <c r="P104" s="9"/>
      <c r="Q104" s="9"/>
      <c r="R104" s="9"/>
      <c r="S104" s="9"/>
    </row>
    <row r="105" spans="5:19" ht="15.75" customHeight="1" x14ac:dyDescent="0.3">
      <c r="E105" s="9"/>
      <c r="F105" s="9"/>
      <c r="H105" s="9"/>
      <c r="M105" s="9"/>
      <c r="N105" s="9"/>
      <c r="O105" s="9"/>
      <c r="P105" s="9"/>
      <c r="Q105" s="9"/>
      <c r="R105" s="9"/>
      <c r="S105" s="9"/>
    </row>
    <row r="106" spans="5:19" ht="15.75" customHeight="1" x14ac:dyDescent="0.3">
      <c r="E106" s="9"/>
      <c r="F106" s="9"/>
      <c r="H106" s="9"/>
      <c r="M106" s="9"/>
      <c r="N106" s="9"/>
      <c r="O106" s="9"/>
      <c r="P106" s="9"/>
      <c r="Q106" s="9"/>
      <c r="R106" s="9"/>
      <c r="S106" s="9"/>
    </row>
    <row r="107" spans="5:19" ht="15.75" customHeight="1" x14ac:dyDescent="0.3">
      <c r="E107" s="9"/>
      <c r="F107" s="9"/>
      <c r="H107" s="9"/>
      <c r="M107" s="9"/>
      <c r="N107" s="9"/>
      <c r="O107" s="9"/>
      <c r="P107" s="9"/>
      <c r="Q107" s="9"/>
      <c r="R107" s="9"/>
      <c r="S107" s="9"/>
    </row>
    <row r="108" spans="5:19" ht="15.75" customHeight="1" x14ac:dyDescent="0.3">
      <c r="E108" s="9"/>
      <c r="F108" s="9"/>
      <c r="H108" s="9"/>
      <c r="M108" s="9"/>
      <c r="N108" s="9"/>
      <c r="O108" s="9"/>
      <c r="P108" s="9"/>
      <c r="Q108" s="9"/>
      <c r="R108" s="9"/>
      <c r="S108" s="9"/>
    </row>
    <row r="109" spans="5:19" ht="15.75" customHeight="1" x14ac:dyDescent="0.3">
      <c r="E109" s="9"/>
      <c r="F109" s="9"/>
      <c r="H109" s="9"/>
      <c r="M109" s="9"/>
      <c r="N109" s="9"/>
      <c r="O109" s="9"/>
      <c r="P109" s="9"/>
      <c r="Q109" s="9"/>
      <c r="R109" s="9"/>
      <c r="S109" s="9"/>
    </row>
    <row r="110" spans="5:19" ht="15.75" customHeight="1" x14ac:dyDescent="0.3">
      <c r="E110" s="9"/>
      <c r="F110" s="9"/>
      <c r="H110" s="9"/>
      <c r="M110" s="9"/>
      <c r="N110" s="9"/>
      <c r="O110" s="9"/>
      <c r="P110" s="9"/>
      <c r="Q110" s="9"/>
      <c r="R110" s="9"/>
      <c r="S110" s="9"/>
    </row>
    <row r="111" spans="5:19" ht="15.75" customHeight="1" x14ac:dyDescent="0.3">
      <c r="E111" s="9"/>
      <c r="F111" s="9"/>
      <c r="H111" s="9"/>
      <c r="M111" s="9"/>
      <c r="N111" s="9"/>
      <c r="O111" s="9"/>
      <c r="P111" s="9"/>
      <c r="Q111" s="9"/>
      <c r="R111" s="9"/>
      <c r="S111" s="9"/>
    </row>
    <row r="112" spans="5:19" ht="15.75" customHeight="1" x14ac:dyDescent="0.3">
      <c r="E112" s="9"/>
      <c r="F112" s="9"/>
      <c r="H112" s="9"/>
      <c r="M112" s="9"/>
      <c r="N112" s="9"/>
      <c r="O112" s="9"/>
      <c r="P112" s="9"/>
      <c r="Q112" s="9"/>
      <c r="R112" s="9"/>
      <c r="S112" s="9"/>
    </row>
    <row r="113" spans="5:19" ht="15.75" customHeight="1" x14ac:dyDescent="0.3">
      <c r="E113" s="9"/>
      <c r="F113" s="9"/>
      <c r="H113" s="9"/>
      <c r="M113" s="9"/>
      <c r="N113" s="9"/>
      <c r="O113" s="9"/>
      <c r="P113" s="9"/>
      <c r="Q113" s="9"/>
      <c r="R113" s="9"/>
      <c r="S113" s="9"/>
    </row>
    <row r="114" spans="5:19" ht="15.75" customHeight="1" x14ac:dyDescent="0.3">
      <c r="E114" s="9"/>
      <c r="F114" s="9"/>
      <c r="H114" s="9"/>
      <c r="M114" s="9"/>
      <c r="N114" s="9"/>
      <c r="O114" s="9"/>
      <c r="P114" s="9"/>
      <c r="Q114" s="9"/>
      <c r="R114" s="9"/>
      <c r="S114" s="9"/>
    </row>
    <row r="115" spans="5:19" ht="15.75" customHeight="1" x14ac:dyDescent="0.3">
      <c r="E115" s="9"/>
      <c r="F115" s="9"/>
      <c r="H115" s="9"/>
      <c r="M115" s="9"/>
      <c r="N115" s="9"/>
      <c r="O115" s="9"/>
      <c r="P115" s="9"/>
      <c r="Q115" s="9"/>
      <c r="R115" s="9"/>
      <c r="S115" s="9"/>
    </row>
    <row r="116" spans="5:19" ht="15.75" customHeight="1" x14ac:dyDescent="0.3">
      <c r="E116" s="9"/>
      <c r="F116" s="9"/>
      <c r="H116" s="9"/>
      <c r="M116" s="9"/>
      <c r="N116" s="9"/>
      <c r="O116" s="9"/>
      <c r="P116" s="9"/>
      <c r="Q116" s="9"/>
      <c r="R116" s="9"/>
      <c r="S116" s="9"/>
    </row>
    <row r="117" spans="5:19" ht="15.75" customHeight="1" x14ac:dyDescent="0.3">
      <c r="E117" s="9"/>
      <c r="F117" s="9"/>
      <c r="H117" s="9"/>
      <c r="M117" s="9"/>
      <c r="N117" s="9"/>
      <c r="O117" s="9"/>
      <c r="P117" s="9"/>
      <c r="Q117" s="9"/>
      <c r="R117" s="9"/>
      <c r="S117" s="9"/>
    </row>
    <row r="118" spans="5:19" ht="15.75" customHeight="1" x14ac:dyDescent="0.3">
      <c r="E118" s="9"/>
      <c r="F118" s="9"/>
      <c r="H118" s="9"/>
      <c r="M118" s="9"/>
      <c r="N118" s="9"/>
      <c r="O118" s="9"/>
      <c r="P118" s="9"/>
      <c r="Q118" s="9"/>
      <c r="R118" s="9"/>
      <c r="S118" s="9"/>
    </row>
    <row r="119" spans="5:19" ht="15.75" customHeight="1" x14ac:dyDescent="0.3">
      <c r="E119" s="9"/>
      <c r="F119" s="9"/>
      <c r="H119" s="9"/>
      <c r="M119" s="9"/>
      <c r="N119" s="9"/>
      <c r="O119" s="9"/>
      <c r="P119" s="9"/>
      <c r="Q119" s="9"/>
      <c r="R119" s="9"/>
      <c r="S119" s="9"/>
    </row>
    <row r="120" spans="5:19" ht="15.75" customHeight="1" x14ac:dyDescent="0.3">
      <c r="E120" s="9"/>
      <c r="F120" s="9"/>
      <c r="H120" s="9"/>
      <c r="M120" s="9"/>
      <c r="N120" s="9"/>
      <c r="O120" s="9"/>
      <c r="P120" s="9"/>
      <c r="Q120" s="9"/>
      <c r="R120" s="9"/>
      <c r="S120" s="9"/>
    </row>
    <row r="121" spans="5:19" ht="15.75" customHeight="1" x14ac:dyDescent="0.3">
      <c r="E121" s="9"/>
      <c r="F121" s="9"/>
      <c r="H121" s="9"/>
      <c r="M121" s="9"/>
      <c r="N121" s="9"/>
      <c r="O121" s="9"/>
      <c r="P121" s="9"/>
      <c r="Q121" s="9"/>
      <c r="R121" s="9"/>
      <c r="S121" s="9"/>
    </row>
    <row r="122" spans="5:19" ht="15.75" customHeight="1" x14ac:dyDescent="0.3">
      <c r="E122" s="9"/>
      <c r="F122" s="9"/>
      <c r="H122" s="9"/>
      <c r="M122" s="9"/>
      <c r="N122" s="9"/>
      <c r="O122" s="9"/>
      <c r="P122" s="9"/>
      <c r="Q122" s="9"/>
      <c r="R122" s="9"/>
      <c r="S122" s="9"/>
    </row>
    <row r="123" spans="5:19" ht="15.75" customHeight="1" x14ac:dyDescent="0.3">
      <c r="E123" s="9"/>
      <c r="F123" s="9"/>
      <c r="H123" s="9"/>
      <c r="M123" s="9"/>
      <c r="N123" s="9"/>
      <c r="O123" s="9"/>
      <c r="P123" s="9"/>
      <c r="Q123" s="9"/>
      <c r="R123" s="9"/>
      <c r="S123" s="9"/>
    </row>
    <row r="124" spans="5:19" ht="15.75" customHeight="1" x14ac:dyDescent="0.3">
      <c r="E124" s="9"/>
      <c r="F124" s="9"/>
      <c r="H124" s="9"/>
      <c r="M124" s="9"/>
      <c r="N124" s="9"/>
      <c r="O124" s="9"/>
      <c r="P124" s="9"/>
      <c r="Q124" s="9"/>
      <c r="R124" s="9"/>
      <c r="S124" s="9"/>
    </row>
    <row r="125" spans="5:19" ht="15.75" customHeight="1" x14ac:dyDescent="0.3">
      <c r="E125" s="9"/>
      <c r="F125" s="9"/>
      <c r="H125" s="9"/>
      <c r="M125" s="9"/>
      <c r="N125" s="9"/>
      <c r="O125" s="9"/>
      <c r="P125" s="9"/>
      <c r="Q125" s="9"/>
      <c r="R125" s="9"/>
      <c r="S125" s="9"/>
    </row>
    <row r="126" spans="5:19" ht="15.75" customHeight="1" x14ac:dyDescent="0.3">
      <c r="E126" s="9"/>
      <c r="F126" s="9"/>
      <c r="H126" s="9"/>
      <c r="M126" s="9"/>
      <c r="N126" s="9"/>
      <c r="O126" s="9"/>
      <c r="P126" s="9"/>
      <c r="Q126" s="9"/>
      <c r="R126" s="9"/>
      <c r="S126" s="9"/>
    </row>
    <row r="127" spans="5:19" ht="15.75" customHeight="1" x14ac:dyDescent="0.3">
      <c r="E127" s="9"/>
      <c r="F127" s="9"/>
      <c r="H127" s="9"/>
      <c r="M127" s="9"/>
      <c r="N127" s="9"/>
      <c r="O127" s="9"/>
      <c r="P127" s="9"/>
      <c r="Q127" s="9"/>
      <c r="R127" s="9"/>
      <c r="S127" s="9"/>
    </row>
    <row r="128" spans="5:19" ht="15.75" customHeight="1" x14ac:dyDescent="0.3">
      <c r="E128" s="9"/>
      <c r="F128" s="9"/>
      <c r="H128" s="9"/>
      <c r="M128" s="9"/>
      <c r="N128" s="9"/>
      <c r="O128" s="9"/>
      <c r="P128" s="9"/>
      <c r="Q128" s="9"/>
      <c r="R128" s="9"/>
      <c r="S128" s="9"/>
    </row>
    <row r="129" spans="5:19" ht="15.75" customHeight="1" x14ac:dyDescent="0.3">
      <c r="E129" s="9"/>
      <c r="F129" s="9"/>
      <c r="H129" s="9"/>
      <c r="M129" s="9"/>
      <c r="N129" s="9"/>
      <c r="O129" s="9"/>
      <c r="P129" s="9"/>
      <c r="Q129" s="9"/>
      <c r="R129" s="9"/>
      <c r="S129" s="9"/>
    </row>
    <row r="130" spans="5:19" ht="15.75" customHeight="1" x14ac:dyDescent="0.3">
      <c r="E130" s="9"/>
      <c r="F130" s="9"/>
      <c r="H130" s="9"/>
      <c r="M130" s="9"/>
      <c r="N130" s="9"/>
      <c r="O130" s="9"/>
      <c r="P130" s="9"/>
      <c r="Q130" s="9"/>
      <c r="R130" s="9"/>
      <c r="S130" s="9"/>
    </row>
    <row r="131" spans="5:19" ht="15.75" customHeight="1" x14ac:dyDescent="0.3">
      <c r="E131" s="9"/>
      <c r="F131" s="9"/>
      <c r="H131" s="9"/>
      <c r="M131" s="9"/>
      <c r="N131" s="9"/>
      <c r="O131" s="9"/>
      <c r="P131" s="9"/>
      <c r="Q131" s="9"/>
      <c r="R131" s="9"/>
      <c r="S131" s="9"/>
    </row>
    <row r="132" spans="5:19" ht="15.75" customHeight="1" x14ac:dyDescent="0.3">
      <c r="E132" s="9"/>
      <c r="F132" s="9"/>
      <c r="H132" s="9"/>
      <c r="M132" s="9"/>
      <c r="N132" s="9"/>
      <c r="O132" s="9"/>
      <c r="P132" s="9"/>
      <c r="Q132" s="9"/>
      <c r="R132" s="9"/>
      <c r="S132" s="9"/>
    </row>
    <row r="133" spans="5:19" ht="15.75" customHeight="1" x14ac:dyDescent="0.3">
      <c r="E133" s="9"/>
      <c r="F133" s="9"/>
      <c r="H133" s="9"/>
      <c r="M133" s="9"/>
      <c r="N133" s="9"/>
      <c r="O133" s="9"/>
      <c r="P133" s="9"/>
      <c r="Q133" s="9"/>
      <c r="R133" s="9"/>
      <c r="S133" s="9"/>
    </row>
    <row r="134" spans="5:19" ht="15.75" customHeight="1" x14ac:dyDescent="0.3">
      <c r="E134" s="9"/>
      <c r="F134" s="9"/>
      <c r="H134" s="9"/>
      <c r="M134" s="9"/>
      <c r="N134" s="9"/>
      <c r="O134" s="9"/>
      <c r="P134" s="9"/>
      <c r="Q134" s="9"/>
      <c r="R134" s="9"/>
      <c r="S134" s="9"/>
    </row>
    <row r="135" spans="5:19" ht="15.75" customHeight="1" x14ac:dyDescent="0.3">
      <c r="E135" s="9"/>
      <c r="F135" s="9"/>
      <c r="H135" s="9"/>
      <c r="M135" s="9"/>
      <c r="N135" s="9"/>
      <c r="O135" s="9"/>
      <c r="P135" s="9"/>
      <c r="Q135" s="9"/>
      <c r="R135" s="9"/>
      <c r="S135" s="9"/>
    </row>
    <row r="136" spans="5:19" ht="15.75" customHeight="1" x14ac:dyDescent="0.3">
      <c r="E136" s="9"/>
      <c r="F136" s="9"/>
      <c r="H136" s="9"/>
      <c r="M136" s="9"/>
      <c r="N136" s="9"/>
      <c r="O136" s="9"/>
      <c r="P136" s="9"/>
      <c r="Q136" s="9"/>
      <c r="R136" s="9"/>
      <c r="S136" s="9"/>
    </row>
    <row r="137" spans="5:19" ht="15.75" customHeight="1" x14ac:dyDescent="0.3">
      <c r="E137" s="9"/>
      <c r="F137" s="9"/>
      <c r="H137" s="9"/>
      <c r="M137" s="9"/>
      <c r="N137" s="9"/>
      <c r="O137" s="9"/>
      <c r="P137" s="9"/>
      <c r="Q137" s="9"/>
      <c r="R137" s="9"/>
      <c r="S137" s="9"/>
    </row>
    <row r="138" spans="5:19" ht="15.75" customHeight="1" x14ac:dyDescent="0.3">
      <c r="E138" s="9"/>
      <c r="F138" s="9"/>
      <c r="H138" s="9"/>
      <c r="M138" s="9"/>
      <c r="N138" s="9"/>
      <c r="O138" s="9"/>
      <c r="P138" s="9"/>
      <c r="Q138" s="9"/>
      <c r="R138" s="9"/>
      <c r="S138" s="9"/>
    </row>
    <row r="139" spans="5:19" ht="15.75" customHeight="1" x14ac:dyDescent="0.3">
      <c r="E139" s="9"/>
      <c r="F139" s="9"/>
      <c r="H139" s="9"/>
      <c r="M139" s="9"/>
      <c r="N139" s="9"/>
      <c r="O139" s="9"/>
      <c r="P139" s="9"/>
      <c r="Q139" s="9"/>
      <c r="R139" s="9"/>
      <c r="S139" s="9"/>
    </row>
    <row r="140" spans="5:19" ht="15.75" customHeight="1" x14ac:dyDescent="0.3">
      <c r="E140" s="9"/>
      <c r="F140" s="9"/>
      <c r="H140" s="9"/>
      <c r="M140" s="9"/>
      <c r="N140" s="9"/>
      <c r="O140" s="9"/>
      <c r="P140" s="9"/>
      <c r="Q140" s="9"/>
      <c r="R140" s="9"/>
      <c r="S140" s="9"/>
    </row>
    <row r="141" spans="5:19" ht="15.75" customHeight="1" x14ac:dyDescent="0.3">
      <c r="E141" s="9"/>
      <c r="F141" s="9"/>
      <c r="H141" s="9"/>
      <c r="M141" s="9"/>
      <c r="N141" s="9"/>
      <c r="O141" s="9"/>
      <c r="P141" s="9"/>
      <c r="Q141" s="9"/>
      <c r="R141" s="9"/>
      <c r="S141" s="9"/>
    </row>
    <row r="142" spans="5:19" ht="15.75" customHeight="1" x14ac:dyDescent="0.3">
      <c r="E142" s="9"/>
      <c r="F142" s="9"/>
      <c r="H142" s="9"/>
      <c r="M142" s="9"/>
      <c r="N142" s="9"/>
      <c r="O142" s="9"/>
      <c r="P142" s="9"/>
      <c r="Q142" s="9"/>
      <c r="R142" s="9"/>
      <c r="S142" s="9"/>
    </row>
    <row r="143" spans="5:19" ht="15.75" customHeight="1" x14ac:dyDescent="0.3">
      <c r="E143" s="9"/>
      <c r="F143" s="9"/>
      <c r="H143" s="9"/>
      <c r="M143" s="9"/>
      <c r="N143" s="9"/>
      <c r="O143" s="9"/>
      <c r="P143" s="9"/>
      <c r="Q143" s="9"/>
      <c r="R143" s="9"/>
      <c r="S143" s="9"/>
    </row>
    <row r="144" spans="5:19" ht="15.75" customHeight="1" x14ac:dyDescent="0.3">
      <c r="E144" s="9"/>
      <c r="F144" s="9"/>
      <c r="H144" s="9"/>
      <c r="M144" s="9"/>
      <c r="N144" s="9"/>
      <c r="O144" s="9"/>
      <c r="P144" s="9"/>
      <c r="Q144" s="9"/>
      <c r="R144" s="9"/>
      <c r="S144" s="9"/>
    </row>
    <row r="145" spans="5:19" ht="15.75" customHeight="1" x14ac:dyDescent="0.3">
      <c r="E145" s="9"/>
      <c r="F145" s="9"/>
      <c r="H145" s="9"/>
      <c r="M145" s="9"/>
      <c r="N145" s="9"/>
      <c r="O145" s="9"/>
      <c r="P145" s="9"/>
      <c r="Q145" s="9"/>
      <c r="R145" s="9"/>
      <c r="S145" s="9"/>
    </row>
    <row r="146" spans="5:19" ht="15.75" customHeight="1" x14ac:dyDescent="0.3">
      <c r="E146" s="9"/>
      <c r="F146" s="9"/>
      <c r="H146" s="9"/>
      <c r="M146" s="9"/>
      <c r="N146" s="9"/>
      <c r="O146" s="9"/>
      <c r="P146" s="9"/>
      <c r="Q146" s="9"/>
      <c r="R146" s="9"/>
      <c r="S146" s="9"/>
    </row>
    <row r="147" spans="5:19" ht="15.75" customHeight="1" x14ac:dyDescent="0.3">
      <c r="E147" s="9"/>
      <c r="F147" s="9"/>
      <c r="H147" s="9"/>
      <c r="M147" s="9"/>
      <c r="N147" s="9"/>
      <c r="O147" s="9"/>
      <c r="P147" s="9"/>
      <c r="Q147" s="9"/>
      <c r="R147" s="9"/>
      <c r="S147" s="9"/>
    </row>
    <row r="148" spans="5:19" ht="15.75" customHeight="1" x14ac:dyDescent="0.3">
      <c r="E148" s="9"/>
      <c r="F148" s="9"/>
      <c r="H148" s="9"/>
      <c r="M148" s="9"/>
      <c r="N148" s="9"/>
      <c r="O148" s="9"/>
      <c r="P148" s="9"/>
      <c r="Q148" s="9"/>
      <c r="R148" s="9"/>
      <c r="S148" s="9"/>
    </row>
    <row r="149" spans="5:19" ht="15.75" customHeight="1" x14ac:dyDescent="0.3">
      <c r="E149" s="9"/>
      <c r="F149" s="9"/>
      <c r="H149" s="9"/>
      <c r="M149" s="9"/>
      <c r="N149" s="9"/>
      <c r="O149" s="9"/>
      <c r="P149" s="9"/>
      <c r="Q149" s="9"/>
      <c r="R149" s="9"/>
      <c r="S149" s="9"/>
    </row>
    <row r="150" spans="5:19" ht="15.75" customHeight="1" x14ac:dyDescent="0.3">
      <c r="E150" s="9"/>
      <c r="F150" s="9"/>
      <c r="H150" s="9"/>
      <c r="M150" s="9"/>
      <c r="N150" s="9"/>
      <c r="O150" s="9"/>
      <c r="P150" s="9"/>
      <c r="Q150" s="9"/>
      <c r="R150" s="9"/>
      <c r="S150" s="9"/>
    </row>
    <row r="151" spans="5:19" ht="15.75" customHeight="1" x14ac:dyDescent="0.3">
      <c r="E151" s="9"/>
      <c r="F151" s="9"/>
      <c r="H151" s="9"/>
      <c r="M151" s="9"/>
      <c r="N151" s="9"/>
      <c r="O151" s="9"/>
      <c r="P151" s="9"/>
      <c r="Q151" s="9"/>
      <c r="R151" s="9"/>
      <c r="S151" s="9"/>
    </row>
    <row r="152" spans="5:19" ht="15.75" customHeight="1" x14ac:dyDescent="0.3">
      <c r="E152" s="9"/>
      <c r="F152" s="9"/>
      <c r="H152" s="9"/>
      <c r="M152" s="9"/>
      <c r="N152" s="9"/>
      <c r="O152" s="9"/>
      <c r="P152" s="9"/>
      <c r="Q152" s="9"/>
      <c r="R152" s="9"/>
      <c r="S152" s="9"/>
    </row>
    <row r="153" spans="5:19" ht="15.75" customHeight="1" x14ac:dyDescent="0.3">
      <c r="E153" s="9"/>
      <c r="F153" s="9"/>
      <c r="H153" s="9"/>
      <c r="M153" s="9"/>
      <c r="N153" s="9"/>
      <c r="O153" s="9"/>
      <c r="P153" s="9"/>
      <c r="Q153" s="9"/>
      <c r="R153" s="9"/>
      <c r="S153" s="9"/>
    </row>
    <row r="154" spans="5:19" ht="15.75" customHeight="1" x14ac:dyDescent="0.3">
      <c r="E154" s="9"/>
      <c r="F154" s="9"/>
      <c r="H154" s="9"/>
      <c r="M154" s="9"/>
      <c r="N154" s="9"/>
      <c r="O154" s="9"/>
      <c r="P154" s="9"/>
      <c r="Q154" s="9"/>
      <c r="R154" s="9"/>
      <c r="S154" s="9"/>
    </row>
    <row r="155" spans="5:19" ht="15.75" customHeight="1" x14ac:dyDescent="0.3">
      <c r="E155" s="9"/>
      <c r="F155" s="9"/>
      <c r="H155" s="9"/>
      <c r="M155" s="9"/>
      <c r="N155" s="9"/>
      <c r="O155" s="9"/>
      <c r="P155" s="9"/>
      <c r="Q155" s="9"/>
      <c r="R155" s="9"/>
      <c r="S155" s="9"/>
    </row>
    <row r="156" spans="5:19" ht="15.75" customHeight="1" x14ac:dyDescent="0.3">
      <c r="E156" s="9"/>
      <c r="F156" s="9"/>
      <c r="H156" s="9"/>
      <c r="M156" s="9"/>
      <c r="N156" s="9"/>
      <c r="O156" s="9"/>
      <c r="P156" s="9"/>
      <c r="Q156" s="9"/>
      <c r="R156" s="9"/>
      <c r="S156" s="9"/>
    </row>
    <row r="157" spans="5:19" ht="15.75" customHeight="1" x14ac:dyDescent="0.3">
      <c r="E157" s="9"/>
      <c r="F157" s="9"/>
      <c r="H157" s="9"/>
      <c r="M157" s="9"/>
      <c r="N157" s="9"/>
      <c r="O157" s="9"/>
      <c r="P157" s="9"/>
      <c r="Q157" s="9"/>
      <c r="R157" s="9"/>
      <c r="S157" s="9"/>
    </row>
    <row r="158" spans="5:19" ht="15.75" customHeight="1" x14ac:dyDescent="0.3">
      <c r="E158" s="9"/>
      <c r="F158" s="9"/>
      <c r="H158" s="9"/>
      <c r="M158" s="9"/>
      <c r="N158" s="9"/>
      <c r="O158" s="9"/>
      <c r="P158" s="9"/>
      <c r="Q158" s="9"/>
      <c r="R158" s="9"/>
      <c r="S158" s="9"/>
    </row>
    <row r="159" spans="5:19" ht="15.75" customHeight="1" x14ac:dyDescent="0.3">
      <c r="E159" s="9"/>
      <c r="F159" s="9"/>
      <c r="H159" s="9"/>
      <c r="M159" s="9"/>
      <c r="N159" s="9"/>
      <c r="O159" s="9"/>
      <c r="P159" s="9"/>
      <c r="Q159" s="9"/>
      <c r="R159" s="9"/>
      <c r="S159" s="9"/>
    </row>
    <row r="160" spans="5:19" ht="15.75" customHeight="1" x14ac:dyDescent="0.3">
      <c r="E160" s="9"/>
      <c r="F160" s="9"/>
      <c r="H160" s="9"/>
      <c r="M160" s="9"/>
      <c r="N160" s="9"/>
      <c r="O160" s="9"/>
      <c r="P160" s="9"/>
      <c r="Q160" s="9"/>
      <c r="R160" s="9"/>
      <c r="S160" s="9"/>
    </row>
    <row r="161" spans="5:19" ht="15.75" customHeight="1" x14ac:dyDescent="0.3">
      <c r="E161" s="9"/>
      <c r="F161" s="9"/>
      <c r="H161" s="9"/>
      <c r="M161" s="9"/>
      <c r="N161" s="9"/>
      <c r="O161" s="9"/>
      <c r="P161" s="9"/>
      <c r="Q161" s="9"/>
      <c r="R161" s="9"/>
      <c r="S161" s="9"/>
    </row>
    <row r="162" spans="5:19" ht="15.75" customHeight="1" x14ac:dyDescent="0.3">
      <c r="E162" s="9"/>
      <c r="F162" s="9"/>
      <c r="H162" s="9"/>
      <c r="M162" s="9"/>
      <c r="N162" s="9"/>
      <c r="O162" s="9"/>
      <c r="P162" s="9"/>
      <c r="Q162" s="9"/>
      <c r="R162" s="9"/>
      <c r="S162" s="9"/>
    </row>
    <row r="163" spans="5:19" ht="15.75" customHeight="1" x14ac:dyDescent="0.3">
      <c r="E163" s="9"/>
      <c r="F163" s="9"/>
      <c r="H163" s="9"/>
      <c r="M163" s="9"/>
      <c r="N163" s="9"/>
      <c r="O163" s="9"/>
      <c r="P163" s="9"/>
      <c r="Q163" s="9"/>
      <c r="R163" s="9"/>
      <c r="S163" s="9"/>
    </row>
    <row r="164" spans="5:19" ht="15.75" customHeight="1" x14ac:dyDescent="0.3">
      <c r="E164" s="9"/>
      <c r="F164" s="9"/>
      <c r="H164" s="9"/>
      <c r="M164" s="9"/>
      <c r="N164" s="9"/>
      <c r="O164" s="9"/>
      <c r="P164" s="9"/>
      <c r="Q164" s="9"/>
      <c r="R164" s="9"/>
      <c r="S164" s="9"/>
    </row>
    <row r="165" spans="5:19" ht="15.75" customHeight="1" x14ac:dyDescent="0.3">
      <c r="E165" s="9"/>
      <c r="F165" s="9"/>
      <c r="H165" s="9"/>
      <c r="M165" s="9"/>
      <c r="N165" s="9"/>
      <c r="O165" s="9"/>
      <c r="P165" s="9"/>
      <c r="Q165" s="9"/>
      <c r="R165" s="9"/>
      <c r="S165" s="9"/>
    </row>
    <row r="166" spans="5:19" ht="15.75" customHeight="1" x14ac:dyDescent="0.3">
      <c r="E166" s="9"/>
      <c r="F166" s="9"/>
      <c r="H166" s="9"/>
      <c r="M166" s="9"/>
      <c r="N166" s="9"/>
      <c r="O166" s="9"/>
      <c r="P166" s="9"/>
      <c r="Q166" s="9"/>
      <c r="R166" s="9"/>
      <c r="S166" s="9"/>
    </row>
    <row r="167" spans="5:19" ht="15.75" customHeight="1" x14ac:dyDescent="0.3">
      <c r="E167" s="9"/>
      <c r="F167" s="9"/>
      <c r="H167" s="9"/>
      <c r="M167" s="9"/>
      <c r="N167" s="9"/>
      <c r="O167" s="9"/>
      <c r="P167" s="9"/>
      <c r="Q167" s="9"/>
      <c r="R167" s="9"/>
      <c r="S167" s="9"/>
    </row>
    <row r="168" spans="5:19" ht="15.75" customHeight="1" x14ac:dyDescent="0.3">
      <c r="E168" s="9"/>
      <c r="F168" s="9"/>
      <c r="H168" s="9"/>
      <c r="M168" s="9"/>
      <c r="N168" s="9"/>
      <c r="O168" s="9"/>
      <c r="P168" s="9"/>
      <c r="Q168" s="9"/>
      <c r="R168" s="9"/>
      <c r="S168" s="9"/>
    </row>
    <row r="169" spans="5:19" ht="15.75" customHeight="1" x14ac:dyDescent="0.3">
      <c r="E169" s="9"/>
      <c r="F169" s="9"/>
      <c r="H169" s="9"/>
      <c r="M169" s="9"/>
      <c r="N169" s="9"/>
      <c r="O169" s="9"/>
      <c r="P169" s="9"/>
      <c r="Q169" s="9"/>
      <c r="R169" s="9"/>
      <c r="S169" s="9"/>
    </row>
    <row r="170" spans="5:19" ht="15.75" customHeight="1" x14ac:dyDescent="0.3">
      <c r="E170" s="9"/>
      <c r="F170" s="9"/>
      <c r="H170" s="9"/>
      <c r="M170" s="9"/>
      <c r="N170" s="9"/>
      <c r="O170" s="9"/>
      <c r="P170" s="9"/>
      <c r="Q170" s="9"/>
      <c r="R170" s="9"/>
      <c r="S170" s="9"/>
    </row>
    <row r="171" spans="5:19" ht="15.75" customHeight="1" x14ac:dyDescent="0.3">
      <c r="E171" s="9"/>
      <c r="F171" s="9"/>
      <c r="H171" s="9"/>
      <c r="M171" s="9"/>
      <c r="N171" s="9"/>
      <c r="O171" s="9"/>
      <c r="P171" s="9"/>
      <c r="Q171" s="9"/>
      <c r="R171" s="9"/>
      <c r="S171" s="9"/>
    </row>
    <row r="172" spans="5:19" ht="15.75" customHeight="1" x14ac:dyDescent="0.3">
      <c r="E172" s="9"/>
      <c r="F172" s="9"/>
      <c r="H172" s="9"/>
      <c r="M172" s="9"/>
      <c r="N172" s="9"/>
      <c r="O172" s="9"/>
      <c r="P172" s="9"/>
      <c r="Q172" s="9"/>
      <c r="R172" s="9"/>
      <c r="S172" s="9"/>
    </row>
    <row r="173" spans="5:19" ht="15.75" customHeight="1" x14ac:dyDescent="0.3">
      <c r="E173" s="9"/>
      <c r="F173" s="9"/>
      <c r="H173" s="9"/>
      <c r="M173" s="9"/>
      <c r="N173" s="9"/>
      <c r="O173" s="9"/>
      <c r="P173" s="9"/>
      <c r="Q173" s="9"/>
      <c r="R173" s="9"/>
      <c r="S173" s="9"/>
    </row>
    <row r="174" spans="5:19" ht="15.75" customHeight="1" x14ac:dyDescent="0.3">
      <c r="E174" s="9"/>
      <c r="F174" s="9"/>
      <c r="H174" s="9"/>
      <c r="M174" s="9"/>
      <c r="N174" s="9"/>
      <c r="O174" s="9"/>
      <c r="P174" s="9"/>
      <c r="Q174" s="9"/>
      <c r="R174" s="9"/>
      <c r="S174" s="9"/>
    </row>
    <row r="175" spans="5:19" ht="15.75" customHeight="1" x14ac:dyDescent="0.3">
      <c r="E175" s="9"/>
      <c r="F175" s="9"/>
      <c r="H175" s="9"/>
      <c r="M175" s="9"/>
      <c r="N175" s="9"/>
      <c r="O175" s="9"/>
      <c r="P175" s="9"/>
      <c r="Q175" s="9"/>
      <c r="R175" s="9"/>
      <c r="S175" s="9"/>
    </row>
    <row r="176" spans="5:19" ht="15.75" customHeight="1" x14ac:dyDescent="0.3">
      <c r="E176" s="9"/>
      <c r="F176" s="9"/>
      <c r="H176" s="9"/>
      <c r="M176" s="9"/>
      <c r="N176" s="9"/>
      <c r="O176" s="9"/>
      <c r="P176" s="9"/>
      <c r="Q176" s="9"/>
      <c r="R176" s="9"/>
      <c r="S176" s="9"/>
    </row>
    <row r="177" spans="5:19" ht="15.75" customHeight="1" x14ac:dyDescent="0.3">
      <c r="E177" s="9"/>
      <c r="F177" s="9"/>
      <c r="H177" s="9"/>
      <c r="M177" s="9"/>
      <c r="N177" s="9"/>
      <c r="O177" s="9"/>
      <c r="P177" s="9"/>
      <c r="Q177" s="9"/>
      <c r="R177" s="9"/>
      <c r="S177" s="9"/>
    </row>
    <row r="178" spans="5:19" ht="15.75" customHeight="1" x14ac:dyDescent="0.3">
      <c r="E178" s="9"/>
      <c r="F178" s="9"/>
      <c r="H178" s="9"/>
      <c r="M178" s="9"/>
      <c r="N178" s="9"/>
      <c r="O178" s="9"/>
      <c r="P178" s="9"/>
      <c r="Q178" s="9"/>
      <c r="R178" s="9"/>
      <c r="S178" s="9"/>
    </row>
    <row r="179" spans="5:19" ht="15.75" customHeight="1" x14ac:dyDescent="0.3">
      <c r="E179" s="9"/>
      <c r="F179" s="9"/>
      <c r="H179" s="9"/>
      <c r="M179" s="9"/>
      <c r="N179" s="9"/>
      <c r="O179" s="9"/>
      <c r="P179" s="9"/>
      <c r="Q179" s="9"/>
      <c r="R179" s="9"/>
      <c r="S179" s="9"/>
    </row>
    <row r="180" spans="5:19" ht="15.75" customHeight="1" x14ac:dyDescent="0.3">
      <c r="E180" s="9"/>
      <c r="F180" s="9"/>
      <c r="H180" s="9"/>
      <c r="M180" s="9"/>
      <c r="N180" s="9"/>
      <c r="O180" s="9"/>
      <c r="P180" s="9"/>
      <c r="Q180" s="9"/>
      <c r="R180" s="9"/>
      <c r="S180" s="9"/>
    </row>
    <row r="181" spans="5:19" ht="15.75" customHeight="1" x14ac:dyDescent="0.3">
      <c r="E181" s="9"/>
      <c r="F181" s="9"/>
      <c r="H181" s="9"/>
      <c r="M181" s="9"/>
      <c r="N181" s="9"/>
      <c r="O181" s="9"/>
      <c r="P181" s="9"/>
      <c r="Q181" s="9"/>
      <c r="R181" s="9"/>
      <c r="S181" s="9"/>
    </row>
    <row r="182" spans="5:19" ht="15.75" customHeight="1" x14ac:dyDescent="0.3">
      <c r="E182" s="9"/>
      <c r="F182" s="9"/>
      <c r="H182" s="9"/>
      <c r="M182" s="9"/>
      <c r="N182" s="9"/>
      <c r="O182" s="9"/>
      <c r="P182" s="9"/>
      <c r="Q182" s="9"/>
      <c r="R182" s="9"/>
      <c r="S182" s="9"/>
    </row>
    <row r="183" spans="5:19" ht="15.75" customHeight="1" x14ac:dyDescent="0.3">
      <c r="E183" s="9"/>
      <c r="F183" s="9"/>
      <c r="H183" s="9"/>
      <c r="M183" s="9"/>
      <c r="N183" s="9"/>
      <c r="O183" s="9"/>
      <c r="P183" s="9"/>
      <c r="Q183" s="9"/>
      <c r="R183" s="9"/>
      <c r="S183" s="9"/>
    </row>
    <row r="184" spans="5:19" ht="15.75" customHeight="1" x14ac:dyDescent="0.3">
      <c r="E184" s="9"/>
      <c r="F184" s="9"/>
      <c r="H184" s="9"/>
      <c r="M184" s="9"/>
      <c r="N184" s="9"/>
      <c r="O184" s="9"/>
      <c r="P184" s="9"/>
      <c r="Q184" s="9"/>
      <c r="R184" s="9"/>
      <c r="S184" s="9"/>
    </row>
    <row r="185" spans="5:19" ht="15.75" customHeight="1" x14ac:dyDescent="0.3">
      <c r="E185" s="9"/>
      <c r="F185" s="9"/>
      <c r="H185" s="9"/>
      <c r="M185" s="9"/>
      <c r="N185" s="9"/>
      <c r="O185" s="9"/>
      <c r="P185" s="9"/>
      <c r="Q185" s="9"/>
      <c r="R185" s="9"/>
      <c r="S185" s="9"/>
    </row>
    <row r="186" spans="5:19" ht="15.75" customHeight="1" x14ac:dyDescent="0.3">
      <c r="E186" s="9"/>
      <c r="F186" s="9"/>
      <c r="H186" s="9"/>
      <c r="M186" s="9"/>
      <c r="N186" s="9"/>
      <c r="O186" s="9"/>
      <c r="P186" s="9"/>
      <c r="Q186" s="9"/>
      <c r="R186" s="9"/>
      <c r="S186" s="9"/>
    </row>
    <row r="187" spans="5:19" ht="15.75" customHeight="1" x14ac:dyDescent="0.3">
      <c r="E187" s="9"/>
      <c r="F187" s="9"/>
      <c r="H187" s="9"/>
      <c r="M187" s="9"/>
      <c r="N187" s="9"/>
      <c r="O187" s="9"/>
      <c r="P187" s="9"/>
      <c r="Q187" s="9"/>
      <c r="R187" s="9"/>
      <c r="S187" s="9"/>
    </row>
    <row r="188" spans="5:19" ht="15.75" customHeight="1" x14ac:dyDescent="0.3">
      <c r="E188" s="9"/>
      <c r="F188" s="9"/>
      <c r="H188" s="9"/>
      <c r="M188" s="9"/>
      <c r="N188" s="9"/>
      <c r="O188" s="9"/>
      <c r="P188" s="9"/>
      <c r="Q188" s="9"/>
      <c r="R188" s="9"/>
      <c r="S188" s="9"/>
    </row>
    <row r="189" spans="5:19" ht="15.75" customHeight="1" x14ac:dyDescent="0.3">
      <c r="E189" s="9"/>
      <c r="F189" s="9"/>
      <c r="H189" s="9"/>
      <c r="M189" s="9"/>
      <c r="N189" s="9"/>
      <c r="O189" s="9"/>
      <c r="P189" s="9"/>
      <c r="Q189" s="9"/>
      <c r="R189" s="9"/>
      <c r="S189" s="9"/>
    </row>
    <row r="190" spans="5:19" ht="15.75" customHeight="1" x14ac:dyDescent="0.3">
      <c r="E190" s="9"/>
      <c r="F190" s="9"/>
      <c r="H190" s="9"/>
      <c r="M190" s="9"/>
      <c r="N190" s="9"/>
      <c r="O190" s="9"/>
      <c r="P190" s="9"/>
      <c r="Q190" s="9"/>
      <c r="R190" s="9"/>
      <c r="S190" s="9"/>
    </row>
    <row r="191" spans="5:19" ht="15.75" customHeight="1" x14ac:dyDescent="0.3">
      <c r="E191" s="9"/>
      <c r="F191" s="9"/>
      <c r="H191" s="9"/>
      <c r="M191" s="9"/>
      <c r="N191" s="9"/>
      <c r="O191" s="9"/>
      <c r="P191" s="9"/>
      <c r="Q191" s="9"/>
      <c r="R191" s="9"/>
      <c r="S191" s="9"/>
    </row>
    <row r="192" spans="5:19" ht="15.75" customHeight="1" x14ac:dyDescent="0.3">
      <c r="E192" s="9"/>
      <c r="F192" s="9"/>
      <c r="H192" s="9"/>
      <c r="M192" s="9"/>
      <c r="N192" s="9"/>
      <c r="O192" s="9"/>
      <c r="P192" s="9"/>
      <c r="Q192" s="9"/>
      <c r="R192" s="9"/>
      <c r="S192" s="9"/>
    </row>
    <row r="193" spans="5:19" ht="15.75" customHeight="1" x14ac:dyDescent="0.3">
      <c r="E193" s="9"/>
      <c r="F193" s="9"/>
      <c r="H193" s="9"/>
      <c r="M193" s="9"/>
      <c r="N193" s="9"/>
      <c r="O193" s="9"/>
      <c r="P193" s="9"/>
      <c r="Q193" s="9"/>
      <c r="R193" s="9"/>
      <c r="S193" s="9"/>
    </row>
    <row r="194" spans="5:19" ht="15.75" customHeight="1" x14ac:dyDescent="0.3">
      <c r="E194" s="9"/>
      <c r="F194" s="9"/>
      <c r="H194" s="9"/>
      <c r="M194" s="9"/>
      <c r="N194" s="9"/>
      <c r="O194" s="9"/>
      <c r="P194" s="9"/>
      <c r="Q194" s="9"/>
      <c r="R194" s="9"/>
      <c r="S194" s="9"/>
    </row>
    <row r="195" spans="5:19" ht="15.75" customHeight="1" x14ac:dyDescent="0.3">
      <c r="E195" s="9"/>
      <c r="F195" s="9"/>
      <c r="H195" s="9"/>
      <c r="M195" s="9"/>
      <c r="N195" s="9"/>
      <c r="O195" s="9"/>
      <c r="P195" s="9"/>
      <c r="Q195" s="9"/>
      <c r="R195" s="9"/>
      <c r="S195" s="9"/>
    </row>
    <row r="196" spans="5:19" ht="15.75" customHeight="1" x14ac:dyDescent="0.3">
      <c r="E196" s="9"/>
      <c r="F196" s="9"/>
      <c r="H196" s="9"/>
      <c r="M196" s="9"/>
      <c r="N196" s="9"/>
      <c r="O196" s="9"/>
      <c r="P196" s="9"/>
      <c r="Q196" s="9"/>
      <c r="R196" s="9"/>
      <c r="S196" s="9"/>
    </row>
    <row r="197" spans="5:19" ht="15.75" customHeight="1" x14ac:dyDescent="0.3">
      <c r="E197" s="9"/>
      <c r="F197" s="9"/>
      <c r="H197" s="9"/>
      <c r="M197" s="9"/>
      <c r="N197" s="9"/>
      <c r="O197" s="9"/>
      <c r="P197" s="9"/>
      <c r="Q197" s="9"/>
      <c r="R197" s="9"/>
      <c r="S197" s="9"/>
    </row>
    <row r="198" spans="5:19" ht="15.75" customHeight="1" x14ac:dyDescent="0.3">
      <c r="E198" s="9"/>
      <c r="F198" s="9"/>
      <c r="H198" s="9"/>
      <c r="M198" s="9"/>
      <c r="N198" s="9"/>
      <c r="O198" s="9"/>
      <c r="P198" s="9"/>
      <c r="Q198" s="9"/>
      <c r="R198" s="9"/>
      <c r="S198" s="9"/>
    </row>
    <row r="199" spans="5:19" ht="15.75" customHeight="1" x14ac:dyDescent="0.3">
      <c r="E199" s="9"/>
      <c r="F199" s="9"/>
      <c r="H199" s="9"/>
      <c r="M199" s="9"/>
      <c r="N199" s="9"/>
      <c r="O199" s="9"/>
      <c r="P199" s="9"/>
      <c r="Q199" s="9"/>
      <c r="R199" s="9"/>
      <c r="S199" s="9"/>
    </row>
    <row r="200" spans="5:19" ht="15.75" customHeight="1" x14ac:dyDescent="0.3">
      <c r="E200" s="9"/>
      <c r="F200" s="9"/>
      <c r="H200" s="9"/>
      <c r="M200" s="9"/>
      <c r="N200" s="9"/>
      <c r="O200" s="9"/>
      <c r="P200" s="9"/>
      <c r="Q200" s="9"/>
      <c r="R200" s="9"/>
      <c r="S200" s="9"/>
    </row>
    <row r="201" spans="5:19" ht="15.75" customHeight="1" x14ac:dyDescent="0.3">
      <c r="E201" s="9"/>
      <c r="F201" s="9"/>
      <c r="H201" s="9"/>
      <c r="M201" s="9"/>
      <c r="N201" s="9"/>
      <c r="O201" s="9"/>
      <c r="P201" s="9"/>
      <c r="Q201" s="9"/>
      <c r="R201" s="9"/>
      <c r="S201" s="9"/>
    </row>
    <row r="202" spans="5:19" ht="15.75" customHeight="1" x14ac:dyDescent="0.3">
      <c r="E202" s="9"/>
      <c r="F202" s="9"/>
      <c r="H202" s="9"/>
      <c r="M202" s="9"/>
      <c r="N202" s="9"/>
      <c r="O202" s="9"/>
      <c r="P202" s="9"/>
      <c r="Q202" s="9"/>
      <c r="R202" s="9"/>
      <c r="S202" s="9"/>
    </row>
    <row r="203" spans="5:19" ht="15.75" customHeight="1" x14ac:dyDescent="0.3">
      <c r="E203" s="9"/>
      <c r="F203" s="9"/>
      <c r="H203" s="9"/>
      <c r="M203" s="9"/>
      <c r="N203" s="9"/>
      <c r="O203" s="9"/>
      <c r="P203" s="9"/>
      <c r="Q203" s="9"/>
      <c r="R203" s="9"/>
      <c r="S203" s="9"/>
    </row>
    <row r="204" spans="5:19" ht="15.75" customHeight="1" x14ac:dyDescent="0.3">
      <c r="E204" s="9"/>
      <c r="F204" s="9"/>
      <c r="H204" s="9"/>
      <c r="M204" s="9"/>
      <c r="N204" s="9"/>
      <c r="O204" s="9"/>
      <c r="P204" s="9"/>
      <c r="Q204" s="9"/>
      <c r="R204" s="9"/>
      <c r="S204" s="9"/>
    </row>
    <row r="205" spans="5:19" ht="15.75" customHeight="1" x14ac:dyDescent="0.3">
      <c r="E205" s="9"/>
      <c r="F205" s="9"/>
      <c r="H205" s="9"/>
      <c r="M205" s="9"/>
      <c r="N205" s="9"/>
      <c r="O205" s="9"/>
      <c r="P205" s="9"/>
      <c r="Q205" s="9"/>
      <c r="R205" s="9"/>
      <c r="S205" s="9"/>
    </row>
    <row r="206" spans="5:19" ht="15.75" customHeight="1" x14ac:dyDescent="0.3">
      <c r="E206" s="9"/>
      <c r="F206" s="9"/>
      <c r="H206" s="9"/>
      <c r="M206" s="9"/>
      <c r="N206" s="9"/>
      <c r="O206" s="9"/>
      <c r="P206" s="9"/>
      <c r="Q206" s="9"/>
      <c r="R206" s="9"/>
      <c r="S206" s="9"/>
    </row>
    <row r="207" spans="5:19" ht="15.75" customHeight="1" x14ac:dyDescent="0.3">
      <c r="E207" s="9"/>
      <c r="F207" s="9"/>
      <c r="H207" s="9"/>
      <c r="M207" s="9"/>
      <c r="N207" s="9"/>
      <c r="O207" s="9"/>
      <c r="P207" s="9"/>
      <c r="Q207" s="9"/>
      <c r="R207" s="9"/>
      <c r="S207" s="9"/>
    </row>
    <row r="208" spans="5:19" ht="15.75" customHeight="1" x14ac:dyDescent="0.3">
      <c r="E208" s="9"/>
      <c r="F208" s="9"/>
      <c r="H208" s="9"/>
      <c r="M208" s="9"/>
      <c r="N208" s="9"/>
      <c r="O208" s="9"/>
      <c r="P208" s="9"/>
      <c r="Q208" s="9"/>
      <c r="R208" s="9"/>
      <c r="S208" s="9"/>
    </row>
    <row r="209" spans="5:19" ht="15.75" customHeight="1" x14ac:dyDescent="0.3">
      <c r="E209" s="9"/>
      <c r="F209" s="9"/>
      <c r="H209" s="9"/>
      <c r="M209" s="9"/>
      <c r="N209" s="9"/>
      <c r="O209" s="9"/>
      <c r="P209" s="9"/>
      <c r="Q209" s="9"/>
      <c r="R209" s="9"/>
      <c r="S209" s="9"/>
    </row>
    <row r="210" spans="5:19" ht="15.75" customHeight="1" x14ac:dyDescent="0.3">
      <c r="E210" s="9"/>
      <c r="F210" s="9"/>
      <c r="H210" s="9"/>
      <c r="M210" s="9"/>
      <c r="N210" s="9"/>
      <c r="O210" s="9"/>
      <c r="P210" s="9"/>
      <c r="Q210" s="9"/>
      <c r="R210" s="9"/>
      <c r="S210" s="9"/>
    </row>
    <row r="211" spans="5:19" ht="15.75" customHeight="1" x14ac:dyDescent="0.3">
      <c r="E211" s="9"/>
      <c r="F211" s="9"/>
      <c r="H211" s="9"/>
      <c r="M211" s="9"/>
      <c r="N211" s="9"/>
      <c r="O211" s="9"/>
      <c r="P211" s="9"/>
      <c r="Q211" s="9"/>
      <c r="R211" s="9"/>
      <c r="S211" s="9"/>
    </row>
    <row r="212" spans="5:19" ht="15.75" customHeight="1" x14ac:dyDescent="0.3">
      <c r="E212" s="9"/>
      <c r="F212" s="9"/>
      <c r="H212" s="9"/>
      <c r="M212" s="9"/>
      <c r="N212" s="9"/>
      <c r="O212" s="9"/>
      <c r="P212" s="9"/>
      <c r="Q212" s="9"/>
      <c r="R212" s="9"/>
      <c r="S212" s="9"/>
    </row>
    <row r="213" spans="5:19" ht="15.75" customHeight="1" x14ac:dyDescent="0.3">
      <c r="E213" s="9"/>
      <c r="F213" s="9"/>
      <c r="H213" s="9"/>
      <c r="M213" s="9"/>
      <c r="N213" s="9"/>
      <c r="O213" s="9"/>
      <c r="P213" s="9"/>
      <c r="Q213" s="9"/>
      <c r="R213" s="9"/>
      <c r="S213" s="9"/>
    </row>
    <row r="214" spans="5:19" ht="15.75" customHeight="1" x14ac:dyDescent="0.3">
      <c r="E214" s="9"/>
      <c r="F214" s="9"/>
      <c r="H214" s="9"/>
      <c r="M214" s="9"/>
      <c r="N214" s="9"/>
      <c r="O214" s="9"/>
      <c r="P214" s="9"/>
      <c r="Q214" s="9"/>
      <c r="R214" s="9"/>
      <c r="S214" s="9"/>
    </row>
    <row r="215" spans="5:19" ht="15.75" customHeight="1" x14ac:dyDescent="0.3">
      <c r="E215" s="9"/>
      <c r="F215" s="9"/>
      <c r="H215" s="9"/>
      <c r="M215" s="9"/>
      <c r="N215" s="9"/>
      <c r="O215" s="9"/>
      <c r="P215" s="9"/>
      <c r="Q215" s="9"/>
      <c r="R215" s="9"/>
      <c r="S215" s="9"/>
    </row>
    <row r="216" spans="5:19" ht="15.75" customHeight="1" x14ac:dyDescent="0.3">
      <c r="E216" s="9"/>
      <c r="F216" s="9"/>
      <c r="H216" s="9"/>
      <c r="M216" s="9"/>
      <c r="N216" s="9"/>
      <c r="O216" s="9"/>
      <c r="P216" s="9"/>
      <c r="Q216" s="9"/>
      <c r="R216" s="9"/>
      <c r="S216" s="9"/>
    </row>
    <row r="217" spans="5:19" ht="15.75" customHeight="1" x14ac:dyDescent="0.3">
      <c r="E217" s="9"/>
      <c r="F217" s="9"/>
      <c r="H217" s="9"/>
      <c r="M217" s="9"/>
      <c r="N217" s="9"/>
      <c r="O217" s="9"/>
      <c r="P217" s="9"/>
      <c r="Q217" s="9"/>
      <c r="R217" s="9"/>
      <c r="S217" s="9"/>
    </row>
    <row r="218" spans="5:19" ht="15.75" customHeight="1" x14ac:dyDescent="0.3">
      <c r="E218" s="9"/>
      <c r="F218" s="9"/>
      <c r="H218" s="9"/>
      <c r="M218" s="9"/>
      <c r="N218" s="9"/>
      <c r="O218" s="9"/>
      <c r="P218" s="9"/>
      <c r="Q218" s="9"/>
      <c r="R218" s="9"/>
      <c r="S218" s="9"/>
    </row>
    <row r="219" spans="5:19" ht="15.75" customHeight="1" x14ac:dyDescent="0.3">
      <c r="E219" s="9"/>
      <c r="F219" s="9"/>
      <c r="H219" s="9"/>
      <c r="M219" s="9"/>
      <c r="N219" s="9"/>
      <c r="O219" s="9"/>
      <c r="P219" s="9"/>
      <c r="Q219" s="9"/>
      <c r="R219" s="9"/>
      <c r="S219" s="9"/>
    </row>
    <row r="220" spans="5:19" ht="15.75" customHeight="1" x14ac:dyDescent="0.3">
      <c r="E220" s="9"/>
      <c r="F220" s="9"/>
      <c r="H220" s="9"/>
      <c r="M220" s="9"/>
      <c r="N220" s="9"/>
      <c r="O220" s="9"/>
      <c r="P220" s="9"/>
      <c r="Q220" s="9"/>
      <c r="R220" s="9"/>
      <c r="S220" s="9"/>
    </row>
    <row r="221" spans="5:19" ht="15.75" customHeight="1" x14ac:dyDescent="0.3">
      <c r="E221" s="9"/>
      <c r="F221" s="9"/>
      <c r="H221" s="9"/>
      <c r="M221" s="9"/>
      <c r="N221" s="9"/>
      <c r="O221" s="9"/>
      <c r="P221" s="9"/>
      <c r="Q221" s="9"/>
      <c r="R221" s="9"/>
      <c r="S221" s="9"/>
    </row>
    <row r="222" spans="5:19" ht="15.75" customHeight="1" x14ac:dyDescent="0.3">
      <c r="E222" s="9"/>
      <c r="F222" s="9"/>
      <c r="H222" s="9"/>
      <c r="M222" s="9"/>
      <c r="N222" s="9"/>
      <c r="O222" s="9"/>
      <c r="P222" s="9"/>
      <c r="Q222" s="9"/>
      <c r="R222" s="9"/>
      <c r="S222" s="9"/>
    </row>
    <row r="223" spans="5:19" ht="15.75" customHeight="1" x14ac:dyDescent="0.3">
      <c r="E223" s="9"/>
      <c r="F223" s="9"/>
      <c r="H223" s="9"/>
      <c r="M223" s="9"/>
      <c r="N223" s="9"/>
      <c r="O223" s="9"/>
      <c r="P223" s="9"/>
      <c r="Q223" s="9"/>
      <c r="R223" s="9"/>
      <c r="S223" s="9"/>
    </row>
    <row r="224" spans="5:19" ht="15.75" customHeight="1" x14ac:dyDescent="0.3">
      <c r="E224" s="9"/>
      <c r="F224" s="9"/>
      <c r="H224" s="9"/>
      <c r="M224" s="9"/>
      <c r="N224" s="9"/>
      <c r="O224" s="9"/>
      <c r="P224" s="9"/>
      <c r="Q224" s="9"/>
      <c r="R224" s="9"/>
      <c r="S224" s="9"/>
    </row>
    <row r="225" spans="5:19" ht="15.75" customHeight="1" x14ac:dyDescent="0.3">
      <c r="E225" s="9"/>
      <c r="F225" s="9"/>
      <c r="H225" s="9"/>
      <c r="M225" s="9"/>
      <c r="N225" s="9"/>
      <c r="O225" s="9"/>
      <c r="P225" s="9"/>
      <c r="Q225" s="9"/>
      <c r="R225" s="9"/>
      <c r="S225" s="9"/>
    </row>
    <row r="226" spans="5:19" ht="15.75" customHeight="1" x14ac:dyDescent="0.3">
      <c r="E226" s="9"/>
      <c r="F226" s="9"/>
      <c r="H226" s="9"/>
      <c r="M226" s="9"/>
      <c r="N226" s="9"/>
      <c r="O226" s="9"/>
      <c r="P226" s="9"/>
      <c r="Q226" s="9"/>
      <c r="R226" s="9"/>
      <c r="S226" s="9"/>
    </row>
    <row r="227" spans="5:19" ht="15.75" customHeight="1" x14ac:dyDescent="0.3">
      <c r="E227" s="9"/>
      <c r="F227" s="9"/>
      <c r="H227" s="9"/>
      <c r="M227" s="9"/>
      <c r="N227" s="9"/>
      <c r="O227" s="9"/>
      <c r="P227" s="9"/>
      <c r="Q227" s="9"/>
      <c r="R227" s="9"/>
      <c r="S227" s="9"/>
    </row>
    <row r="228" spans="5:19" ht="15.75" customHeight="1" x14ac:dyDescent="0.3">
      <c r="E228" s="9"/>
      <c r="F228" s="9"/>
      <c r="H228" s="9"/>
      <c r="M228" s="9"/>
      <c r="N228" s="9"/>
      <c r="O228" s="9"/>
      <c r="P228" s="9"/>
      <c r="Q228" s="9"/>
      <c r="R228" s="9"/>
      <c r="S228" s="9"/>
    </row>
    <row r="229" spans="5:19" ht="15.75" customHeight="1" x14ac:dyDescent="0.3">
      <c r="E229" s="9"/>
      <c r="F229" s="9"/>
      <c r="H229" s="9"/>
      <c r="M229" s="9"/>
      <c r="N229" s="9"/>
      <c r="O229" s="9"/>
      <c r="P229" s="9"/>
      <c r="Q229" s="9"/>
      <c r="R229" s="9"/>
      <c r="S229" s="9"/>
    </row>
    <row r="230" spans="5:19" ht="15.75" customHeight="1" x14ac:dyDescent="0.3">
      <c r="E230" s="9"/>
      <c r="F230" s="9"/>
      <c r="H230" s="9"/>
      <c r="M230" s="9"/>
      <c r="N230" s="9"/>
      <c r="O230" s="9"/>
      <c r="P230" s="9"/>
      <c r="Q230" s="9"/>
      <c r="R230" s="9"/>
      <c r="S230" s="9"/>
    </row>
    <row r="231" spans="5:19" ht="15.75" customHeight="1" x14ac:dyDescent="0.3">
      <c r="E231" s="9"/>
      <c r="F231" s="9"/>
      <c r="H231" s="9"/>
      <c r="M231" s="9"/>
      <c r="N231" s="9"/>
      <c r="O231" s="9"/>
      <c r="P231" s="9"/>
      <c r="Q231" s="9"/>
      <c r="R231" s="9"/>
      <c r="S231" s="9"/>
    </row>
    <row r="232" spans="5:19" ht="15.75" customHeight="1" x14ac:dyDescent="0.3">
      <c r="E232" s="9"/>
      <c r="F232" s="9"/>
      <c r="H232" s="9"/>
      <c r="M232" s="9"/>
      <c r="N232" s="9"/>
      <c r="O232" s="9"/>
      <c r="P232" s="9"/>
      <c r="Q232" s="9"/>
      <c r="R232" s="9"/>
      <c r="S232" s="9"/>
    </row>
    <row r="233" spans="5:19" ht="15.75" customHeight="1" x14ac:dyDescent="0.3">
      <c r="E233" s="9"/>
      <c r="F233" s="9"/>
      <c r="H233" s="9"/>
      <c r="M233" s="9"/>
      <c r="N233" s="9"/>
      <c r="O233" s="9"/>
      <c r="P233" s="9"/>
      <c r="Q233" s="9"/>
      <c r="R233" s="9"/>
      <c r="S233" s="9"/>
    </row>
    <row r="234" spans="5:19" ht="15.75" customHeight="1" x14ac:dyDescent="0.3">
      <c r="E234" s="9"/>
      <c r="F234" s="9"/>
      <c r="H234" s="9"/>
      <c r="M234" s="9"/>
      <c r="N234" s="9"/>
      <c r="O234" s="9"/>
      <c r="P234" s="9"/>
      <c r="Q234" s="9"/>
      <c r="R234" s="9"/>
      <c r="S234" s="9"/>
    </row>
    <row r="235" spans="5:19" ht="15.75" customHeight="1" x14ac:dyDescent="0.3">
      <c r="E235" s="9"/>
      <c r="F235" s="9"/>
      <c r="H235" s="9"/>
      <c r="M235" s="9"/>
      <c r="N235" s="9"/>
      <c r="O235" s="9"/>
      <c r="P235" s="9"/>
      <c r="Q235" s="9"/>
      <c r="R235" s="9"/>
      <c r="S235" s="9"/>
    </row>
    <row r="236" spans="5:19" ht="15.75" customHeight="1" x14ac:dyDescent="0.3">
      <c r="E236" s="9"/>
      <c r="F236" s="9"/>
      <c r="H236" s="9"/>
      <c r="M236" s="9"/>
      <c r="N236" s="9"/>
      <c r="O236" s="9"/>
      <c r="P236" s="9"/>
      <c r="Q236" s="9"/>
      <c r="R236" s="9"/>
      <c r="S236" s="9"/>
    </row>
    <row r="237" spans="5:19" ht="15.75" customHeight="1" x14ac:dyDescent="0.3">
      <c r="E237" s="9"/>
      <c r="F237" s="9"/>
      <c r="H237" s="9"/>
      <c r="M237" s="9"/>
      <c r="N237" s="9"/>
      <c r="O237" s="9"/>
      <c r="P237" s="9"/>
      <c r="Q237" s="9"/>
      <c r="R237" s="9"/>
      <c r="S237" s="9"/>
    </row>
    <row r="238" spans="5:19" ht="15.75" customHeight="1" x14ac:dyDescent="0.3">
      <c r="E238" s="9"/>
      <c r="F238" s="9"/>
      <c r="H238" s="9"/>
      <c r="M238" s="9"/>
      <c r="N238" s="9"/>
      <c r="O238" s="9"/>
      <c r="P238" s="9"/>
      <c r="Q238" s="9"/>
      <c r="R238" s="9"/>
      <c r="S238" s="9"/>
    </row>
    <row r="239" spans="5:19" ht="15.75" customHeight="1" x14ac:dyDescent="0.3">
      <c r="E239" s="9"/>
      <c r="F239" s="9"/>
      <c r="H239" s="9"/>
      <c r="M239" s="9"/>
      <c r="N239" s="9"/>
      <c r="O239" s="9"/>
      <c r="P239" s="9"/>
      <c r="Q239" s="9"/>
      <c r="R239" s="9"/>
      <c r="S239" s="9"/>
    </row>
    <row r="240" spans="5:19" ht="15.75" customHeight="1" x14ac:dyDescent="0.3">
      <c r="E240" s="9"/>
      <c r="F240" s="9"/>
      <c r="H240" s="9"/>
      <c r="M240" s="9"/>
      <c r="N240" s="9"/>
      <c r="O240" s="9"/>
      <c r="P240" s="9"/>
      <c r="Q240" s="9"/>
      <c r="R240" s="9"/>
      <c r="S240" s="9"/>
    </row>
    <row r="241" spans="5:19" ht="15.75" customHeight="1" x14ac:dyDescent="0.3">
      <c r="E241" s="9"/>
      <c r="F241" s="9"/>
      <c r="H241" s="9"/>
      <c r="M241" s="9"/>
      <c r="N241" s="9"/>
      <c r="O241" s="9"/>
      <c r="P241" s="9"/>
      <c r="Q241" s="9"/>
      <c r="R241" s="9"/>
      <c r="S241" s="9"/>
    </row>
    <row r="242" spans="5:19" ht="15.75" customHeight="1" x14ac:dyDescent="0.3">
      <c r="E242" s="9"/>
      <c r="F242" s="9"/>
      <c r="H242" s="9"/>
      <c r="M242" s="9"/>
      <c r="N242" s="9"/>
      <c r="O242" s="9"/>
      <c r="P242" s="9"/>
      <c r="Q242" s="9"/>
      <c r="R242" s="9"/>
      <c r="S242" s="9"/>
    </row>
    <row r="243" spans="5:19" ht="15.75" customHeight="1" x14ac:dyDescent="0.3">
      <c r="E243" s="9"/>
      <c r="F243" s="9"/>
      <c r="H243" s="9"/>
      <c r="M243" s="9"/>
      <c r="N243" s="9"/>
      <c r="O243" s="9"/>
      <c r="P243" s="9"/>
      <c r="Q243" s="9"/>
      <c r="R243" s="9"/>
      <c r="S243" s="9"/>
    </row>
    <row r="244" spans="5:19" ht="15.75" customHeight="1" x14ac:dyDescent="0.3">
      <c r="E244" s="9"/>
      <c r="F244" s="9"/>
      <c r="H244" s="9"/>
      <c r="M244" s="9"/>
      <c r="N244" s="9"/>
      <c r="O244" s="9"/>
      <c r="P244" s="9"/>
      <c r="Q244" s="9"/>
      <c r="R244" s="9"/>
      <c r="S244" s="9"/>
    </row>
    <row r="245" spans="5:19" ht="15.75" customHeight="1" x14ac:dyDescent="0.3">
      <c r="E245" s="9"/>
      <c r="F245" s="9"/>
      <c r="H245" s="9"/>
      <c r="M245" s="9"/>
      <c r="N245" s="9"/>
      <c r="O245" s="9"/>
      <c r="P245" s="9"/>
      <c r="Q245" s="9"/>
      <c r="R245" s="9"/>
      <c r="S245" s="9"/>
    </row>
    <row r="246" spans="5:19" ht="15.75" customHeight="1" x14ac:dyDescent="0.3">
      <c r="E246" s="9"/>
      <c r="F246" s="9"/>
      <c r="H246" s="9"/>
      <c r="M246" s="9"/>
      <c r="N246" s="9"/>
      <c r="O246" s="9"/>
      <c r="P246" s="9"/>
      <c r="Q246" s="9"/>
      <c r="R246" s="9"/>
      <c r="S246" s="9"/>
    </row>
    <row r="247" spans="5:19" ht="15.75" customHeight="1" x14ac:dyDescent="0.3">
      <c r="E247" s="9"/>
      <c r="F247" s="9"/>
      <c r="H247" s="9"/>
      <c r="M247" s="9"/>
      <c r="N247" s="9"/>
      <c r="O247" s="9"/>
      <c r="P247" s="9"/>
      <c r="Q247" s="9"/>
      <c r="R247" s="9"/>
      <c r="S247" s="9"/>
    </row>
    <row r="248" spans="5:19" ht="15.75" customHeight="1" x14ac:dyDescent="0.3">
      <c r="E248" s="9"/>
      <c r="F248" s="9"/>
      <c r="H248" s="9"/>
      <c r="M248" s="9"/>
      <c r="N248" s="9"/>
      <c r="O248" s="9"/>
      <c r="P248" s="9"/>
      <c r="Q248" s="9"/>
      <c r="R248" s="9"/>
      <c r="S248" s="9"/>
    </row>
    <row r="249" spans="5:19" ht="15.75" customHeight="1" x14ac:dyDescent="0.3">
      <c r="E249" s="9"/>
      <c r="F249" s="9"/>
      <c r="H249" s="9"/>
      <c r="M249" s="9"/>
      <c r="N249" s="9"/>
      <c r="O249" s="9"/>
      <c r="P249" s="9"/>
      <c r="Q249" s="9"/>
      <c r="R249" s="9"/>
      <c r="S249" s="9"/>
    </row>
    <row r="250" spans="5:19" ht="15.75" customHeight="1" x14ac:dyDescent="0.3">
      <c r="E250" s="9"/>
      <c r="F250" s="9"/>
      <c r="H250" s="9"/>
      <c r="M250" s="9"/>
      <c r="N250" s="9"/>
      <c r="O250" s="9"/>
      <c r="P250" s="9"/>
      <c r="Q250" s="9"/>
      <c r="R250" s="9"/>
      <c r="S250" s="9"/>
    </row>
    <row r="251" spans="5:19" ht="15.75" customHeight="1" x14ac:dyDescent="0.3">
      <c r="E251" s="9"/>
      <c r="F251" s="9"/>
      <c r="H251" s="9"/>
      <c r="M251" s="9"/>
      <c r="N251" s="9"/>
      <c r="O251" s="9"/>
      <c r="P251" s="9"/>
      <c r="Q251" s="9"/>
      <c r="R251" s="9"/>
      <c r="S251" s="9"/>
    </row>
    <row r="252" spans="5:19" ht="15.75" customHeight="1" x14ac:dyDescent="0.3">
      <c r="E252" s="9"/>
      <c r="F252" s="9"/>
      <c r="H252" s="9"/>
      <c r="M252" s="9"/>
      <c r="N252" s="9"/>
      <c r="O252" s="9"/>
      <c r="P252" s="9"/>
      <c r="Q252" s="9"/>
      <c r="R252" s="9"/>
      <c r="S252" s="9"/>
    </row>
    <row r="253" spans="5:19" ht="15.75" customHeight="1" x14ac:dyDescent="0.3">
      <c r="E253" s="9"/>
      <c r="F253" s="9"/>
      <c r="H253" s="9"/>
      <c r="M253" s="9"/>
      <c r="N253" s="9"/>
      <c r="O253" s="9"/>
      <c r="P253" s="9"/>
      <c r="Q253" s="9"/>
      <c r="R253" s="9"/>
      <c r="S253" s="9"/>
    </row>
    <row r="254" spans="5:19" ht="15.75" customHeight="1" x14ac:dyDescent="0.3">
      <c r="E254" s="9"/>
      <c r="F254" s="9"/>
      <c r="H254" s="9"/>
      <c r="M254" s="9"/>
      <c r="N254" s="9"/>
      <c r="O254" s="9"/>
      <c r="P254" s="9"/>
      <c r="Q254" s="9"/>
      <c r="R254" s="9"/>
      <c r="S254" s="9"/>
    </row>
    <row r="255" spans="5:19" ht="15.75" customHeight="1" x14ac:dyDescent="0.3">
      <c r="E255" s="9"/>
      <c r="F255" s="9"/>
      <c r="H255" s="9"/>
      <c r="M255" s="9"/>
      <c r="N255" s="9"/>
      <c r="O255" s="9"/>
      <c r="P255" s="9"/>
      <c r="Q255" s="9"/>
      <c r="R255" s="9"/>
      <c r="S255" s="9"/>
    </row>
    <row r="256" spans="5:19" ht="15.75" customHeight="1" x14ac:dyDescent="0.3">
      <c r="E256" s="9"/>
      <c r="F256" s="9"/>
      <c r="H256" s="9"/>
      <c r="M256" s="9"/>
      <c r="N256" s="9"/>
      <c r="O256" s="9"/>
      <c r="P256" s="9"/>
      <c r="Q256" s="9"/>
      <c r="R256" s="9"/>
      <c r="S256" s="9"/>
    </row>
    <row r="257" spans="5:19" ht="15.75" customHeight="1" x14ac:dyDescent="0.3">
      <c r="E257" s="9"/>
      <c r="F257" s="9"/>
      <c r="H257" s="9"/>
      <c r="M257" s="9"/>
      <c r="N257" s="9"/>
      <c r="O257" s="9"/>
      <c r="P257" s="9"/>
      <c r="Q257" s="9"/>
      <c r="R257" s="9"/>
      <c r="S257" s="9"/>
    </row>
    <row r="258" spans="5:19" ht="15.75" customHeight="1" x14ac:dyDescent="0.3">
      <c r="E258" s="9"/>
      <c r="F258" s="9"/>
      <c r="H258" s="9"/>
      <c r="M258" s="9"/>
      <c r="N258" s="9"/>
      <c r="O258" s="9"/>
      <c r="P258" s="9"/>
      <c r="Q258" s="9"/>
      <c r="R258" s="9"/>
      <c r="S258" s="9"/>
    </row>
    <row r="259" spans="5:19" ht="15.75" customHeight="1" x14ac:dyDescent="0.3">
      <c r="E259" s="9"/>
      <c r="F259" s="9"/>
      <c r="H259" s="9"/>
      <c r="M259" s="9"/>
      <c r="N259" s="9"/>
      <c r="O259" s="9"/>
      <c r="P259" s="9"/>
      <c r="Q259" s="9"/>
      <c r="R259" s="9"/>
      <c r="S259" s="9"/>
    </row>
    <row r="260" spans="5:19" ht="15.75" customHeight="1" x14ac:dyDescent="0.3">
      <c r="E260" s="9"/>
      <c r="F260" s="9"/>
      <c r="H260" s="9"/>
      <c r="M260" s="9"/>
      <c r="N260" s="9"/>
      <c r="O260" s="9"/>
      <c r="P260" s="9"/>
      <c r="Q260" s="9"/>
      <c r="R260" s="9"/>
      <c r="S260" s="9"/>
    </row>
    <row r="261" spans="5:19" ht="15.75" customHeight="1" x14ac:dyDescent="0.3">
      <c r="E261" s="9"/>
      <c r="F261" s="9"/>
      <c r="H261" s="9"/>
      <c r="M261" s="9"/>
      <c r="N261" s="9"/>
      <c r="O261" s="9"/>
      <c r="P261" s="9"/>
      <c r="Q261" s="9"/>
      <c r="R261" s="9"/>
      <c r="S261" s="9"/>
    </row>
    <row r="262" spans="5:19" ht="15.75" customHeight="1" x14ac:dyDescent="0.3">
      <c r="E262" s="9"/>
      <c r="F262" s="9"/>
      <c r="H262" s="9"/>
      <c r="M262" s="9"/>
      <c r="N262" s="9"/>
      <c r="O262" s="9"/>
      <c r="P262" s="9"/>
      <c r="Q262" s="9"/>
      <c r="R262" s="9"/>
      <c r="S262" s="9"/>
    </row>
    <row r="263" spans="5:19" ht="15.75" customHeight="1" x14ac:dyDescent="0.3">
      <c r="E263" s="9"/>
      <c r="F263" s="9"/>
      <c r="H263" s="9"/>
      <c r="M263" s="9"/>
      <c r="N263" s="9"/>
      <c r="O263" s="9"/>
      <c r="P263" s="9"/>
      <c r="Q263" s="9"/>
      <c r="R263" s="9"/>
      <c r="S263" s="9"/>
    </row>
    <row r="264" spans="5:19" ht="15.75" customHeight="1" x14ac:dyDescent="0.3">
      <c r="E264" s="9"/>
      <c r="F264" s="9"/>
      <c r="H264" s="9"/>
      <c r="M264" s="9"/>
      <c r="N264" s="9"/>
      <c r="O264" s="9"/>
      <c r="P264" s="9"/>
      <c r="Q264" s="9"/>
      <c r="R264" s="9"/>
      <c r="S264" s="9"/>
    </row>
    <row r="265" spans="5:19" ht="15.75" customHeight="1" x14ac:dyDescent="0.3">
      <c r="E265" s="9"/>
      <c r="F265" s="9"/>
      <c r="H265" s="9"/>
      <c r="M265" s="9"/>
      <c r="N265" s="9"/>
      <c r="O265" s="9"/>
      <c r="P265" s="9"/>
      <c r="Q265" s="9"/>
      <c r="R265" s="9"/>
      <c r="S265" s="9"/>
    </row>
    <row r="266" spans="5:19" ht="15.75" customHeight="1" x14ac:dyDescent="0.3">
      <c r="E266" s="9"/>
      <c r="F266" s="9"/>
      <c r="H266" s="9"/>
      <c r="M266" s="9"/>
      <c r="N266" s="9"/>
      <c r="O266" s="9"/>
      <c r="P266" s="9"/>
      <c r="Q266" s="9"/>
      <c r="R266" s="9"/>
      <c r="S266" s="9"/>
    </row>
    <row r="267" spans="5:19" ht="15.75" customHeight="1" x14ac:dyDescent="0.3">
      <c r="E267" s="9"/>
      <c r="F267" s="9"/>
      <c r="H267" s="9"/>
      <c r="M267" s="9"/>
      <c r="N267" s="9"/>
      <c r="O267" s="9"/>
      <c r="P267" s="9"/>
      <c r="Q267" s="9"/>
      <c r="R267" s="9"/>
      <c r="S267" s="9"/>
    </row>
    <row r="268" spans="5:19" ht="15.75" customHeight="1" x14ac:dyDescent="0.3">
      <c r="E268" s="9"/>
      <c r="F268" s="9"/>
      <c r="H268" s="9"/>
      <c r="M268" s="9"/>
      <c r="N268" s="9"/>
      <c r="O268" s="9"/>
      <c r="P268" s="9"/>
      <c r="Q268" s="9"/>
      <c r="R268" s="9"/>
      <c r="S268" s="9"/>
    </row>
    <row r="269" spans="5:19" ht="15.75" customHeight="1" x14ac:dyDescent="0.3">
      <c r="E269" s="9"/>
      <c r="F269" s="9"/>
      <c r="H269" s="9"/>
      <c r="M269" s="9"/>
      <c r="N269" s="9"/>
      <c r="O269" s="9"/>
      <c r="P269" s="9"/>
      <c r="Q269" s="9"/>
      <c r="R269" s="9"/>
      <c r="S269" s="9"/>
    </row>
    <row r="270" spans="5:19" ht="15.75" customHeight="1" x14ac:dyDescent="0.3">
      <c r="E270" s="9"/>
      <c r="F270" s="9"/>
      <c r="H270" s="9"/>
      <c r="M270" s="9"/>
      <c r="N270" s="9"/>
      <c r="O270" s="9"/>
      <c r="P270" s="9"/>
      <c r="Q270" s="9"/>
      <c r="R270" s="9"/>
      <c r="S270" s="9"/>
    </row>
    <row r="271" spans="5:19" ht="15.75" customHeight="1" x14ac:dyDescent="0.3">
      <c r="E271" s="9"/>
      <c r="F271" s="9"/>
      <c r="H271" s="9"/>
      <c r="M271" s="9"/>
      <c r="N271" s="9"/>
      <c r="O271" s="9"/>
      <c r="P271" s="9"/>
      <c r="Q271" s="9"/>
      <c r="R271" s="9"/>
      <c r="S271" s="9"/>
    </row>
    <row r="272" spans="5:19" ht="15.75" customHeight="1" x14ac:dyDescent="0.3">
      <c r="E272" s="9"/>
      <c r="F272" s="9"/>
      <c r="H272" s="9"/>
      <c r="M272" s="9"/>
      <c r="N272" s="9"/>
      <c r="O272" s="9"/>
      <c r="P272" s="9"/>
      <c r="Q272" s="9"/>
      <c r="R272" s="9"/>
      <c r="S272" s="9"/>
    </row>
    <row r="273" spans="5:19" ht="15.75" customHeight="1" x14ac:dyDescent="0.3">
      <c r="E273" s="9"/>
      <c r="F273" s="9"/>
      <c r="H273" s="9"/>
      <c r="M273" s="9"/>
      <c r="N273" s="9"/>
      <c r="O273" s="9"/>
      <c r="P273" s="9"/>
      <c r="Q273" s="9"/>
      <c r="R273" s="9"/>
      <c r="S273" s="9"/>
    </row>
    <row r="274" spans="5:19" ht="15.75" customHeight="1" x14ac:dyDescent="0.3">
      <c r="E274" s="9"/>
      <c r="F274" s="9"/>
      <c r="H274" s="9"/>
      <c r="M274" s="9"/>
      <c r="N274" s="9"/>
      <c r="O274" s="9"/>
      <c r="P274" s="9"/>
      <c r="Q274" s="9"/>
      <c r="R274" s="9"/>
      <c r="S274" s="9"/>
    </row>
    <row r="275" spans="5:19" ht="15.75" customHeight="1" x14ac:dyDescent="0.3">
      <c r="E275" s="9"/>
      <c r="F275" s="9"/>
      <c r="H275" s="9"/>
      <c r="M275" s="9"/>
      <c r="N275" s="9"/>
      <c r="O275" s="9"/>
      <c r="P275" s="9"/>
      <c r="Q275" s="9"/>
      <c r="R275" s="9"/>
      <c r="S275" s="9"/>
    </row>
    <row r="276" spans="5:19" ht="15.75" customHeight="1" x14ac:dyDescent="0.3">
      <c r="E276" s="9"/>
      <c r="F276" s="9"/>
      <c r="H276" s="9"/>
      <c r="M276" s="9"/>
      <c r="N276" s="9"/>
      <c r="O276" s="9"/>
      <c r="P276" s="9"/>
      <c r="Q276" s="9"/>
      <c r="R276" s="9"/>
      <c r="S276" s="9"/>
    </row>
    <row r="277" spans="5:19" ht="15.75" customHeight="1" x14ac:dyDescent="0.3">
      <c r="E277" s="9"/>
      <c r="F277" s="9"/>
      <c r="H277" s="9"/>
      <c r="M277" s="9"/>
      <c r="N277" s="9"/>
      <c r="O277" s="9"/>
      <c r="P277" s="9"/>
      <c r="Q277" s="9"/>
      <c r="R277" s="9"/>
      <c r="S277" s="9"/>
    </row>
    <row r="278" spans="5:19" ht="15.75" customHeight="1" x14ac:dyDescent="0.3">
      <c r="E278" s="9"/>
      <c r="F278" s="9"/>
      <c r="H278" s="9"/>
      <c r="M278" s="9"/>
      <c r="N278" s="9"/>
      <c r="O278" s="9"/>
      <c r="P278" s="9"/>
      <c r="Q278" s="9"/>
      <c r="R278" s="9"/>
      <c r="S278" s="9"/>
    </row>
    <row r="279" spans="5:19" ht="15.75" customHeight="1" x14ac:dyDescent="0.3">
      <c r="E279" s="9"/>
      <c r="F279" s="9"/>
      <c r="H279" s="9"/>
      <c r="M279" s="9"/>
      <c r="N279" s="9"/>
      <c r="O279" s="9"/>
      <c r="P279" s="9"/>
      <c r="Q279" s="9"/>
      <c r="R279" s="9"/>
      <c r="S279" s="9"/>
    </row>
    <row r="280" spans="5:19" ht="15.75" customHeight="1" x14ac:dyDescent="0.3">
      <c r="E280" s="9"/>
      <c r="F280" s="9"/>
      <c r="H280" s="9"/>
      <c r="M280" s="9"/>
      <c r="N280" s="9"/>
      <c r="O280" s="9"/>
      <c r="P280" s="9"/>
      <c r="Q280" s="9"/>
      <c r="R280" s="9"/>
      <c r="S280" s="9"/>
    </row>
    <row r="281" spans="5:19" ht="15.75" customHeight="1" x14ac:dyDescent="0.3">
      <c r="E281" s="9"/>
      <c r="F281" s="9"/>
      <c r="H281" s="9"/>
      <c r="M281" s="9"/>
      <c r="N281" s="9"/>
      <c r="O281" s="9"/>
      <c r="P281" s="9"/>
      <c r="Q281" s="9"/>
      <c r="R281" s="9"/>
      <c r="S281" s="9"/>
    </row>
    <row r="282" spans="5:19" ht="15.75" customHeight="1" x14ac:dyDescent="0.3">
      <c r="E282" s="9"/>
      <c r="F282" s="9"/>
      <c r="H282" s="9"/>
      <c r="M282" s="9"/>
      <c r="N282" s="9"/>
      <c r="O282" s="9"/>
      <c r="P282" s="9"/>
      <c r="Q282" s="9"/>
      <c r="R282" s="9"/>
      <c r="S282" s="9"/>
    </row>
    <row r="283" spans="5:19" ht="15.75" customHeight="1" x14ac:dyDescent="0.3">
      <c r="E283" s="9"/>
      <c r="F283" s="9"/>
      <c r="H283" s="9"/>
      <c r="M283" s="9"/>
      <c r="N283" s="9"/>
      <c r="O283" s="9"/>
      <c r="P283" s="9"/>
      <c r="Q283" s="9"/>
      <c r="R283" s="9"/>
      <c r="S283" s="9"/>
    </row>
    <row r="284" spans="5:19" ht="15.75" customHeight="1" x14ac:dyDescent="0.3">
      <c r="E284" s="9"/>
      <c r="F284" s="9"/>
      <c r="H284" s="9"/>
      <c r="M284" s="9"/>
      <c r="N284" s="9"/>
      <c r="O284" s="9"/>
      <c r="P284" s="9"/>
      <c r="Q284" s="9"/>
      <c r="R284" s="9"/>
      <c r="S284" s="9"/>
    </row>
    <row r="285" spans="5:19" ht="15.75" customHeight="1" x14ac:dyDescent="0.3">
      <c r="E285" s="9"/>
      <c r="F285" s="9"/>
      <c r="H285" s="9"/>
      <c r="M285" s="9"/>
      <c r="N285" s="9"/>
      <c r="O285" s="9"/>
      <c r="P285" s="9"/>
      <c r="Q285" s="9"/>
      <c r="R285" s="9"/>
      <c r="S285" s="9"/>
    </row>
    <row r="286" spans="5:19" ht="15.75" customHeight="1" x14ac:dyDescent="0.3">
      <c r="E286" s="9"/>
      <c r="F286" s="9"/>
      <c r="H286" s="9"/>
      <c r="M286" s="9"/>
      <c r="N286" s="9"/>
      <c r="O286" s="9"/>
      <c r="P286" s="9"/>
      <c r="Q286" s="9"/>
      <c r="R286" s="9"/>
      <c r="S286" s="9"/>
    </row>
    <row r="287" spans="5:19" ht="15.75" customHeight="1" x14ac:dyDescent="0.3">
      <c r="E287" s="9"/>
      <c r="F287" s="9"/>
      <c r="H287" s="9"/>
      <c r="M287" s="9"/>
      <c r="N287" s="9"/>
      <c r="O287" s="9"/>
      <c r="P287" s="9"/>
      <c r="Q287" s="9"/>
      <c r="R287" s="9"/>
      <c r="S287" s="9"/>
    </row>
    <row r="288" spans="5:19" ht="15.75" customHeight="1" x14ac:dyDescent="0.3">
      <c r="E288" s="9"/>
      <c r="F288" s="9"/>
      <c r="H288" s="9"/>
      <c r="M288" s="9"/>
      <c r="N288" s="9"/>
      <c r="O288" s="9"/>
      <c r="P288" s="9"/>
      <c r="Q288" s="9"/>
      <c r="R288" s="9"/>
      <c r="S288" s="9"/>
    </row>
    <row r="289" spans="5:19" ht="15.75" customHeight="1" x14ac:dyDescent="0.3">
      <c r="E289" s="9"/>
      <c r="F289" s="9"/>
      <c r="H289" s="9"/>
      <c r="M289" s="9"/>
      <c r="N289" s="9"/>
      <c r="O289" s="9"/>
      <c r="P289" s="9"/>
      <c r="Q289" s="9"/>
      <c r="R289" s="9"/>
      <c r="S289" s="9"/>
    </row>
    <row r="290" spans="5:19" ht="15.75" customHeight="1" x14ac:dyDescent="0.3">
      <c r="E290" s="9"/>
      <c r="F290" s="9"/>
      <c r="H290" s="9"/>
      <c r="M290" s="9"/>
      <c r="N290" s="9"/>
      <c r="O290" s="9"/>
      <c r="P290" s="9"/>
      <c r="Q290" s="9"/>
      <c r="R290" s="9"/>
      <c r="S290" s="9"/>
    </row>
    <row r="291" spans="5:19" ht="15.75" customHeight="1" x14ac:dyDescent="0.3">
      <c r="E291" s="9"/>
      <c r="F291" s="9"/>
      <c r="H291" s="9"/>
      <c r="M291" s="9"/>
      <c r="N291" s="9"/>
      <c r="O291" s="9"/>
      <c r="P291" s="9"/>
      <c r="Q291" s="9"/>
      <c r="R291" s="9"/>
      <c r="S291" s="9"/>
    </row>
    <row r="292" spans="5:19" ht="15.75" customHeight="1" x14ac:dyDescent="0.3">
      <c r="E292" s="9"/>
      <c r="F292" s="9"/>
      <c r="H292" s="9"/>
      <c r="M292" s="9"/>
      <c r="N292" s="9"/>
      <c r="O292" s="9"/>
      <c r="P292" s="9"/>
      <c r="Q292" s="9"/>
      <c r="R292" s="9"/>
      <c r="S292" s="9"/>
    </row>
    <row r="293" spans="5:19" ht="15.75" customHeight="1" x14ac:dyDescent="0.3">
      <c r="E293" s="9"/>
      <c r="F293" s="9"/>
      <c r="H293" s="9"/>
      <c r="M293" s="9"/>
      <c r="N293" s="9"/>
      <c r="O293" s="9"/>
      <c r="P293" s="9"/>
      <c r="Q293" s="9"/>
      <c r="R293" s="9"/>
      <c r="S293" s="9"/>
    </row>
    <row r="294" spans="5:19" ht="15.75" customHeight="1" x14ac:dyDescent="0.3">
      <c r="E294" s="9"/>
      <c r="F294" s="9"/>
      <c r="H294" s="9"/>
      <c r="M294" s="9"/>
      <c r="N294" s="9"/>
      <c r="O294" s="9"/>
      <c r="P294" s="9"/>
      <c r="Q294" s="9"/>
      <c r="R294" s="9"/>
      <c r="S294" s="9"/>
    </row>
    <row r="295" spans="5:19" ht="15.75" customHeight="1" x14ac:dyDescent="0.3">
      <c r="E295" s="9"/>
      <c r="F295" s="9"/>
      <c r="H295" s="9"/>
      <c r="M295" s="9"/>
      <c r="N295" s="9"/>
      <c r="O295" s="9"/>
      <c r="P295" s="9"/>
      <c r="Q295" s="9"/>
      <c r="R295" s="9"/>
      <c r="S295" s="9"/>
    </row>
    <row r="296" spans="5:19" ht="15.75" customHeight="1" x14ac:dyDescent="0.3">
      <c r="E296" s="9"/>
      <c r="F296" s="9"/>
      <c r="H296" s="9"/>
      <c r="M296" s="9"/>
      <c r="N296" s="9"/>
      <c r="O296" s="9"/>
      <c r="P296" s="9"/>
      <c r="Q296" s="9"/>
      <c r="R296" s="9"/>
      <c r="S296" s="9"/>
    </row>
    <row r="297" spans="5:19" ht="15.75" customHeight="1" x14ac:dyDescent="0.3">
      <c r="E297" s="9"/>
      <c r="F297" s="9"/>
      <c r="H297" s="9"/>
      <c r="M297" s="9"/>
      <c r="N297" s="9"/>
      <c r="O297" s="9"/>
      <c r="P297" s="9"/>
      <c r="Q297" s="9"/>
      <c r="R297" s="9"/>
      <c r="S297" s="9"/>
    </row>
    <row r="298" spans="5:19" ht="15.75" customHeight="1" x14ac:dyDescent="0.3">
      <c r="E298" s="9"/>
      <c r="F298" s="9"/>
      <c r="H298" s="9"/>
      <c r="M298" s="9"/>
      <c r="N298" s="9"/>
      <c r="O298" s="9"/>
      <c r="P298" s="9"/>
      <c r="Q298" s="9"/>
      <c r="R298" s="9"/>
      <c r="S298" s="9"/>
    </row>
    <row r="299" spans="5:19" ht="15.75" customHeight="1" x14ac:dyDescent="0.3">
      <c r="E299" s="9"/>
      <c r="F299" s="9"/>
      <c r="H299" s="9"/>
      <c r="M299" s="9"/>
      <c r="N299" s="9"/>
      <c r="O299" s="9"/>
      <c r="P299" s="9"/>
      <c r="Q299" s="9"/>
      <c r="R299" s="9"/>
      <c r="S299" s="9"/>
    </row>
    <row r="300" spans="5:19" ht="15.75" customHeight="1" x14ac:dyDescent="0.3">
      <c r="E300" s="9"/>
      <c r="F300" s="9"/>
      <c r="H300" s="9"/>
      <c r="M300" s="9"/>
      <c r="N300" s="9"/>
      <c r="O300" s="9"/>
      <c r="P300" s="9"/>
      <c r="Q300" s="9"/>
      <c r="R300" s="9"/>
      <c r="S300" s="9"/>
    </row>
    <row r="301" spans="5:19" ht="15.75" customHeight="1" x14ac:dyDescent="0.3">
      <c r="E301" s="9"/>
      <c r="F301" s="9"/>
      <c r="H301" s="9"/>
      <c r="M301" s="9"/>
      <c r="N301" s="9"/>
      <c r="O301" s="9"/>
      <c r="P301" s="9"/>
      <c r="Q301" s="9"/>
      <c r="R301" s="9"/>
      <c r="S301" s="9"/>
    </row>
    <row r="302" spans="5:19" ht="15.75" customHeight="1" x14ac:dyDescent="0.3">
      <c r="E302" s="9"/>
      <c r="F302" s="9"/>
      <c r="H302" s="9"/>
      <c r="M302" s="9"/>
      <c r="N302" s="9"/>
      <c r="O302" s="9"/>
      <c r="P302" s="9"/>
      <c r="Q302" s="9"/>
      <c r="R302" s="9"/>
      <c r="S302" s="9"/>
    </row>
    <row r="303" spans="5:19" ht="15.75" customHeight="1" x14ac:dyDescent="0.3">
      <c r="E303" s="9"/>
      <c r="F303" s="9"/>
      <c r="H303" s="9"/>
      <c r="M303" s="9"/>
      <c r="N303" s="9"/>
      <c r="O303" s="9"/>
      <c r="P303" s="9"/>
      <c r="Q303" s="9"/>
      <c r="R303" s="9"/>
      <c r="S303" s="9"/>
    </row>
    <row r="304" spans="5:19" ht="15.75" customHeight="1" x14ac:dyDescent="0.3">
      <c r="E304" s="9"/>
      <c r="F304" s="9"/>
      <c r="H304" s="9"/>
      <c r="M304" s="9"/>
      <c r="N304" s="9"/>
      <c r="O304" s="9"/>
      <c r="P304" s="9"/>
      <c r="Q304" s="9"/>
      <c r="R304" s="9"/>
      <c r="S304" s="9"/>
    </row>
    <row r="305" spans="5:19" ht="15.75" customHeight="1" x14ac:dyDescent="0.3">
      <c r="E305" s="9"/>
      <c r="F305" s="9"/>
      <c r="H305" s="9"/>
      <c r="M305" s="9"/>
      <c r="N305" s="9"/>
      <c r="O305" s="9"/>
      <c r="P305" s="9"/>
      <c r="Q305" s="9"/>
      <c r="R305" s="9"/>
      <c r="S305" s="9"/>
    </row>
    <row r="306" spans="5:19" ht="15.75" customHeight="1" x14ac:dyDescent="0.3">
      <c r="E306" s="9"/>
      <c r="F306" s="9"/>
      <c r="H306" s="9"/>
      <c r="M306" s="9"/>
      <c r="N306" s="9"/>
      <c r="O306" s="9"/>
      <c r="P306" s="9"/>
      <c r="Q306" s="9"/>
      <c r="R306" s="9"/>
      <c r="S306" s="9"/>
    </row>
    <row r="307" spans="5:19" ht="15.75" customHeight="1" x14ac:dyDescent="0.3">
      <c r="E307" s="9"/>
      <c r="F307" s="9"/>
      <c r="H307" s="9"/>
      <c r="M307" s="9"/>
      <c r="N307" s="9"/>
      <c r="O307" s="9"/>
      <c r="P307" s="9"/>
      <c r="Q307" s="9"/>
      <c r="R307" s="9"/>
      <c r="S307" s="9"/>
    </row>
    <row r="308" spans="5:19" ht="15.75" customHeight="1" x14ac:dyDescent="0.3">
      <c r="E308" s="9"/>
      <c r="F308" s="9"/>
      <c r="H308" s="9"/>
      <c r="M308" s="9"/>
      <c r="N308" s="9"/>
      <c r="O308" s="9"/>
      <c r="P308" s="9"/>
      <c r="Q308" s="9"/>
      <c r="R308" s="9"/>
      <c r="S308" s="9"/>
    </row>
    <row r="309" spans="5:19" ht="15.75" customHeight="1" x14ac:dyDescent="0.3">
      <c r="E309" s="9"/>
      <c r="F309" s="9"/>
      <c r="H309" s="9"/>
      <c r="M309" s="9"/>
      <c r="N309" s="9"/>
      <c r="O309" s="9"/>
      <c r="P309" s="9"/>
      <c r="Q309" s="9"/>
      <c r="R309" s="9"/>
      <c r="S309" s="9"/>
    </row>
    <row r="310" spans="5:19" ht="15.75" customHeight="1" x14ac:dyDescent="0.3">
      <c r="E310" s="9"/>
      <c r="F310" s="9"/>
      <c r="H310" s="9"/>
      <c r="M310" s="9"/>
      <c r="N310" s="9"/>
      <c r="O310" s="9"/>
      <c r="P310" s="9"/>
      <c r="Q310" s="9"/>
      <c r="R310" s="9"/>
      <c r="S310" s="9"/>
    </row>
    <row r="311" spans="5:19" ht="15.75" customHeight="1" x14ac:dyDescent="0.3">
      <c r="E311" s="9"/>
      <c r="F311" s="9"/>
      <c r="H311" s="9"/>
      <c r="M311" s="9"/>
      <c r="N311" s="9"/>
      <c r="O311" s="9"/>
      <c r="P311" s="9"/>
      <c r="Q311" s="9"/>
      <c r="R311" s="9"/>
      <c r="S311" s="9"/>
    </row>
    <row r="312" spans="5:19" ht="15.75" customHeight="1" x14ac:dyDescent="0.3">
      <c r="E312" s="9"/>
      <c r="F312" s="9"/>
      <c r="H312" s="9"/>
      <c r="M312" s="9"/>
      <c r="N312" s="9"/>
      <c r="O312" s="9"/>
      <c r="P312" s="9"/>
      <c r="Q312" s="9"/>
      <c r="R312" s="9"/>
      <c r="S312" s="9"/>
    </row>
    <row r="313" spans="5:19" ht="15.75" customHeight="1" x14ac:dyDescent="0.3">
      <c r="E313" s="9"/>
      <c r="F313" s="9"/>
      <c r="H313" s="9"/>
      <c r="M313" s="9"/>
      <c r="N313" s="9"/>
      <c r="O313" s="9"/>
      <c r="P313" s="9"/>
      <c r="Q313" s="9"/>
      <c r="R313" s="9"/>
      <c r="S313" s="9"/>
    </row>
    <row r="314" spans="5:19" ht="15.75" customHeight="1" x14ac:dyDescent="0.3">
      <c r="E314" s="9"/>
      <c r="F314" s="9"/>
      <c r="H314" s="9"/>
      <c r="M314" s="9"/>
      <c r="N314" s="9"/>
      <c r="O314" s="9"/>
      <c r="P314" s="9"/>
      <c r="Q314" s="9"/>
      <c r="R314" s="9"/>
      <c r="S314" s="9"/>
    </row>
    <row r="315" spans="5:19" ht="15.75" customHeight="1" x14ac:dyDescent="0.3">
      <c r="E315" s="9"/>
      <c r="F315" s="9"/>
      <c r="H315" s="9"/>
      <c r="M315" s="9"/>
      <c r="N315" s="9"/>
      <c r="O315" s="9"/>
      <c r="P315" s="9"/>
      <c r="Q315" s="9"/>
      <c r="R315" s="9"/>
      <c r="S315" s="9"/>
    </row>
    <row r="316" spans="5:19" ht="15.75" customHeight="1" x14ac:dyDescent="0.3">
      <c r="E316" s="9"/>
      <c r="F316" s="9"/>
      <c r="H316" s="9"/>
      <c r="M316" s="9"/>
      <c r="N316" s="9"/>
      <c r="O316" s="9"/>
      <c r="P316" s="9"/>
      <c r="Q316" s="9"/>
      <c r="R316" s="9"/>
      <c r="S316" s="9"/>
    </row>
    <row r="317" spans="5:19" ht="15.75" customHeight="1" x14ac:dyDescent="0.3">
      <c r="E317" s="9"/>
      <c r="F317" s="9"/>
      <c r="H317" s="9"/>
      <c r="M317" s="9"/>
      <c r="N317" s="9"/>
      <c r="O317" s="9"/>
      <c r="P317" s="9"/>
      <c r="Q317" s="9"/>
      <c r="R317" s="9"/>
      <c r="S317" s="9"/>
    </row>
    <row r="318" spans="5:19" ht="15.75" customHeight="1" x14ac:dyDescent="0.3">
      <c r="E318" s="9"/>
      <c r="F318" s="9"/>
      <c r="H318" s="9"/>
      <c r="M318" s="9"/>
      <c r="N318" s="9"/>
      <c r="O318" s="9"/>
      <c r="P318" s="9"/>
      <c r="Q318" s="9"/>
      <c r="R318" s="9"/>
      <c r="S318" s="9"/>
    </row>
    <row r="319" spans="5:19" ht="15.75" customHeight="1" x14ac:dyDescent="0.3">
      <c r="E319" s="9"/>
      <c r="F319" s="9"/>
      <c r="H319" s="9"/>
      <c r="M319" s="9"/>
      <c r="N319" s="9"/>
      <c r="O319" s="9"/>
      <c r="P319" s="9"/>
      <c r="Q319" s="9"/>
      <c r="R319" s="9"/>
      <c r="S319" s="9"/>
    </row>
    <row r="320" spans="5:19" ht="15.75" customHeight="1" x14ac:dyDescent="0.3">
      <c r="E320" s="9"/>
      <c r="F320" s="9"/>
      <c r="H320" s="9"/>
      <c r="M320" s="9"/>
      <c r="N320" s="9"/>
      <c r="O320" s="9"/>
      <c r="P320" s="9"/>
      <c r="Q320" s="9"/>
      <c r="R320" s="9"/>
      <c r="S320" s="9"/>
    </row>
    <row r="321" spans="5:19" ht="15.75" customHeight="1" x14ac:dyDescent="0.3">
      <c r="E321" s="9"/>
      <c r="F321" s="9"/>
      <c r="H321" s="9"/>
      <c r="M321" s="9"/>
      <c r="N321" s="9"/>
      <c r="O321" s="9"/>
      <c r="P321" s="9"/>
      <c r="Q321" s="9"/>
      <c r="R321" s="9"/>
      <c r="S321" s="9"/>
    </row>
    <row r="322" spans="5:19" ht="15.75" customHeight="1" x14ac:dyDescent="0.3">
      <c r="E322" s="9"/>
      <c r="F322" s="9"/>
      <c r="H322" s="9"/>
      <c r="M322" s="9"/>
      <c r="N322" s="9"/>
      <c r="O322" s="9"/>
      <c r="P322" s="9"/>
      <c r="Q322" s="9"/>
      <c r="R322" s="9"/>
      <c r="S322" s="9"/>
    </row>
    <row r="323" spans="5:19" ht="15.75" customHeight="1" x14ac:dyDescent="0.3">
      <c r="E323" s="9"/>
      <c r="F323" s="9"/>
      <c r="H323" s="9"/>
      <c r="M323" s="9"/>
      <c r="N323" s="9"/>
      <c r="O323" s="9"/>
      <c r="P323" s="9"/>
      <c r="Q323" s="9"/>
      <c r="R323" s="9"/>
      <c r="S323" s="9"/>
    </row>
    <row r="324" spans="5:19" ht="15.75" customHeight="1" x14ac:dyDescent="0.3">
      <c r="E324" s="9"/>
      <c r="F324" s="9"/>
      <c r="H324" s="9"/>
      <c r="M324" s="9"/>
      <c r="N324" s="9"/>
      <c r="O324" s="9"/>
      <c r="P324" s="9"/>
      <c r="Q324" s="9"/>
      <c r="R324" s="9"/>
      <c r="S324" s="9"/>
    </row>
    <row r="325" spans="5:19" ht="15.75" customHeight="1" x14ac:dyDescent="0.3">
      <c r="E325" s="9"/>
      <c r="F325" s="9"/>
      <c r="H325" s="9"/>
      <c r="M325" s="9"/>
      <c r="N325" s="9"/>
      <c r="O325" s="9"/>
      <c r="P325" s="9"/>
      <c r="Q325" s="9"/>
      <c r="R325" s="9"/>
      <c r="S325" s="9"/>
    </row>
    <row r="326" spans="5:19" ht="15.75" customHeight="1" x14ac:dyDescent="0.3">
      <c r="E326" s="9"/>
      <c r="F326" s="9"/>
      <c r="H326" s="9"/>
      <c r="M326" s="9"/>
      <c r="N326" s="9"/>
      <c r="O326" s="9"/>
      <c r="P326" s="9"/>
      <c r="Q326" s="9"/>
      <c r="R326" s="9"/>
      <c r="S326" s="9"/>
    </row>
    <row r="327" spans="5:19" ht="15.75" customHeight="1" x14ac:dyDescent="0.3">
      <c r="E327" s="9"/>
      <c r="F327" s="9"/>
      <c r="H327" s="9"/>
      <c r="M327" s="9"/>
      <c r="N327" s="9"/>
      <c r="O327" s="9"/>
      <c r="P327" s="9"/>
      <c r="Q327" s="9"/>
      <c r="R327" s="9"/>
      <c r="S327" s="9"/>
    </row>
    <row r="328" spans="5:19" ht="15.75" customHeight="1" x14ac:dyDescent="0.3">
      <c r="E328" s="9"/>
      <c r="F328" s="9"/>
      <c r="H328" s="9"/>
      <c r="M328" s="9"/>
      <c r="N328" s="9"/>
      <c r="O328" s="9"/>
      <c r="P328" s="9"/>
      <c r="Q328" s="9"/>
      <c r="R328" s="9"/>
      <c r="S328" s="9"/>
    </row>
    <row r="329" spans="5:19" ht="15.75" customHeight="1" x14ac:dyDescent="0.3">
      <c r="E329" s="9"/>
      <c r="F329" s="9"/>
      <c r="H329" s="9"/>
      <c r="M329" s="9"/>
      <c r="N329" s="9"/>
      <c r="O329" s="9"/>
      <c r="P329" s="9"/>
      <c r="Q329" s="9"/>
      <c r="R329" s="9"/>
      <c r="S329" s="9"/>
    </row>
    <row r="330" spans="5:19" ht="15.75" customHeight="1" x14ac:dyDescent="0.3">
      <c r="E330" s="9"/>
      <c r="F330" s="9"/>
      <c r="H330" s="9"/>
      <c r="M330" s="9"/>
      <c r="N330" s="9"/>
      <c r="O330" s="9"/>
      <c r="P330" s="9"/>
      <c r="Q330" s="9"/>
      <c r="R330" s="9"/>
      <c r="S330" s="9"/>
    </row>
    <row r="331" spans="5:19" ht="15.75" customHeight="1" x14ac:dyDescent="0.3">
      <c r="E331" s="9"/>
      <c r="F331" s="9"/>
      <c r="H331" s="9"/>
      <c r="M331" s="9"/>
      <c r="N331" s="9"/>
      <c r="O331" s="9"/>
      <c r="P331" s="9"/>
      <c r="Q331" s="9"/>
      <c r="R331" s="9"/>
      <c r="S331" s="9"/>
    </row>
    <row r="332" spans="5:19" ht="15.75" customHeight="1" x14ac:dyDescent="0.3">
      <c r="E332" s="9"/>
      <c r="F332" s="9"/>
      <c r="H332" s="9"/>
      <c r="M332" s="9"/>
      <c r="N332" s="9"/>
      <c r="O332" s="9"/>
      <c r="P332" s="9"/>
      <c r="Q332" s="9"/>
      <c r="R332" s="9"/>
      <c r="S332" s="9"/>
    </row>
    <row r="333" spans="5:19" ht="15.75" customHeight="1" x14ac:dyDescent="0.3">
      <c r="E333" s="9"/>
      <c r="F333" s="9"/>
      <c r="H333" s="9"/>
      <c r="M333" s="9"/>
      <c r="N333" s="9"/>
      <c r="O333" s="9"/>
      <c r="P333" s="9"/>
      <c r="Q333" s="9"/>
      <c r="R333" s="9"/>
      <c r="S333" s="9"/>
    </row>
    <row r="334" spans="5:19" ht="15.75" customHeight="1" x14ac:dyDescent="0.3">
      <c r="E334" s="9"/>
      <c r="F334" s="9"/>
      <c r="H334" s="9"/>
      <c r="M334" s="9"/>
      <c r="N334" s="9"/>
      <c r="O334" s="9"/>
      <c r="P334" s="9"/>
      <c r="Q334" s="9"/>
      <c r="R334" s="9"/>
      <c r="S334" s="9"/>
    </row>
    <row r="335" spans="5:19" ht="15.75" customHeight="1" x14ac:dyDescent="0.3">
      <c r="E335" s="9"/>
      <c r="F335" s="9"/>
      <c r="H335" s="9"/>
      <c r="M335" s="9"/>
      <c r="N335" s="9"/>
      <c r="O335" s="9"/>
      <c r="P335" s="9"/>
      <c r="Q335" s="9"/>
      <c r="R335" s="9"/>
      <c r="S335" s="9"/>
    </row>
    <row r="336" spans="5:19" ht="15.75" customHeight="1" x14ac:dyDescent="0.3">
      <c r="E336" s="9"/>
      <c r="F336" s="9"/>
      <c r="H336" s="9"/>
      <c r="M336" s="9"/>
      <c r="N336" s="9"/>
      <c r="O336" s="9"/>
      <c r="P336" s="9"/>
      <c r="Q336" s="9"/>
      <c r="R336" s="9"/>
      <c r="S336" s="9"/>
    </row>
    <row r="337" spans="5:19" ht="15.75" customHeight="1" x14ac:dyDescent="0.3">
      <c r="E337" s="9"/>
      <c r="F337" s="9"/>
      <c r="H337" s="9"/>
      <c r="M337" s="9"/>
      <c r="N337" s="9"/>
      <c r="O337" s="9"/>
      <c r="P337" s="9"/>
      <c r="Q337" s="9"/>
      <c r="R337" s="9"/>
      <c r="S337" s="9"/>
    </row>
    <row r="338" spans="5:19" ht="15.75" customHeight="1" x14ac:dyDescent="0.3">
      <c r="E338" s="9"/>
      <c r="F338" s="9"/>
      <c r="H338" s="9"/>
      <c r="M338" s="9"/>
      <c r="N338" s="9"/>
      <c r="O338" s="9"/>
      <c r="P338" s="9"/>
      <c r="Q338" s="9"/>
      <c r="R338" s="9"/>
      <c r="S338" s="9"/>
    </row>
    <row r="339" spans="5:19" ht="15.75" customHeight="1" x14ac:dyDescent="0.3">
      <c r="E339" s="9"/>
      <c r="F339" s="9"/>
      <c r="H339" s="9"/>
      <c r="M339" s="9"/>
      <c r="N339" s="9"/>
      <c r="O339" s="9"/>
      <c r="P339" s="9"/>
      <c r="Q339" s="9"/>
      <c r="R339" s="9"/>
      <c r="S339" s="9"/>
    </row>
    <row r="340" spans="5:19" ht="15.75" customHeight="1" x14ac:dyDescent="0.3">
      <c r="E340" s="9"/>
      <c r="F340" s="9"/>
      <c r="H340" s="9"/>
      <c r="M340" s="9"/>
      <c r="N340" s="9"/>
      <c r="O340" s="9"/>
      <c r="P340" s="9"/>
      <c r="Q340" s="9"/>
      <c r="R340" s="9"/>
      <c r="S340" s="9"/>
    </row>
    <row r="341" spans="5:19" ht="15.75" customHeight="1" x14ac:dyDescent="0.3">
      <c r="E341" s="9"/>
      <c r="F341" s="9"/>
      <c r="H341" s="9"/>
      <c r="M341" s="9"/>
      <c r="N341" s="9"/>
      <c r="O341" s="9"/>
      <c r="P341" s="9"/>
      <c r="Q341" s="9"/>
      <c r="R341" s="9"/>
      <c r="S341" s="9"/>
    </row>
    <row r="342" spans="5:19" ht="15.75" customHeight="1" x14ac:dyDescent="0.3">
      <c r="E342" s="9"/>
      <c r="F342" s="9"/>
      <c r="H342" s="9"/>
      <c r="M342" s="9"/>
      <c r="N342" s="9"/>
      <c r="O342" s="9"/>
      <c r="P342" s="9"/>
      <c r="Q342" s="9"/>
      <c r="R342" s="9"/>
      <c r="S342" s="9"/>
    </row>
    <row r="343" spans="5:19" ht="15.75" customHeight="1" x14ac:dyDescent="0.3">
      <c r="E343" s="9"/>
      <c r="F343" s="9"/>
      <c r="H343" s="9"/>
      <c r="M343" s="9"/>
      <c r="N343" s="9"/>
      <c r="O343" s="9"/>
      <c r="P343" s="9"/>
      <c r="Q343" s="9"/>
      <c r="R343" s="9"/>
      <c r="S343" s="9"/>
    </row>
    <row r="344" spans="5:19" ht="15.75" customHeight="1" x14ac:dyDescent="0.3">
      <c r="E344" s="9"/>
      <c r="F344" s="9"/>
      <c r="H344" s="9"/>
      <c r="M344" s="9"/>
      <c r="N344" s="9"/>
      <c r="O344" s="9"/>
      <c r="P344" s="9"/>
      <c r="Q344" s="9"/>
      <c r="R344" s="9"/>
      <c r="S344" s="9"/>
    </row>
    <row r="345" spans="5:19" ht="15.75" customHeight="1" x14ac:dyDescent="0.3">
      <c r="E345" s="9"/>
      <c r="F345" s="9"/>
      <c r="H345" s="9"/>
      <c r="M345" s="9"/>
      <c r="N345" s="9"/>
      <c r="O345" s="9"/>
      <c r="P345" s="9"/>
      <c r="Q345" s="9"/>
      <c r="R345" s="9"/>
      <c r="S345" s="9"/>
    </row>
    <row r="346" spans="5:19" ht="15.75" customHeight="1" x14ac:dyDescent="0.3">
      <c r="E346" s="9"/>
      <c r="F346" s="9"/>
      <c r="H346" s="9"/>
      <c r="M346" s="9"/>
      <c r="N346" s="9"/>
      <c r="O346" s="9"/>
      <c r="P346" s="9"/>
      <c r="Q346" s="9"/>
      <c r="R346" s="9"/>
      <c r="S346" s="9"/>
    </row>
    <row r="347" spans="5:19" ht="15.75" customHeight="1" x14ac:dyDescent="0.3">
      <c r="E347" s="9"/>
      <c r="F347" s="9"/>
      <c r="H347" s="9"/>
      <c r="M347" s="9"/>
      <c r="N347" s="9"/>
      <c r="O347" s="9"/>
      <c r="P347" s="9"/>
      <c r="Q347" s="9"/>
      <c r="R347" s="9"/>
      <c r="S347" s="9"/>
    </row>
    <row r="348" spans="5:19" ht="15.75" customHeight="1" x14ac:dyDescent="0.3">
      <c r="E348" s="9"/>
      <c r="F348" s="9"/>
      <c r="H348" s="9"/>
      <c r="M348" s="9"/>
      <c r="N348" s="9"/>
      <c r="O348" s="9"/>
      <c r="P348" s="9"/>
      <c r="Q348" s="9"/>
      <c r="R348" s="9"/>
      <c r="S348" s="9"/>
    </row>
    <row r="349" spans="5:19" ht="15.75" customHeight="1" x14ac:dyDescent="0.3">
      <c r="E349" s="9"/>
      <c r="F349" s="9"/>
      <c r="H349" s="9"/>
      <c r="M349" s="9"/>
      <c r="N349" s="9"/>
      <c r="O349" s="9"/>
      <c r="P349" s="9"/>
      <c r="Q349" s="9"/>
      <c r="R349" s="9"/>
      <c r="S349" s="9"/>
    </row>
    <row r="350" spans="5:19" ht="15.75" customHeight="1" x14ac:dyDescent="0.3">
      <c r="E350" s="9"/>
      <c r="F350" s="9"/>
      <c r="H350" s="9"/>
      <c r="M350" s="9"/>
      <c r="N350" s="9"/>
      <c r="O350" s="9"/>
      <c r="P350" s="9"/>
      <c r="Q350" s="9"/>
      <c r="R350" s="9"/>
      <c r="S350" s="9"/>
    </row>
    <row r="351" spans="5:19" ht="15.75" customHeight="1" x14ac:dyDescent="0.3">
      <c r="E351" s="9"/>
      <c r="F351" s="9"/>
      <c r="H351" s="9"/>
      <c r="M351" s="9"/>
      <c r="N351" s="9"/>
      <c r="O351" s="9"/>
      <c r="P351" s="9"/>
      <c r="Q351" s="9"/>
      <c r="R351" s="9"/>
      <c r="S351" s="9"/>
    </row>
    <row r="352" spans="5:19" ht="15.75" customHeight="1" x14ac:dyDescent="0.3">
      <c r="E352" s="9"/>
      <c r="F352" s="9"/>
      <c r="H352" s="9"/>
      <c r="M352" s="9"/>
      <c r="N352" s="9"/>
      <c r="O352" s="9"/>
      <c r="P352" s="9"/>
      <c r="Q352" s="9"/>
      <c r="R352" s="9"/>
      <c r="S352" s="9"/>
    </row>
    <row r="353" spans="5:19" ht="15.75" customHeight="1" x14ac:dyDescent="0.3">
      <c r="E353" s="9"/>
      <c r="F353" s="9"/>
      <c r="H353" s="9"/>
      <c r="M353" s="9"/>
      <c r="N353" s="9"/>
      <c r="O353" s="9"/>
      <c r="P353" s="9"/>
      <c r="Q353" s="9"/>
      <c r="R353" s="9"/>
      <c r="S353" s="9"/>
    </row>
    <row r="354" spans="5:19" ht="15.75" customHeight="1" x14ac:dyDescent="0.3">
      <c r="E354" s="9"/>
      <c r="F354" s="9"/>
      <c r="H354" s="9"/>
      <c r="M354" s="9"/>
      <c r="N354" s="9"/>
      <c r="O354" s="9"/>
      <c r="P354" s="9"/>
      <c r="Q354" s="9"/>
      <c r="R354" s="9"/>
      <c r="S354" s="9"/>
    </row>
    <row r="355" spans="5:19" ht="15.75" customHeight="1" x14ac:dyDescent="0.3">
      <c r="E355" s="9"/>
      <c r="F355" s="9"/>
      <c r="H355" s="9"/>
      <c r="M355" s="9"/>
      <c r="N355" s="9"/>
      <c r="O355" s="9"/>
      <c r="P355" s="9"/>
      <c r="Q355" s="9"/>
      <c r="R355" s="9"/>
      <c r="S355" s="9"/>
    </row>
    <row r="356" spans="5:19" ht="15.75" customHeight="1" x14ac:dyDescent="0.3">
      <c r="E356" s="9"/>
      <c r="F356" s="9"/>
      <c r="H356" s="9"/>
      <c r="M356" s="9"/>
      <c r="N356" s="9"/>
      <c r="O356" s="9"/>
      <c r="P356" s="9"/>
      <c r="Q356" s="9"/>
      <c r="R356" s="9"/>
      <c r="S356" s="9"/>
    </row>
    <row r="357" spans="5:19" ht="15.75" customHeight="1" x14ac:dyDescent="0.3">
      <c r="E357" s="9"/>
      <c r="F357" s="9"/>
      <c r="H357" s="9"/>
      <c r="M357" s="9"/>
      <c r="N357" s="9"/>
      <c r="O357" s="9"/>
      <c r="P357" s="9"/>
      <c r="Q357" s="9"/>
      <c r="R357" s="9"/>
      <c r="S357" s="9"/>
    </row>
    <row r="358" spans="5:19" ht="15.75" customHeight="1" x14ac:dyDescent="0.3">
      <c r="E358" s="9"/>
      <c r="F358" s="9"/>
      <c r="H358" s="9"/>
      <c r="M358" s="9"/>
      <c r="N358" s="9"/>
      <c r="O358" s="9"/>
      <c r="P358" s="9"/>
      <c r="Q358" s="9"/>
      <c r="R358" s="9"/>
      <c r="S358" s="9"/>
    </row>
    <row r="359" spans="5:19" ht="15.75" customHeight="1" x14ac:dyDescent="0.3">
      <c r="E359" s="9"/>
      <c r="F359" s="9"/>
      <c r="H359" s="9"/>
      <c r="M359" s="9"/>
      <c r="N359" s="9"/>
      <c r="O359" s="9"/>
      <c r="P359" s="9"/>
      <c r="Q359" s="9"/>
      <c r="R359" s="9"/>
      <c r="S359" s="9"/>
    </row>
    <row r="360" spans="5:19" ht="15.75" customHeight="1" x14ac:dyDescent="0.3">
      <c r="E360" s="9"/>
      <c r="F360" s="9"/>
      <c r="H360" s="9"/>
      <c r="M360" s="9"/>
      <c r="N360" s="9"/>
      <c r="O360" s="9"/>
      <c r="P360" s="9"/>
      <c r="Q360" s="9"/>
      <c r="R360" s="9"/>
      <c r="S360" s="9"/>
    </row>
    <row r="361" spans="5:19" ht="15.75" customHeight="1" x14ac:dyDescent="0.3">
      <c r="E361" s="9"/>
      <c r="F361" s="9"/>
      <c r="H361" s="9"/>
      <c r="M361" s="9"/>
      <c r="N361" s="9"/>
      <c r="O361" s="9"/>
      <c r="P361" s="9"/>
      <c r="Q361" s="9"/>
      <c r="R361" s="9"/>
      <c r="S361" s="9"/>
    </row>
    <row r="362" spans="5:19" ht="15.75" customHeight="1" x14ac:dyDescent="0.3">
      <c r="E362" s="9"/>
      <c r="F362" s="9"/>
      <c r="H362" s="9"/>
      <c r="M362" s="9"/>
      <c r="N362" s="9"/>
      <c r="O362" s="9"/>
      <c r="P362" s="9"/>
      <c r="Q362" s="9"/>
      <c r="R362" s="9"/>
      <c r="S362" s="9"/>
    </row>
    <row r="363" spans="5:19" ht="15.75" customHeight="1" x14ac:dyDescent="0.3">
      <c r="E363" s="9"/>
      <c r="F363" s="9"/>
      <c r="H363" s="9"/>
      <c r="M363" s="9"/>
      <c r="N363" s="9"/>
      <c r="O363" s="9"/>
      <c r="P363" s="9"/>
      <c r="Q363" s="9"/>
      <c r="R363" s="9"/>
      <c r="S363" s="9"/>
    </row>
    <row r="364" spans="5:19" ht="15.75" customHeight="1" x14ac:dyDescent="0.3">
      <c r="E364" s="9"/>
      <c r="F364" s="9"/>
      <c r="H364" s="9"/>
      <c r="M364" s="9"/>
      <c r="N364" s="9"/>
      <c r="O364" s="9"/>
      <c r="P364" s="9"/>
      <c r="Q364" s="9"/>
      <c r="R364" s="9"/>
      <c r="S364" s="9"/>
    </row>
    <row r="365" spans="5:19" ht="15.75" customHeight="1" x14ac:dyDescent="0.3">
      <c r="E365" s="9"/>
      <c r="F365" s="9"/>
      <c r="H365" s="9"/>
      <c r="M365" s="9"/>
      <c r="N365" s="9"/>
      <c r="O365" s="9"/>
      <c r="P365" s="9"/>
      <c r="Q365" s="9"/>
      <c r="R365" s="9"/>
      <c r="S365" s="9"/>
    </row>
    <row r="366" spans="5:19" ht="15.75" customHeight="1" x14ac:dyDescent="0.3">
      <c r="E366" s="9"/>
      <c r="F366" s="9"/>
      <c r="H366" s="9"/>
      <c r="M366" s="9"/>
      <c r="N366" s="9"/>
      <c r="O366" s="9"/>
      <c r="P366" s="9"/>
      <c r="Q366" s="9"/>
      <c r="R366" s="9"/>
      <c r="S366" s="9"/>
    </row>
    <row r="367" spans="5:19" ht="15.75" customHeight="1" x14ac:dyDescent="0.3">
      <c r="E367" s="9"/>
      <c r="F367" s="9"/>
      <c r="H367" s="9"/>
      <c r="M367" s="9"/>
      <c r="N367" s="9"/>
      <c r="O367" s="9"/>
      <c r="P367" s="9"/>
      <c r="Q367" s="9"/>
      <c r="R367" s="9"/>
      <c r="S367" s="9"/>
    </row>
    <row r="368" spans="5:19" ht="15.75" customHeight="1" x14ac:dyDescent="0.3">
      <c r="E368" s="9"/>
      <c r="F368" s="9"/>
      <c r="H368" s="9"/>
      <c r="M368" s="9"/>
      <c r="N368" s="9"/>
      <c r="O368" s="9"/>
      <c r="P368" s="9"/>
      <c r="Q368" s="9"/>
      <c r="R368" s="9"/>
      <c r="S368" s="9"/>
    </row>
    <row r="369" spans="5:19" ht="15.75" customHeight="1" x14ac:dyDescent="0.3">
      <c r="E369" s="9"/>
      <c r="F369" s="9"/>
      <c r="H369" s="9"/>
      <c r="M369" s="9"/>
      <c r="N369" s="9"/>
      <c r="O369" s="9"/>
      <c r="P369" s="9"/>
      <c r="Q369" s="9"/>
      <c r="R369" s="9"/>
      <c r="S369" s="9"/>
    </row>
    <row r="370" spans="5:19" ht="15.75" customHeight="1" x14ac:dyDescent="0.3">
      <c r="E370" s="9"/>
      <c r="F370" s="9"/>
      <c r="H370" s="9"/>
      <c r="M370" s="9"/>
      <c r="N370" s="9"/>
      <c r="O370" s="9"/>
      <c r="P370" s="9"/>
      <c r="Q370" s="9"/>
      <c r="R370" s="9"/>
      <c r="S370" s="9"/>
    </row>
    <row r="371" spans="5:19" ht="15.75" customHeight="1" x14ac:dyDescent="0.3">
      <c r="E371" s="9"/>
      <c r="F371" s="9"/>
      <c r="H371" s="9"/>
      <c r="M371" s="9"/>
      <c r="N371" s="9"/>
      <c r="O371" s="9"/>
      <c r="P371" s="9"/>
      <c r="Q371" s="9"/>
      <c r="R371" s="9"/>
      <c r="S371" s="9"/>
    </row>
    <row r="372" spans="5:19" ht="15.75" customHeight="1" x14ac:dyDescent="0.3">
      <c r="E372" s="9"/>
      <c r="F372" s="9"/>
      <c r="H372" s="9"/>
      <c r="M372" s="9"/>
      <c r="N372" s="9"/>
      <c r="O372" s="9"/>
      <c r="P372" s="9"/>
      <c r="Q372" s="9"/>
      <c r="R372" s="9"/>
      <c r="S372" s="9"/>
    </row>
    <row r="373" spans="5:19" ht="15.75" customHeight="1" x14ac:dyDescent="0.3">
      <c r="E373" s="9"/>
      <c r="F373" s="9"/>
      <c r="H373" s="9"/>
      <c r="M373" s="9"/>
      <c r="N373" s="9"/>
      <c r="O373" s="9"/>
      <c r="P373" s="9"/>
      <c r="Q373" s="9"/>
      <c r="R373" s="9"/>
      <c r="S373" s="9"/>
    </row>
    <row r="374" spans="5:19" ht="15.75" customHeight="1" x14ac:dyDescent="0.3">
      <c r="E374" s="9"/>
      <c r="F374" s="9"/>
      <c r="H374" s="9"/>
      <c r="M374" s="9"/>
      <c r="N374" s="9"/>
      <c r="O374" s="9"/>
      <c r="P374" s="9"/>
      <c r="Q374" s="9"/>
      <c r="R374" s="9"/>
      <c r="S374" s="9"/>
    </row>
    <row r="375" spans="5:19" ht="15.75" customHeight="1" x14ac:dyDescent="0.3">
      <c r="E375" s="9"/>
      <c r="F375" s="9"/>
      <c r="H375" s="9"/>
      <c r="M375" s="9"/>
      <c r="N375" s="9"/>
      <c r="O375" s="9"/>
      <c r="P375" s="9"/>
      <c r="Q375" s="9"/>
      <c r="R375" s="9"/>
      <c r="S375" s="9"/>
    </row>
    <row r="376" spans="5:19" ht="15.75" customHeight="1" x14ac:dyDescent="0.3">
      <c r="E376" s="9"/>
      <c r="F376" s="9"/>
      <c r="H376" s="9"/>
      <c r="M376" s="9"/>
      <c r="N376" s="9"/>
      <c r="O376" s="9"/>
      <c r="P376" s="9"/>
      <c r="Q376" s="9"/>
      <c r="R376" s="9"/>
      <c r="S376" s="9"/>
    </row>
    <row r="377" spans="5:19" ht="15.75" customHeight="1" x14ac:dyDescent="0.3">
      <c r="E377" s="9"/>
      <c r="F377" s="9"/>
      <c r="H377" s="9"/>
      <c r="M377" s="9"/>
      <c r="N377" s="9"/>
      <c r="O377" s="9"/>
      <c r="P377" s="9"/>
      <c r="Q377" s="9"/>
      <c r="R377" s="9"/>
      <c r="S377" s="9"/>
    </row>
    <row r="378" spans="5:19" ht="15.75" customHeight="1" x14ac:dyDescent="0.3">
      <c r="E378" s="9"/>
      <c r="F378" s="9"/>
      <c r="H378" s="9"/>
      <c r="M378" s="9"/>
      <c r="N378" s="9"/>
      <c r="O378" s="9"/>
      <c r="P378" s="9"/>
      <c r="Q378" s="9"/>
      <c r="R378" s="9"/>
      <c r="S378" s="9"/>
    </row>
    <row r="379" spans="5:19" ht="15.75" customHeight="1" x14ac:dyDescent="0.3">
      <c r="E379" s="9"/>
      <c r="F379" s="9"/>
      <c r="H379" s="9"/>
      <c r="M379" s="9"/>
      <c r="N379" s="9"/>
      <c r="O379" s="9"/>
      <c r="P379" s="9"/>
      <c r="Q379" s="9"/>
      <c r="R379" s="9"/>
      <c r="S379" s="9"/>
    </row>
    <row r="380" spans="5:19" ht="15.75" customHeight="1" x14ac:dyDescent="0.3">
      <c r="E380" s="9"/>
      <c r="F380" s="9"/>
      <c r="H380" s="9"/>
      <c r="M380" s="9"/>
      <c r="N380" s="9"/>
      <c r="O380" s="9"/>
      <c r="P380" s="9"/>
      <c r="Q380" s="9"/>
      <c r="R380" s="9"/>
      <c r="S380" s="9"/>
    </row>
    <row r="381" spans="5:19" ht="15.75" customHeight="1" x14ac:dyDescent="0.3">
      <c r="E381" s="9"/>
      <c r="F381" s="9"/>
      <c r="H381" s="9"/>
      <c r="M381" s="9"/>
      <c r="N381" s="9"/>
      <c r="O381" s="9"/>
      <c r="P381" s="9"/>
      <c r="Q381" s="9"/>
      <c r="R381" s="9"/>
      <c r="S381" s="9"/>
    </row>
    <row r="382" spans="5:19" ht="15.75" customHeight="1" x14ac:dyDescent="0.3">
      <c r="E382" s="9"/>
      <c r="F382" s="9"/>
      <c r="H382" s="9"/>
      <c r="M382" s="9"/>
      <c r="N382" s="9"/>
      <c r="O382" s="9"/>
      <c r="P382" s="9"/>
      <c r="Q382" s="9"/>
      <c r="R382" s="9"/>
      <c r="S382" s="9"/>
    </row>
    <row r="383" spans="5:19" ht="15.75" customHeight="1" x14ac:dyDescent="0.3">
      <c r="E383" s="9"/>
      <c r="F383" s="9"/>
      <c r="H383" s="9"/>
      <c r="M383" s="9"/>
      <c r="N383" s="9"/>
      <c r="O383" s="9"/>
      <c r="P383" s="9"/>
      <c r="Q383" s="9"/>
      <c r="R383" s="9"/>
      <c r="S383" s="9"/>
    </row>
    <row r="384" spans="5:19" ht="15.75" customHeight="1" x14ac:dyDescent="0.3">
      <c r="E384" s="9"/>
      <c r="F384" s="9"/>
      <c r="H384" s="9"/>
      <c r="M384" s="9"/>
      <c r="N384" s="9"/>
      <c r="O384" s="9"/>
      <c r="P384" s="9"/>
      <c r="Q384" s="9"/>
      <c r="R384" s="9"/>
      <c r="S384" s="9"/>
    </row>
    <row r="385" spans="5:19" ht="15.75" customHeight="1" x14ac:dyDescent="0.3">
      <c r="E385" s="9"/>
      <c r="F385" s="9"/>
      <c r="H385" s="9"/>
      <c r="M385" s="9"/>
      <c r="N385" s="9"/>
      <c r="O385" s="9"/>
      <c r="P385" s="9"/>
      <c r="Q385" s="9"/>
      <c r="R385" s="9"/>
      <c r="S385" s="9"/>
    </row>
    <row r="386" spans="5:19" ht="15.75" customHeight="1" x14ac:dyDescent="0.3">
      <c r="E386" s="9"/>
      <c r="F386" s="9"/>
      <c r="H386" s="9"/>
      <c r="M386" s="9"/>
      <c r="N386" s="9"/>
      <c r="O386" s="9"/>
      <c r="P386" s="9"/>
      <c r="Q386" s="9"/>
      <c r="R386" s="9"/>
      <c r="S386" s="9"/>
    </row>
    <row r="387" spans="5:19" ht="15.75" customHeight="1" x14ac:dyDescent="0.3">
      <c r="E387" s="9"/>
      <c r="F387" s="9"/>
      <c r="H387" s="9"/>
      <c r="M387" s="9"/>
      <c r="N387" s="9"/>
      <c r="O387" s="9"/>
      <c r="P387" s="9"/>
      <c r="Q387" s="9"/>
      <c r="R387" s="9"/>
      <c r="S387" s="9"/>
    </row>
    <row r="388" spans="5:19" ht="15.75" customHeight="1" x14ac:dyDescent="0.3">
      <c r="E388" s="9"/>
      <c r="F388" s="9"/>
      <c r="H388" s="9"/>
      <c r="M388" s="9"/>
      <c r="N388" s="9"/>
      <c r="O388" s="9"/>
      <c r="P388" s="9"/>
      <c r="Q388" s="9"/>
      <c r="R388" s="9"/>
      <c r="S388" s="9"/>
    </row>
    <row r="389" spans="5:19" ht="15.75" customHeight="1" x14ac:dyDescent="0.3">
      <c r="E389" s="9"/>
      <c r="F389" s="9"/>
      <c r="H389" s="9"/>
      <c r="M389" s="9"/>
      <c r="N389" s="9"/>
      <c r="O389" s="9"/>
      <c r="P389" s="9"/>
      <c r="Q389" s="9"/>
      <c r="R389" s="9"/>
      <c r="S389" s="9"/>
    </row>
    <row r="390" spans="5:19" ht="15.75" customHeight="1" x14ac:dyDescent="0.3">
      <c r="E390" s="9"/>
      <c r="F390" s="9"/>
      <c r="H390" s="9"/>
      <c r="M390" s="9"/>
      <c r="N390" s="9"/>
      <c r="O390" s="9"/>
      <c r="P390" s="9"/>
      <c r="Q390" s="9"/>
      <c r="R390" s="9"/>
      <c r="S390" s="9"/>
    </row>
    <row r="391" spans="5:19" ht="15.75" customHeight="1" x14ac:dyDescent="0.3">
      <c r="E391" s="9"/>
      <c r="F391" s="9"/>
      <c r="H391" s="9"/>
      <c r="M391" s="9"/>
      <c r="N391" s="9"/>
      <c r="O391" s="9"/>
      <c r="P391" s="9"/>
      <c r="Q391" s="9"/>
      <c r="R391" s="9"/>
      <c r="S391" s="9"/>
    </row>
    <row r="392" spans="5:19" ht="15.75" customHeight="1" x14ac:dyDescent="0.3">
      <c r="E392" s="9"/>
      <c r="F392" s="9"/>
      <c r="H392" s="9"/>
      <c r="M392" s="9"/>
      <c r="N392" s="9"/>
      <c r="O392" s="9"/>
      <c r="P392" s="9"/>
      <c r="Q392" s="9"/>
      <c r="R392" s="9"/>
      <c r="S392" s="9"/>
    </row>
    <row r="393" spans="5:19" ht="15.75" customHeight="1" x14ac:dyDescent="0.3">
      <c r="E393" s="9"/>
      <c r="F393" s="9"/>
      <c r="H393" s="9"/>
      <c r="M393" s="9"/>
      <c r="N393" s="9"/>
      <c r="O393" s="9"/>
      <c r="P393" s="9"/>
      <c r="Q393" s="9"/>
      <c r="R393" s="9"/>
      <c r="S393" s="9"/>
    </row>
    <row r="394" spans="5:19" ht="15.75" customHeight="1" x14ac:dyDescent="0.3">
      <c r="E394" s="9"/>
      <c r="F394" s="9"/>
      <c r="H394" s="9"/>
      <c r="M394" s="9"/>
      <c r="N394" s="9"/>
      <c r="O394" s="9"/>
      <c r="P394" s="9"/>
      <c r="Q394" s="9"/>
      <c r="R394" s="9"/>
      <c r="S394" s="9"/>
    </row>
    <row r="395" spans="5:19" ht="15.75" customHeight="1" x14ac:dyDescent="0.3">
      <c r="E395" s="9"/>
      <c r="F395" s="9"/>
      <c r="H395" s="9"/>
      <c r="M395" s="9"/>
      <c r="N395" s="9"/>
      <c r="O395" s="9"/>
      <c r="P395" s="9"/>
      <c r="Q395" s="9"/>
      <c r="R395" s="9"/>
      <c r="S395" s="9"/>
    </row>
    <row r="396" spans="5:19" ht="15.75" customHeight="1" x14ac:dyDescent="0.3">
      <c r="E396" s="9"/>
      <c r="F396" s="9"/>
      <c r="H396" s="9"/>
      <c r="M396" s="9"/>
      <c r="N396" s="9"/>
      <c r="O396" s="9"/>
      <c r="P396" s="9"/>
      <c r="Q396" s="9"/>
      <c r="R396" s="9"/>
      <c r="S396" s="9"/>
    </row>
    <row r="397" spans="5:19" ht="15.75" customHeight="1" x14ac:dyDescent="0.3">
      <c r="E397" s="9"/>
      <c r="F397" s="9"/>
      <c r="H397" s="9"/>
      <c r="M397" s="9"/>
      <c r="N397" s="9"/>
      <c r="O397" s="9"/>
      <c r="P397" s="9"/>
      <c r="Q397" s="9"/>
      <c r="R397" s="9"/>
      <c r="S397" s="9"/>
    </row>
    <row r="398" spans="5:19" ht="15.75" customHeight="1" x14ac:dyDescent="0.3">
      <c r="E398" s="9"/>
      <c r="F398" s="9"/>
      <c r="H398" s="9"/>
      <c r="M398" s="9"/>
      <c r="N398" s="9"/>
      <c r="O398" s="9"/>
      <c r="P398" s="9"/>
      <c r="Q398" s="9"/>
      <c r="R398" s="9"/>
      <c r="S398" s="9"/>
    </row>
    <row r="399" spans="5:19" ht="15.75" customHeight="1" x14ac:dyDescent="0.3">
      <c r="E399" s="9"/>
      <c r="F399" s="9"/>
      <c r="H399" s="9"/>
      <c r="M399" s="9"/>
      <c r="N399" s="9"/>
      <c r="O399" s="9"/>
      <c r="P399" s="9"/>
      <c r="Q399" s="9"/>
      <c r="R399" s="9"/>
      <c r="S399" s="9"/>
    </row>
    <row r="400" spans="5:19" ht="15.75" customHeight="1" x14ac:dyDescent="0.3">
      <c r="E400" s="9"/>
      <c r="F400" s="9"/>
      <c r="H400" s="9"/>
      <c r="M400" s="9"/>
      <c r="N400" s="9"/>
      <c r="O400" s="9"/>
      <c r="P400" s="9"/>
      <c r="Q400" s="9"/>
      <c r="R400" s="9"/>
      <c r="S400" s="9"/>
    </row>
    <row r="401" spans="5:19" ht="15.75" customHeight="1" x14ac:dyDescent="0.3">
      <c r="E401" s="9"/>
      <c r="F401" s="9"/>
      <c r="H401" s="9"/>
      <c r="M401" s="9"/>
      <c r="N401" s="9"/>
      <c r="O401" s="9"/>
      <c r="P401" s="9"/>
      <c r="Q401" s="9"/>
      <c r="R401" s="9"/>
      <c r="S401" s="9"/>
    </row>
    <row r="402" spans="5:19" ht="15.75" customHeight="1" x14ac:dyDescent="0.3">
      <c r="E402" s="9"/>
      <c r="F402" s="9"/>
      <c r="H402" s="9"/>
      <c r="M402" s="9"/>
      <c r="N402" s="9"/>
      <c r="O402" s="9"/>
      <c r="P402" s="9"/>
      <c r="Q402" s="9"/>
      <c r="R402" s="9"/>
      <c r="S402" s="9"/>
    </row>
    <row r="403" spans="5:19" ht="15.75" customHeight="1" x14ac:dyDescent="0.3">
      <c r="E403" s="9"/>
      <c r="F403" s="9"/>
      <c r="H403" s="9"/>
      <c r="M403" s="9"/>
      <c r="N403" s="9"/>
      <c r="O403" s="9"/>
      <c r="P403" s="9"/>
      <c r="Q403" s="9"/>
      <c r="R403" s="9"/>
      <c r="S403" s="9"/>
    </row>
    <row r="404" spans="5:19" ht="15.75" customHeight="1" x14ac:dyDescent="0.3">
      <c r="E404" s="9"/>
      <c r="F404" s="9"/>
      <c r="H404" s="9"/>
      <c r="M404" s="9"/>
      <c r="N404" s="9"/>
      <c r="O404" s="9"/>
      <c r="P404" s="9"/>
      <c r="Q404" s="9"/>
      <c r="R404" s="9"/>
      <c r="S404" s="9"/>
    </row>
    <row r="405" spans="5:19" ht="15.75" customHeight="1" x14ac:dyDescent="0.3">
      <c r="E405" s="9"/>
      <c r="F405" s="9"/>
      <c r="H405" s="9"/>
      <c r="M405" s="9"/>
      <c r="N405" s="9"/>
      <c r="O405" s="9"/>
      <c r="P405" s="9"/>
      <c r="Q405" s="9"/>
      <c r="R405" s="9"/>
      <c r="S405" s="9"/>
    </row>
    <row r="406" spans="5:19" ht="15.75" customHeight="1" x14ac:dyDescent="0.3">
      <c r="E406" s="9"/>
      <c r="F406" s="9"/>
      <c r="H406" s="9"/>
      <c r="M406" s="9"/>
      <c r="N406" s="9"/>
      <c r="O406" s="9"/>
      <c r="P406" s="9"/>
      <c r="Q406" s="9"/>
      <c r="R406" s="9"/>
      <c r="S406" s="9"/>
    </row>
    <row r="407" spans="5:19" ht="15.75" customHeight="1" x14ac:dyDescent="0.3">
      <c r="E407" s="9"/>
      <c r="F407" s="9"/>
      <c r="H407" s="9"/>
      <c r="M407" s="9"/>
      <c r="N407" s="9"/>
      <c r="O407" s="9"/>
      <c r="P407" s="9"/>
      <c r="Q407" s="9"/>
      <c r="R407" s="9"/>
      <c r="S407" s="9"/>
    </row>
    <row r="408" spans="5:19" ht="15.75" customHeight="1" x14ac:dyDescent="0.3">
      <c r="E408" s="9"/>
      <c r="F408" s="9"/>
      <c r="H408" s="9"/>
      <c r="M408" s="9"/>
      <c r="N408" s="9"/>
      <c r="O408" s="9"/>
      <c r="P408" s="9"/>
      <c r="Q408" s="9"/>
      <c r="R408" s="9"/>
      <c r="S408" s="9"/>
    </row>
    <row r="409" spans="5:19" ht="15.75" customHeight="1" x14ac:dyDescent="0.3">
      <c r="E409" s="9"/>
      <c r="F409" s="9"/>
      <c r="H409" s="9"/>
      <c r="M409" s="9"/>
      <c r="N409" s="9"/>
      <c r="O409" s="9"/>
      <c r="P409" s="9"/>
      <c r="Q409" s="9"/>
      <c r="R409" s="9"/>
      <c r="S409" s="9"/>
    </row>
    <row r="410" spans="5:19" ht="15.75" customHeight="1" x14ac:dyDescent="0.3">
      <c r="E410" s="9"/>
      <c r="F410" s="9"/>
      <c r="H410" s="9"/>
      <c r="M410" s="9"/>
      <c r="N410" s="9"/>
      <c r="O410" s="9"/>
      <c r="P410" s="9"/>
      <c r="Q410" s="9"/>
      <c r="R410" s="9"/>
      <c r="S410" s="9"/>
    </row>
    <row r="411" spans="5:19" ht="15.75" customHeight="1" x14ac:dyDescent="0.3">
      <c r="E411" s="9"/>
      <c r="F411" s="9"/>
      <c r="H411" s="9"/>
      <c r="M411" s="9"/>
      <c r="N411" s="9"/>
      <c r="O411" s="9"/>
      <c r="P411" s="9"/>
      <c r="Q411" s="9"/>
      <c r="R411" s="9"/>
      <c r="S411" s="9"/>
    </row>
    <row r="412" spans="5:19" ht="15.75" customHeight="1" x14ac:dyDescent="0.3">
      <c r="E412" s="9"/>
      <c r="F412" s="9"/>
      <c r="H412" s="9"/>
      <c r="M412" s="9"/>
      <c r="N412" s="9"/>
      <c r="O412" s="9"/>
      <c r="P412" s="9"/>
      <c r="Q412" s="9"/>
      <c r="R412" s="9"/>
      <c r="S412" s="9"/>
    </row>
    <row r="413" spans="5:19" ht="15.75" customHeight="1" x14ac:dyDescent="0.3">
      <c r="E413" s="9"/>
      <c r="F413" s="9"/>
      <c r="H413" s="9"/>
      <c r="M413" s="9"/>
      <c r="N413" s="9"/>
      <c r="O413" s="9"/>
      <c r="P413" s="9"/>
      <c r="Q413" s="9"/>
      <c r="R413" s="9"/>
      <c r="S413" s="9"/>
    </row>
    <row r="414" spans="5:19" ht="15.75" customHeight="1" x14ac:dyDescent="0.3">
      <c r="E414" s="9"/>
      <c r="F414" s="9"/>
      <c r="H414" s="9"/>
      <c r="M414" s="9"/>
      <c r="N414" s="9"/>
      <c r="O414" s="9"/>
      <c r="P414" s="9"/>
      <c r="Q414" s="9"/>
      <c r="R414" s="9"/>
      <c r="S414" s="9"/>
    </row>
    <row r="415" spans="5:19" ht="15.75" customHeight="1" x14ac:dyDescent="0.3">
      <c r="E415" s="9"/>
      <c r="F415" s="9"/>
      <c r="H415" s="9"/>
      <c r="M415" s="9"/>
      <c r="N415" s="9"/>
      <c r="O415" s="9"/>
      <c r="P415" s="9"/>
      <c r="Q415" s="9"/>
      <c r="R415" s="9"/>
      <c r="S415" s="9"/>
    </row>
    <row r="416" spans="5:19" ht="15.75" customHeight="1" x14ac:dyDescent="0.3">
      <c r="E416" s="9"/>
      <c r="F416" s="9"/>
      <c r="H416" s="9"/>
      <c r="M416" s="9"/>
      <c r="N416" s="9"/>
      <c r="O416" s="9"/>
      <c r="P416" s="9"/>
      <c r="Q416" s="9"/>
      <c r="R416" s="9"/>
      <c r="S416" s="9"/>
    </row>
    <row r="417" spans="5:19" ht="15.75" customHeight="1" x14ac:dyDescent="0.3">
      <c r="E417" s="9"/>
      <c r="F417" s="9"/>
      <c r="H417" s="9"/>
      <c r="M417" s="9"/>
      <c r="N417" s="9"/>
      <c r="O417" s="9"/>
      <c r="P417" s="9"/>
      <c r="Q417" s="9"/>
      <c r="R417" s="9"/>
      <c r="S417" s="9"/>
    </row>
    <row r="418" spans="5:19" ht="15.75" customHeight="1" x14ac:dyDescent="0.3">
      <c r="E418" s="9"/>
      <c r="F418" s="9"/>
      <c r="H418" s="9"/>
      <c r="M418" s="9"/>
      <c r="N418" s="9"/>
      <c r="O418" s="9"/>
      <c r="P418" s="9"/>
      <c r="Q418" s="9"/>
      <c r="R418" s="9"/>
      <c r="S418" s="9"/>
    </row>
    <row r="419" spans="5:19" ht="15.75" customHeight="1" x14ac:dyDescent="0.3">
      <c r="E419" s="9"/>
      <c r="F419" s="9"/>
      <c r="H419" s="9"/>
      <c r="M419" s="9"/>
      <c r="N419" s="9"/>
      <c r="O419" s="9"/>
      <c r="P419" s="9"/>
      <c r="Q419" s="9"/>
      <c r="R419" s="9"/>
      <c r="S419" s="9"/>
    </row>
    <row r="420" spans="5:19" ht="15.75" customHeight="1" x14ac:dyDescent="0.3">
      <c r="E420" s="9"/>
      <c r="F420" s="9"/>
      <c r="H420" s="9"/>
      <c r="M420" s="9"/>
      <c r="N420" s="9"/>
      <c r="O420" s="9"/>
      <c r="P420" s="9"/>
      <c r="Q420" s="9"/>
      <c r="R420" s="9"/>
      <c r="S420" s="9"/>
    </row>
    <row r="421" spans="5:19" ht="15.75" customHeight="1" x14ac:dyDescent="0.3">
      <c r="E421" s="9"/>
      <c r="F421" s="9"/>
      <c r="H421" s="9"/>
      <c r="M421" s="9"/>
      <c r="N421" s="9"/>
      <c r="O421" s="9"/>
      <c r="P421" s="9"/>
      <c r="Q421" s="9"/>
      <c r="R421" s="9"/>
      <c r="S421" s="9"/>
    </row>
    <row r="422" spans="5:19" ht="15.75" customHeight="1" x14ac:dyDescent="0.3">
      <c r="E422" s="9"/>
      <c r="F422" s="9"/>
      <c r="H422" s="9"/>
      <c r="M422" s="9"/>
      <c r="N422" s="9"/>
      <c r="O422" s="9"/>
      <c r="P422" s="9"/>
      <c r="Q422" s="9"/>
      <c r="R422" s="9"/>
      <c r="S422" s="9"/>
    </row>
    <row r="423" spans="5:19" ht="15.75" customHeight="1" x14ac:dyDescent="0.3">
      <c r="E423" s="9"/>
      <c r="F423" s="9"/>
      <c r="H423" s="9"/>
      <c r="M423" s="9"/>
      <c r="N423" s="9"/>
      <c r="O423" s="9"/>
      <c r="P423" s="9"/>
      <c r="Q423" s="9"/>
      <c r="R423" s="9"/>
      <c r="S423" s="9"/>
    </row>
    <row r="424" spans="5:19" ht="15.75" customHeight="1" x14ac:dyDescent="0.3">
      <c r="E424" s="9"/>
      <c r="F424" s="9"/>
      <c r="H424" s="9"/>
      <c r="M424" s="9"/>
      <c r="N424" s="9"/>
      <c r="O424" s="9"/>
      <c r="P424" s="9"/>
      <c r="Q424" s="9"/>
      <c r="R424" s="9"/>
      <c r="S424" s="9"/>
    </row>
    <row r="425" spans="5:19" ht="15.75" customHeight="1" x14ac:dyDescent="0.3">
      <c r="E425" s="9"/>
      <c r="F425" s="9"/>
      <c r="H425" s="9"/>
      <c r="M425" s="9"/>
      <c r="N425" s="9"/>
      <c r="O425" s="9"/>
      <c r="P425" s="9"/>
      <c r="Q425" s="9"/>
      <c r="R425" s="9"/>
      <c r="S425" s="9"/>
    </row>
    <row r="426" spans="5:19" ht="15.75" customHeight="1" x14ac:dyDescent="0.3">
      <c r="E426" s="9"/>
      <c r="F426" s="9"/>
      <c r="H426" s="9"/>
      <c r="M426" s="9"/>
      <c r="N426" s="9"/>
      <c r="O426" s="9"/>
      <c r="P426" s="9"/>
      <c r="Q426" s="9"/>
      <c r="R426" s="9"/>
      <c r="S426" s="9"/>
    </row>
    <row r="427" spans="5:19" ht="15.75" customHeight="1" x14ac:dyDescent="0.3">
      <c r="E427" s="9"/>
      <c r="F427" s="9"/>
      <c r="H427" s="9"/>
      <c r="M427" s="9"/>
      <c r="N427" s="9"/>
      <c r="O427" s="9"/>
      <c r="P427" s="9"/>
      <c r="Q427" s="9"/>
      <c r="R427" s="9"/>
      <c r="S427" s="9"/>
    </row>
    <row r="428" spans="5:19" ht="15.75" customHeight="1" x14ac:dyDescent="0.3">
      <c r="E428" s="9"/>
      <c r="F428" s="9"/>
      <c r="H428" s="9"/>
      <c r="M428" s="9"/>
      <c r="N428" s="9"/>
      <c r="O428" s="9"/>
      <c r="P428" s="9"/>
      <c r="Q428" s="9"/>
      <c r="R428" s="9"/>
      <c r="S428" s="9"/>
    </row>
    <row r="429" spans="5:19" ht="15.75" customHeight="1" x14ac:dyDescent="0.3">
      <c r="E429" s="9"/>
      <c r="F429" s="9"/>
      <c r="H429" s="9"/>
      <c r="M429" s="9"/>
      <c r="N429" s="9"/>
      <c r="O429" s="9"/>
      <c r="P429" s="9"/>
      <c r="Q429" s="9"/>
      <c r="R429" s="9"/>
      <c r="S429" s="9"/>
    </row>
    <row r="430" spans="5:19" ht="15.75" customHeight="1" x14ac:dyDescent="0.3">
      <c r="E430" s="9"/>
      <c r="F430" s="9"/>
      <c r="H430" s="9"/>
      <c r="M430" s="9"/>
      <c r="N430" s="9"/>
      <c r="O430" s="9"/>
      <c r="P430" s="9"/>
      <c r="Q430" s="9"/>
      <c r="R430" s="9"/>
      <c r="S430" s="9"/>
    </row>
    <row r="431" spans="5:19" ht="15.75" customHeight="1" x14ac:dyDescent="0.3">
      <c r="E431" s="9"/>
      <c r="F431" s="9"/>
      <c r="H431" s="9"/>
      <c r="M431" s="9"/>
      <c r="N431" s="9"/>
      <c r="O431" s="9"/>
      <c r="P431" s="9"/>
      <c r="Q431" s="9"/>
      <c r="R431" s="9"/>
      <c r="S431" s="9"/>
    </row>
    <row r="432" spans="5:19" ht="15.75" customHeight="1" x14ac:dyDescent="0.3">
      <c r="E432" s="9"/>
      <c r="F432" s="9"/>
      <c r="H432" s="9"/>
      <c r="M432" s="9"/>
      <c r="N432" s="9"/>
      <c r="O432" s="9"/>
      <c r="P432" s="9"/>
      <c r="Q432" s="9"/>
      <c r="R432" s="9"/>
      <c r="S432" s="9"/>
    </row>
    <row r="433" spans="5:19" ht="15.75" customHeight="1" x14ac:dyDescent="0.3">
      <c r="E433" s="9"/>
      <c r="F433" s="9"/>
      <c r="H433" s="9"/>
      <c r="M433" s="9"/>
      <c r="N433" s="9"/>
      <c r="O433" s="9"/>
      <c r="P433" s="9"/>
      <c r="Q433" s="9"/>
      <c r="R433" s="9"/>
      <c r="S433" s="9"/>
    </row>
    <row r="434" spans="5:19" ht="15.75" customHeight="1" x14ac:dyDescent="0.3">
      <c r="E434" s="9"/>
      <c r="F434" s="9"/>
      <c r="H434" s="9"/>
      <c r="M434" s="9"/>
      <c r="N434" s="9"/>
      <c r="O434" s="9"/>
      <c r="P434" s="9"/>
      <c r="Q434" s="9"/>
      <c r="R434" s="9"/>
      <c r="S434" s="9"/>
    </row>
    <row r="435" spans="5:19" ht="15.75" customHeight="1" x14ac:dyDescent="0.3">
      <c r="E435" s="9"/>
      <c r="F435" s="9"/>
      <c r="H435" s="9"/>
      <c r="M435" s="9"/>
      <c r="N435" s="9"/>
      <c r="O435" s="9"/>
      <c r="P435" s="9"/>
      <c r="Q435" s="9"/>
      <c r="R435" s="9"/>
      <c r="S435" s="9"/>
    </row>
    <row r="436" spans="5:19" ht="15.75" customHeight="1" x14ac:dyDescent="0.3">
      <c r="E436" s="9"/>
      <c r="F436" s="9"/>
      <c r="H436" s="9"/>
      <c r="M436" s="9"/>
      <c r="N436" s="9"/>
      <c r="O436" s="9"/>
      <c r="P436" s="9"/>
      <c r="Q436" s="9"/>
      <c r="R436" s="9"/>
      <c r="S436" s="9"/>
    </row>
    <row r="437" spans="5:19" ht="15.75" customHeight="1" x14ac:dyDescent="0.3">
      <c r="E437" s="9"/>
      <c r="F437" s="9"/>
      <c r="H437" s="9"/>
      <c r="M437" s="9"/>
      <c r="N437" s="9"/>
      <c r="O437" s="9"/>
      <c r="P437" s="9"/>
      <c r="Q437" s="9"/>
      <c r="R437" s="9"/>
      <c r="S437" s="9"/>
    </row>
    <row r="438" spans="5:19" ht="15.75" customHeight="1" x14ac:dyDescent="0.3">
      <c r="E438" s="9"/>
      <c r="F438" s="9"/>
      <c r="H438" s="9"/>
      <c r="M438" s="9"/>
      <c r="N438" s="9"/>
      <c r="O438" s="9"/>
      <c r="P438" s="9"/>
      <c r="Q438" s="9"/>
      <c r="R438" s="9"/>
      <c r="S438" s="9"/>
    </row>
    <row r="439" spans="5:19" ht="15.75" customHeight="1" x14ac:dyDescent="0.3">
      <c r="E439" s="9"/>
      <c r="F439" s="9"/>
      <c r="H439" s="9"/>
      <c r="M439" s="9"/>
      <c r="N439" s="9"/>
      <c r="O439" s="9"/>
      <c r="P439" s="9"/>
      <c r="Q439" s="9"/>
      <c r="R439" s="9"/>
      <c r="S439" s="9"/>
    </row>
    <row r="440" spans="5:19" ht="15.75" customHeight="1" x14ac:dyDescent="0.3">
      <c r="E440" s="9"/>
      <c r="F440" s="9"/>
      <c r="H440" s="9"/>
      <c r="M440" s="9"/>
      <c r="N440" s="9"/>
      <c r="O440" s="9"/>
      <c r="P440" s="9"/>
      <c r="Q440" s="9"/>
      <c r="R440" s="9"/>
      <c r="S440" s="9"/>
    </row>
    <row r="441" spans="5:19" ht="15.75" customHeight="1" x14ac:dyDescent="0.3">
      <c r="E441" s="9"/>
      <c r="F441" s="9"/>
      <c r="H441" s="9"/>
      <c r="M441" s="9"/>
      <c r="N441" s="9"/>
      <c r="O441" s="9"/>
      <c r="P441" s="9"/>
      <c r="Q441" s="9"/>
      <c r="R441" s="9"/>
      <c r="S441" s="9"/>
    </row>
    <row r="442" spans="5:19" ht="15.75" customHeight="1" x14ac:dyDescent="0.3">
      <c r="E442" s="9"/>
      <c r="F442" s="9"/>
      <c r="H442" s="9"/>
      <c r="M442" s="9"/>
      <c r="N442" s="9"/>
      <c r="O442" s="9"/>
      <c r="P442" s="9"/>
      <c r="Q442" s="9"/>
      <c r="R442" s="9"/>
      <c r="S442" s="9"/>
    </row>
    <row r="443" spans="5:19" ht="15.75" customHeight="1" x14ac:dyDescent="0.3">
      <c r="E443" s="9"/>
      <c r="F443" s="9"/>
      <c r="H443" s="9"/>
      <c r="M443" s="9"/>
      <c r="N443" s="9"/>
      <c r="O443" s="9"/>
      <c r="P443" s="9"/>
      <c r="Q443" s="9"/>
      <c r="R443" s="9"/>
      <c r="S443" s="9"/>
    </row>
    <row r="444" spans="5:19" ht="15.75" customHeight="1" x14ac:dyDescent="0.3">
      <c r="E444" s="9"/>
      <c r="F444" s="9"/>
      <c r="H444" s="9"/>
      <c r="M444" s="9"/>
      <c r="N444" s="9"/>
      <c r="O444" s="9"/>
      <c r="P444" s="9"/>
      <c r="Q444" s="9"/>
      <c r="R444" s="9"/>
      <c r="S444" s="9"/>
    </row>
    <row r="445" spans="5:19" ht="15.75" customHeight="1" x14ac:dyDescent="0.3">
      <c r="E445" s="9"/>
      <c r="F445" s="9"/>
      <c r="H445" s="9"/>
      <c r="M445" s="9"/>
      <c r="N445" s="9"/>
      <c r="O445" s="9"/>
      <c r="P445" s="9"/>
      <c r="Q445" s="9"/>
      <c r="R445" s="9"/>
      <c r="S445" s="9"/>
    </row>
    <row r="446" spans="5:19" ht="15.75" customHeight="1" x14ac:dyDescent="0.3">
      <c r="E446" s="9"/>
      <c r="F446" s="9"/>
      <c r="H446" s="9"/>
      <c r="M446" s="9"/>
      <c r="N446" s="9"/>
      <c r="O446" s="9"/>
      <c r="P446" s="9"/>
      <c r="Q446" s="9"/>
      <c r="R446" s="9"/>
      <c r="S446" s="9"/>
    </row>
    <row r="447" spans="5:19" ht="15.75" customHeight="1" x14ac:dyDescent="0.3">
      <c r="E447" s="9"/>
      <c r="F447" s="9"/>
      <c r="H447" s="9"/>
      <c r="M447" s="9"/>
      <c r="N447" s="9"/>
      <c r="O447" s="9"/>
      <c r="P447" s="9"/>
      <c r="Q447" s="9"/>
      <c r="R447" s="9"/>
      <c r="S447" s="9"/>
    </row>
    <row r="448" spans="5:19" ht="15.75" customHeight="1" x14ac:dyDescent="0.3">
      <c r="E448" s="9"/>
      <c r="F448" s="9"/>
      <c r="H448" s="9"/>
      <c r="M448" s="9"/>
      <c r="N448" s="9"/>
      <c r="O448" s="9"/>
      <c r="P448" s="9"/>
      <c r="Q448" s="9"/>
      <c r="R448" s="9"/>
      <c r="S448" s="9"/>
    </row>
    <row r="449" spans="5:19" ht="15.75" customHeight="1" x14ac:dyDescent="0.3">
      <c r="E449" s="9"/>
      <c r="F449" s="9"/>
      <c r="H449" s="9"/>
      <c r="M449" s="9"/>
      <c r="N449" s="9"/>
      <c r="O449" s="9"/>
      <c r="P449" s="9"/>
      <c r="Q449" s="9"/>
      <c r="R449" s="9"/>
      <c r="S449" s="9"/>
    </row>
    <row r="450" spans="5:19" ht="15.75" customHeight="1" x14ac:dyDescent="0.3">
      <c r="E450" s="9"/>
      <c r="F450" s="9"/>
      <c r="H450" s="9"/>
      <c r="M450" s="9"/>
      <c r="N450" s="9"/>
      <c r="O450" s="9"/>
      <c r="P450" s="9"/>
      <c r="Q450" s="9"/>
      <c r="R450" s="9"/>
      <c r="S450" s="9"/>
    </row>
    <row r="451" spans="5:19" ht="15.75" customHeight="1" x14ac:dyDescent="0.3">
      <c r="E451" s="9"/>
      <c r="F451" s="9"/>
      <c r="H451" s="9"/>
      <c r="M451" s="9"/>
      <c r="N451" s="9"/>
      <c r="O451" s="9"/>
      <c r="P451" s="9"/>
      <c r="Q451" s="9"/>
      <c r="R451" s="9"/>
      <c r="S451" s="9"/>
    </row>
    <row r="452" spans="5:19" ht="15.75" customHeight="1" x14ac:dyDescent="0.3">
      <c r="E452" s="9"/>
      <c r="F452" s="9"/>
      <c r="H452" s="9"/>
      <c r="M452" s="9"/>
      <c r="N452" s="9"/>
      <c r="O452" s="9"/>
      <c r="P452" s="9"/>
      <c r="Q452" s="9"/>
      <c r="R452" s="9"/>
      <c r="S452" s="9"/>
    </row>
    <row r="453" spans="5:19" ht="15.75" customHeight="1" x14ac:dyDescent="0.3">
      <c r="E453" s="9"/>
      <c r="F453" s="9"/>
      <c r="H453" s="9"/>
      <c r="M453" s="9"/>
      <c r="N453" s="9"/>
      <c r="O453" s="9"/>
      <c r="P453" s="9"/>
      <c r="Q453" s="9"/>
      <c r="R453" s="9"/>
      <c r="S453" s="9"/>
    </row>
    <row r="454" spans="5:19" ht="15.75" customHeight="1" x14ac:dyDescent="0.3">
      <c r="E454" s="9"/>
      <c r="F454" s="9"/>
      <c r="H454" s="9"/>
      <c r="M454" s="9"/>
      <c r="N454" s="9"/>
      <c r="O454" s="9"/>
      <c r="P454" s="9"/>
      <c r="Q454" s="9"/>
      <c r="R454" s="9"/>
      <c r="S454" s="9"/>
    </row>
    <row r="455" spans="5:19" ht="15.75" customHeight="1" x14ac:dyDescent="0.3">
      <c r="E455" s="9"/>
      <c r="F455" s="9"/>
      <c r="H455" s="9"/>
      <c r="M455" s="9"/>
      <c r="N455" s="9"/>
      <c r="O455" s="9"/>
      <c r="P455" s="9"/>
      <c r="Q455" s="9"/>
      <c r="R455" s="9"/>
      <c r="S455" s="9"/>
    </row>
    <row r="456" spans="5:19" ht="15.75" customHeight="1" x14ac:dyDescent="0.3">
      <c r="E456" s="9"/>
      <c r="F456" s="9"/>
      <c r="H456" s="9"/>
      <c r="M456" s="9"/>
      <c r="N456" s="9"/>
      <c r="O456" s="9"/>
      <c r="P456" s="9"/>
      <c r="Q456" s="9"/>
      <c r="R456" s="9"/>
      <c r="S456" s="9"/>
    </row>
    <row r="457" spans="5:19" ht="15.75" customHeight="1" x14ac:dyDescent="0.3">
      <c r="E457" s="9"/>
      <c r="F457" s="9"/>
      <c r="H457" s="9"/>
      <c r="M457" s="9"/>
      <c r="N457" s="9"/>
      <c r="O457" s="9"/>
      <c r="P457" s="9"/>
      <c r="Q457" s="9"/>
      <c r="R457" s="9"/>
      <c r="S457" s="9"/>
    </row>
    <row r="458" spans="5:19" ht="15.75" customHeight="1" x14ac:dyDescent="0.3">
      <c r="E458" s="9"/>
      <c r="F458" s="9"/>
      <c r="H458" s="9"/>
      <c r="M458" s="9"/>
      <c r="N458" s="9"/>
      <c r="O458" s="9"/>
      <c r="P458" s="9"/>
      <c r="Q458" s="9"/>
      <c r="R458" s="9"/>
      <c r="S458" s="9"/>
    </row>
    <row r="459" spans="5:19" ht="15.75" customHeight="1" x14ac:dyDescent="0.3">
      <c r="E459" s="9"/>
      <c r="F459" s="9"/>
      <c r="H459" s="9"/>
      <c r="M459" s="9"/>
      <c r="N459" s="9"/>
      <c r="O459" s="9"/>
      <c r="P459" s="9"/>
      <c r="Q459" s="9"/>
      <c r="R459" s="9"/>
      <c r="S459" s="9"/>
    </row>
    <row r="460" spans="5:19" ht="15.75" customHeight="1" x14ac:dyDescent="0.3">
      <c r="E460" s="9"/>
      <c r="F460" s="9"/>
      <c r="H460" s="9"/>
      <c r="M460" s="9"/>
      <c r="N460" s="9"/>
      <c r="O460" s="9"/>
      <c r="P460" s="9"/>
      <c r="Q460" s="9"/>
      <c r="R460" s="9"/>
      <c r="S460" s="9"/>
    </row>
    <row r="461" spans="5:19" ht="15.75" customHeight="1" x14ac:dyDescent="0.3">
      <c r="E461" s="9"/>
      <c r="F461" s="9"/>
      <c r="H461" s="9"/>
      <c r="M461" s="9"/>
      <c r="N461" s="9"/>
      <c r="O461" s="9"/>
      <c r="P461" s="9"/>
      <c r="Q461" s="9"/>
      <c r="R461" s="9"/>
      <c r="S461" s="9"/>
    </row>
    <row r="462" spans="5:19" ht="15.75" customHeight="1" x14ac:dyDescent="0.3">
      <c r="E462" s="9"/>
      <c r="F462" s="9"/>
      <c r="H462" s="9"/>
      <c r="M462" s="9"/>
      <c r="N462" s="9"/>
      <c r="O462" s="9"/>
      <c r="P462" s="9"/>
      <c r="Q462" s="9"/>
      <c r="R462" s="9"/>
      <c r="S462" s="9"/>
    </row>
    <row r="463" spans="5:19" ht="15.75" customHeight="1" x14ac:dyDescent="0.3">
      <c r="E463" s="9"/>
      <c r="F463" s="9"/>
      <c r="H463" s="9"/>
      <c r="M463" s="9"/>
      <c r="N463" s="9"/>
      <c r="O463" s="9"/>
      <c r="P463" s="9"/>
      <c r="Q463" s="9"/>
      <c r="R463" s="9"/>
      <c r="S463" s="9"/>
    </row>
    <row r="464" spans="5:19" ht="15.75" customHeight="1" x14ac:dyDescent="0.3">
      <c r="E464" s="9"/>
      <c r="F464" s="9"/>
      <c r="H464" s="9"/>
      <c r="M464" s="9"/>
      <c r="N464" s="9"/>
      <c r="O464" s="9"/>
      <c r="P464" s="9"/>
      <c r="Q464" s="9"/>
      <c r="R464" s="9"/>
      <c r="S464" s="9"/>
    </row>
    <row r="465" spans="5:19" ht="15.75" customHeight="1" x14ac:dyDescent="0.3">
      <c r="E465" s="9"/>
      <c r="F465" s="9"/>
      <c r="H465" s="9"/>
      <c r="M465" s="9"/>
      <c r="N465" s="9"/>
      <c r="O465" s="9"/>
      <c r="P465" s="9"/>
      <c r="Q465" s="9"/>
      <c r="R465" s="9"/>
      <c r="S465" s="9"/>
    </row>
    <row r="466" spans="5:19" ht="15.75" customHeight="1" x14ac:dyDescent="0.3">
      <c r="E466" s="9"/>
      <c r="F466" s="9"/>
      <c r="H466" s="9"/>
      <c r="M466" s="9"/>
      <c r="N466" s="9"/>
      <c r="O466" s="9"/>
      <c r="P466" s="9"/>
      <c r="Q466" s="9"/>
      <c r="R466" s="9"/>
      <c r="S466" s="9"/>
    </row>
    <row r="467" spans="5:19" ht="15.75" customHeight="1" x14ac:dyDescent="0.3">
      <c r="E467" s="9"/>
      <c r="F467" s="9"/>
      <c r="H467" s="9"/>
      <c r="M467" s="9"/>
      <c r="N467" s="9"/>
      <c r="O467" s="9"/>
      <c r="P467" s="9"/>
      <c r="Q467" s="9"/>
      <c r="R467" s="9"/>
      <c r="S467" s="9"/>
    </row>
    <row r="468" spans="5:19" ht="15.75" customHeight="1" x14ac:dyDescent="0.3">
      <c r="E468" s="9"/>
      <c r="F468" s="9"/>
      <c r="H468" s="9"/>
      <c r="M468" s="9"/>
      <c r="N468" s="9"/>
      <c r="O468" s="9"/>
      <c r="P468" s="9"/>
      <c r="Q468" s="9"/>
      <c r="R468" s="9"/>
      <c r="S468" s="9"/>
    </row>
    <row r="469" spans="5:19" ht="15.75" customHeight="1" x14ac:dyDescent="0.3">
      <c r="E469" s="9"/>
      <c r="F469" s="9"/>
      <c r="H469" s="9"/>
      <c r="M469" s="9"/>
      <c r="N469" s="9"/>
      <c r="O469" s="9"/>
      <c r="P469" s="9"/>
      <c r="Q469" s="9"/>
      <c r="R469" s="9"/>
      <c r="S469" s="9"/>
    </row>
    <row r="470" spans="5:19" ht="15.75" customHeight="1" x14ac:dyDescent="0.3">
      <c r="E470" s="9"/>
      <c r="F470" s="9"/>
      <c r="H470" s="9"/>
      <c r="M470" s="9"/>
      <c r="N470" s="9"/>
      <c r="O470" s="9"/>
      <c r="P470" s="9"/>
      <c r="Q470" s="9"/>
      <c r="R470" s="9"/>
      <c r="S470" s="9"/>
    </row>
    <row r="471" spans="5:19" ht="15.75" customHeight="1" x14ac:dyDescent="0.3">
      <c r="E471" s="9"/>
      <c r="F471" s="9"/>
      <c r="H471" s="9"/>
      <c r="M471" s="9"/>
      <c r="N471" s="9"/>
      <c r="O471" s="9"/>
      <c r="P471" s="9"/>
      <c r="Q471" s="9"/>
      <c r="R471" s="9"/>
      <c r="S471" s="9"/>
    </row>
    <row r="472" spans="5:19" ht="15.75" customHeight="1" x14ac:dyDescent="0.3">
      <c r="E472" s="9"/>
      <c r="F472" s="9"/>
      <c r="H472" s="9"/>
      <c r="M472" s="9"/>
      <c r="N472" s="9"/>
      <c r="O472" s="9"/>
      <c r="P472" s="9"/>
      <c r="Q472" s="9"/>
      <c r="R472" s="9"/>
      <c r="S472" s="9"/>
    </row>
    <row r="473" spans="5:19" ht="15.75" customHeight="1" x14ac:dyDescent="0.3">
      <c r="E473" s="9"/>
      <c r="F473" s="9"/>
      <c r="H473" s="9"/>
      <c r="M473" s="9"/>
      <c r="N473" s="9"/>
      <c r="O473" s="9"/>
      <c r="P473" s="9"/>
      <c r="Q473" s="9"/>
      <c r="R473" s="9"/>
      <c r="S473" s="9"/>
    </row>
    <row r="474" spans="5:19" ht="15.75" customHeight="1" x14ac:dyDescent="0.3">
      <c r="E474" s="9"/>
      <c r="F474" s="9"/>
      <c r="H474" s="9"/>
      <c r="M474" s="9"/>
      <c r="N474" s="9"/>
      <c r="O474" s="9"/>
      <c r="P474" s="9"/>
      <c r="Q474" s="9"/>
      <c r="R474" s="9"/>
      <c r="S474" s="9"/>
    </row>
    <row r="475" spans="5:19" ht="15.75" customHeight="1" x14ac:dyDescent="0.3">
      <c r="E475" s="9"/>
      <c r="F475" s="9"/>
      <c r="H475" s="9"/>
      <c r="M475" s="9"/>
      <c r="N475" s="9"/>
      <c r="O475" s="9"/>
      <c r="P475" s="9"/>
      <c r="Q475" s="9"/>
      <c r="R475" s="9"/>
      <c r="S475" s="9"/>
    </row>
    <row r="476" spans="5:19" ht="15.75" customHeight="1" x14ac:dyDescent="0.3">
      <c r="E476" s="9"/>
      <c r="F476" s="9"/>
      <c r="H476" s="9"/>
      <c r="M476" s="9"/>
      <c r="N476" s="9"/>
      <c r="O476" s="9"/>
      <c r="P476" s="9"/>
      <c r="Q476" s="9"/>
      <c r="R476" s="9"/>
      <c r="S476" s="9"/>
    </row>
    <row r="477" spans="5:19" ht="15.75" customHeight="1" x14ac:dyDescent="0.3">
      <c r="E477" s="9"/>
      <c r="F477" s="9"/>
      <c r="H477" s="9"/>
      <c r="M477" s="9"/>
      <c r="N477" s="9"/>
      <c r="O477" s="9"/>
      <c r="P477" s="9"/>
      <c r="Q477" s="9"/>
      <c r="R477" s="9"/>
      <c r="S477" s="9"/>
    </row>
    <row r="478" spans="5:19" ht="15.75" customHeight="1" x14ac:dyDescent="0.3">
      <c r="E478" s="9"/>
      <c r="F478" s="9"/>
      <c r="H478" s="9"/>
      <c r="M478" s="9"/>
      <c r="N478" s="9"/>
      <c r="O478" s="9"/>
      <c r="P478" s="9"/>
      <c r="Q478" s="9"/>
      <c r="R478" s="9"/>
      <c r="S478" s="9"/>
    </row>
    <row r="479" spans="5:19" ht="15.75" customHeight="1" x14ac:dyDescent="0.3">
      <c r="E479" s="9"/>
      <c r="F479" s="9"/>
      <c r="H479" s="9"/>
      <c r="M479" s="9"/>
      <c r="N479" s="9"/>
      <c r="O479" s="9"/>
      <c r="P479" s="9"/>
      <c r="Q479" s="9"/>
      <c r="R479" s="9"/>
      <c r="S479" s="9"/>
    </row>
    <row r="480" spans="5:19" ht="15.75" customHeight="1" x14ac:dyDescent="0.3">
      <c r="E480" s="9"/>
      <c r="F480" s="9"/>
      <c r="H480" s="9"/>
      <c r="M480" s="9"/>
      <c r="N480" s="9"/>
      <c r="O480" s="9"/>
      <c r="P480" s="9"/>
      <c r="Q480" s="9"/>
      <c r="R480" s="9"/>
      <c r="S480" s="9"/>
    </row>
    <row r="481" spans="5:19" ht="15.75" customHeight="1" x14ac:dyDescent="0.3">
      <c r="E481" s="9"/>
      <c r="F481" s="9"/>
      <c r="H481" s="9"/>
      <c r="M481" s="9"/>
      <c r="N481" s="9"/>
      <c r="O481" s="9"/>
      <c r="P481" s="9"/>
      <c r="Q481" s="9"/>
      <c r="R481" s="9"/>
      <c r="S481" s="9"/>
    </row>
    <row r="482" spans="5:19" ht="15.75" customHeight="1" x14ac:dyDescent="0.3">
      <c r="E482" s="9"/>
      <c r="F482" s="9"/>
      <c r="H482" s="9"/>
      <c r="M482" s="9"/>
      <c r="N482" s="9"/>
      <c r="O482" s="9"/>
      <c r="P482" s="9"/>
      <c r="Q482" s="9"/>
      <c r="R482" s="9"/>
      <c r="S482" s="9"/>
    </row>
    <row r="483" spans="5:19" ht="15.75" customHeight="1" x14ac:dyDescent="0.3">
      <c r="E483" s="9"/>
      <c r="F483" s="9"/>
      <c r="H483" s="9"/>
      <c r="M483" s="9"/>
      <c r="N483" s="9"/>
      <c r="O483" s="9"/>
      <c r="P483" s="9"/>
      <c r="Q483" s="9"/>
      <c r="R483" s="9"/>
      <c r="S483" s="9"/>
    </row>
    <row r="484" spans="5:19" ht="15.75" customHeight="1" x14ac:dyDescent="0.3">
      <c r="E484" s="9"/>
      <c r="F484" s="9"/>
      <c r="H484" s="9"/>
      <c r="M484" s="9"/>
      <c r="N484" s="9"/>
      <c r="O484" s="9"/>
      <c r="P484" s="9"/>
      <c r="Q484" s="9"/>
      <c r="R484" s="9"/>
      <c r="S484" s="9"/>
    </row>
    <row r="485" spans="5:19" ht="15.75" customHeight="1" x14ac:dyDescent="0.3">
      <c r="E485" s="9"/>
      <c r="F485" s="9"/>
      <c r="H485" s="9"/>
      <c r="M485" s="9"/>
      <c r="N485" s="9"/>
      <c r="O485" s="9"/>
      <c r="P485" s="9"/>
      <c r="Q485" s="9"/>
      <c r="R485" s="9"/>
      <c r="S485" s="9"/>
    </row>
    <row r="486" spans="5:19" ht="15.75" customHeight="1" x14ac:dyDescent="0.3">
      <c r="E486" s="9"/>
      <c r="F486" s="9"/>
      <c r="H486" s="9"/>
      <c r="M486" s="9"/>
      <c r="N486" s="9"/>
      <c r="O486" s="9"/>
      <c r="P486" s="9"/>
      <c r="Q486" s="9"/>
      <c r="R486" s="9"/>
      <c r="S486" s="9"/>
    </row>
    <row r="487" spans="5:19" ht="15.75" customHeight="1" x14ac:dyDescent="0.3">
      <c r="E487" s="9"/>
      <c r="F487" s="9"/>
      <c r="H487" s="9"/>
      <c r="M487" s="9"/>
      <c r="N487" s="9"/>
      <c r="O487" s="9"/>
      <c r="P487" s="9"/>
      <c r="Q487" s="9"/>
      <c r="R487" s="9"/>
      <c r="S487" s="9"/>
    </row>
    <row r="488" spans="5:19" ht="15.75" customHeight="1" x14ac:dyDescent="0.3">
      <c r="E488" s="9"/>
      <c r="F488" s="9"/>
      <c r="H488" s="9"/>
      <c r="M488" s="9"/>
      <c r="N488" s="9"/>
      <c r="O488" s="9"/>
      <c r="P488" s="9"/>
      <c r="Q488" s="9"/>
      <c r="R488" s="9"/>
      <c r="S488" s="9"/>
    </row>
    <row r="489" spans="5:19" ht="15.75" customHeight="1" x14ac:dyDescent="0.3">
      <c r="E489" s="9"/>
      <c r="F489" s="9"/>
      <c r="H489" s="9"/>
      <c r="M489" s="9"/>
      <c r="N489" s="9"/>
      <c r="O489" s="9"/>
      <c r="P489" s="9"/>
      <c r="Q489" s="9"/>
      <c r="R489" s="9"/>
      <c r="S489" s="9"/>
    </row>
    <row r="490" spans="5:19" ht="15.75" customHeight="1" x14ac:dyDescent="0.3">
      <c r="E490" s="9"/>
      <c r="F490" s="9"/>
      <c r="H490" s="9"/>
      <c r="M490" s="9"/>
      <c r="N490" s="9"/>
      <c r="O490" s="9"/>
      <c r="P490" s="9"/>
      <c r="Q490" s="9"/>
      <c r="R490" s="9"/>
      <c r="S490" s="9"/>
    </row>
    <row r="491" spans="5:19" ht="15.75" customHeight="1" x14ac:dyDescent="0.3">
      <c r="E491" s="9"/>
      <c r="F491" s="9"/>
      <c r="H491" s="9"/>
      <c r="M491" s="9"/>
      <c r="N491" s="9"/>
      <c r="O491" s="9"/>
      <c r="P491" s="9"/>
      <c r="Q491" s="9"/>
      <c r="R491" s="9"/>
      <c r="S491" s="9"/>
    </row>
    <row r="492" spans="5:19" ht="15.75" customHeight="1" x14ac:dyDescent="0.3">
      <c r="E492" s="9"/>
      <c r="F492" s="9"/>
      <c r="H492" s="9"/>
      <c r="M492" s="9"/>
      <c r="N492" s="9"/>
      <c r="O492" s="9"/>
      <c r="P492" s="9"/>
      <c r="Q492" s="9"/>
      <c r="R492" s="9"/>
      <c r="S492" s="9"/>
    </row>
    <row r="493" spans="5:19" ht="15.75" customHeight="1" x14ac:dyDescent="0.3">
      <c r="E493" s="9"/>
      <c r="F493" s="9"/>
      <c r="H493" s="9"/>
      <c r="M493" s="9"/>
      <c r="N493" s="9"/>
      <c r="O493" s="9"/>
      <c r="P493" s="9"/>
      <c r="Q493" s="9"/>
      <c r="R493" s="9"/>
      <c r="S493" s="9"/>
    </row>
    <row r="494" spans="5:19" ht="15.75" customHeight="1" x14ac:dyDescent="0.3">
      <c r="E494" s="9"/>
      <c r="F494" s="9"/>
      <c r="H494" s="9"/>
      <c r="M494" s="9"/>
      <c r="N494" s="9"/>
      <c r="O494" s="9"/>
      <c r="P494" s="9"/>
      <c r="Q494" s="9"/>
      <c r="R494" s="9"/>
      <c r="S494" s="9"/>
    </row>
    <row r="495" spans="5:19" ht="15.75" customHeight="1" x14ac:dyDescent="0.3">
      <c r="E495" s="9"/>
      <c r="F495" s="9"/>
      <c r="H495" s="9"/>
      <c r="M495" s="9"/>
      <c r="N495" s="9"/>
      <c r="O495" s="9"/>
      <c r="P495" s="9"/>
      <c r="Q495" s="9"/>
      <c r="R495" s="9"/>
      <c r="S495" s="9"/>
    </row>
    <row r="496" spans="5:19" ht="15.75" customHeight="1" x14ac:dyDescent="0.3">
      <c r="E496" s="9"/>
      <c r="F496" s="9"/>
      <c r="H496" s="9"/>
      <c r="M496" s="9"/>
      <c r="N496" s="9"/>
      <c r="O496" s="9"/>
      <c r="P496" s="9"/>
      <c r="Q496" s="9"/>
      <c r="R496" s="9"/>
      <c r="S496" s="9"/>
    </row>
    <row r="497" spans="5:19" ht="15.75" customHeight="1" x14ac:dyDescent="0.3">
      <c r="E497" s="9"/>
      <c r="F497" s="9"/>
      <c r="H497" s="9"/>
      <c r="M497" s="9"/>
      <c r="N497" s="9"/>
      <c r="O497" s="9"/>
      <c r="P497" s="9"/>
      <c r="Q497" s="9"/>
      <c r="R497" s="9"/>
      <c r="S497" s="9"/>
    </row>
    <row r="498" spans="5:19" ht="15.75" customHeight="1" x14ac:dyDescent="0.3">
      <c r="E498" s="9"/>
      <c r="F498" s="9"/>
      <c r="H498" s="9"/>
      <c r="M498" s="9"/>
      <c r="N498" s="9"/>
      <c r="O498" s="9"/>
      <c r="P498" s="9"/>
      <c r="Q498" s="9"/>
      <c r="R498" s="9"/>
      <c r="S498" s="9"/>
    </row>
    <row r="499" spans="5:19" ht="15.75" customHeight="1" x14ac:dyDescent="0.3">
      <c r="E499" s="9"/>
      <c r="F499" s="9"/>
      <c r="H499" s="9"/>
      <c r="M499" s="9"/>
      <c r="N499" s="9"/>
      <c r="O499" s="9"/>
      <c r="P499" s="9"/>
      <c r="Q499" s="9"/>
      <c r="R499" s="9"/>
      <c r="S499" s="9"/>
    </row>
    <row r="500" spans="5:19" ht="15.75" customHeight="1" x14ac:dyDescent="0.3">
      <c r="E500" s="9"/>
      <c r="F500" s="9"/>
      <c r="H500" s="9"/>
      <c r="M500" s="9"/>
      <c r="N500" s="9"/>
      <c r="O500" s="9"/>
      <c r="P500" s="9"/>
      <c r="Q500" s="9"/>
      <c r="R500" s="9"/>
      <c r="S500" s="9"/>
    </row>
    <row r="501" spans="5:19" ht="15.75" customHeight="1" x14ac:dyDescent="0.3">
      <c r="E501" s="9"/>
      <c r="F501" s="9"/>
      <c r="H501" s="9"/>
      <c r="M501" s="9"/>
      <c r="N501" s="9"/>
      <c r="O501" s="9"/>
      <c r="P501" s="9"/>
      <c r="Q501" s="9"/>
      <c r="R501" s="9"/>
      <c r="S501" s="9"/>
    </row>
    <row r="502" spans="5:19" ht="15.75" customHeight="1" x14ac:dyDescent="0.3">
      <c r="E502" s="9"/>
      <c r="F502" s="9"/>
      <c r="H502" s="9"/>
      <c r="M502" s="9"/>
      <c r="N502" s="9"/>
      <c r="O502" s="9"/>
      <c r="P502" s="9"/>
      <c r="Q502" s="9"/>
      <c r="R502" s="9"/>
      <c r="S502" s="9"/>
    </row>
    <row r="503" spans="5:19" ht="15.75" customHeight="1" x14ac:dyDescent="0.3">
      <c r="E503" s="9"/>
      <c r="F503" s="9"/>
      <c r="H503" s="9"/>
      <c r="M503" s="9"/>
      <c r="N503" s="9"/>
      <c r="O503" s="9"/>
      <c r="P503" s="9"/>
      <c r="Q503" s="9"/>
      <c r="R503" s="9"/>
      <c r="S503" s="9"/>
    </row>
    <row r="504" spans="5:19" ht="15.75" customHeight="1" x14ac:dyDescent="0.3">
      <c r="E504" s="9"/>
      <c r="F504" s="9"/>
      <c r="H504" s="9"/>
      <c r="M504" s="9"/>
      <c r="N504" s="9"/>
      <c r="O504" s="9"/>
      <c r="P504" s="9"/>
      <c r="Q504" s="9"/>
      <c r="R504" s="9"/>
      <c r="S504" s="9"/>
    </row>
    <row r="505" spans="5:19" ht="15.75" customHeight="1" x14ac:dyDescent="0.3">
      <c r="E505" s="9"/>
      <c r="F505" s="9"/>
      <c r="H505" s="9"/>
      <c r="M505" s="9"/>
      <c r="N505" s="9"/>
      <c r="O505" s="9"/>
      <c r="P505" s="9"/>
      <c r="Q505" s="9"/>
      <c r="R505" s="9"/>
      <c r="S505" s="9"/>
    </row>
    <row r="506" spans="5:19" ht="15.75" customHeight="1" x14ac:dyDescent="0.3">
      <c r="E506" s="9"/>
      <c r="F506" s="9"/>
      <c r="H506" s="9"/>
      <c r="M506" s="9"/>
      <c r="N506" s="9"/>
      <c r="O506" s="9"/>
      <c r="P506" s="9"/>
      <c r="Q506" s="9"/>
      <c r="R506" s="9"/>
      <c r="S506" s="9"/>
    </row>
    <row r="507" spans="5:19" ht="15.75" customHeight="1" x14ac:dyDescent="0.3">
      <c r="E507" s="9"/>
      <c r="F507" s="9"/>
      <c r="H507" s="9"/>
      <c r="M507" s="9"/>
      <c r="N507" s="9"/>
      <c r="O507" s="9"/>
      <c r="P507" s="9"/>
      <c r="Q507" s="9"/>
      <c r="R507" s="9"/>
      <c r="S507" s="9"/>
    </row>
    <row r="508" spans="5:19" ht="15.75" customHeight="1" x14ac:dyDescent="0.3">
      <c r="E508" s="9"/>
      <c r="F508" s="9"/>
      <c r="H508" s="9"/>
      <c r="M508" s="9"/>
      <c r="N508" s="9"/>
      <c r="O508" s="9"/>
      <c r="P508" s="9"/>
      <c r="Q508" s="9"/>
      <c r="R508" s="9"/>
      <c r="S508" s="9"/>
    </row>
    <row r="509" spans="5:19" ht="15.75" customHeight="1" x14ac:dyDescent="0.3">
      <c r="E509" s="9"/>
      <c r="F509" s="9"/>
      <c r="H509" s="9"/>
      <c r="M509" s="9"/>
      <c r="N509" s="9"/>
      <c r="O509" s="9"/>
      <c r="P509" s="9"/>
      <c r="Q509" s="9"/>
      <c r="R509" s="9"/>
      <c r="S509" s="9"/>
    </row>
    <row r="510" spans="5:19" ht="15.75" customHeight="1" x14ac:dyDescent="0.3">
      <c r="E510" s="9"/>
      <c r="F510" s="9"/>
      <c r="H510" s="9"/>
      <c r="M510" s="9"/>
      <c r="N510" s="9"/>
      <c r="O510" s="9"/>
      <c r="P510" s="9"/>
      <c r="Q510" s="9"/>
      <c r="R510" s="9"/>
      <c r="S510" s="9"/>
    </row>
    <row r="511" spans="5:19" ht="15.75" customHeight="1" x14ac:dyDescent="0.3">
      <c r="E511" s="9"/>
      <c r="F511" s="9"/>
      <c r="H511" s="9"/>
      <c r="M511" s="9"/>
      <c r="N511" s="9"/>
      <c r="O511" s="9"/>
      <c r="P511" s="9"/>
      <c r="Q511" s="9"/>
      <c r="R511" s="9"/>
      <c r="S511" s="9"/>
    </row>
    <row r="512" spans="5:19" ht="15.75" customHeight="1" x14ac:dyDescent="0.3">
      <c r="E512" s="9"/>
      <c r="F512" s="9"/>
      <c r="H512" s="9"/>
      <c r="M512" s="9"/>
      <c r="N512" s="9"/>
      <c r="O512" s="9"/>
      <c r="P512" s="9"/>
      <c r="Q512" s="9"/>
      <c r="R512" s="9"/>
      <c r="S512" s="9"/>
    </row>
    <row r="513" spans="5:19" ht="15.75" customHeight="1" x14ac:dyDescent="0.3">
      <c r="E513" s="9"/>
      <c r="F513" s="9"/>
      <c r="H513" s="9"/>
      <c r="M513" s="9"/>
      <c r="N513" s="9"/>
      <c r="O513" s="9"/>
      <c r="P513" s="9"/>
      <c r="Q513" s="9"/>
      <c r="R513" s="9"/>
      <c r="S513" s="9"/>
    </row>
    <row r="514" spans="5:19" ht="15.75" customHeight="1" x14ac:dyDescent="0.3">
      <c r="E514" s="9"/>
      <c r="F514" s="9"/>
      <c r="H514" s="9"/>
      <c r="M514" s="9"/>
      <c r="N514" s="9"/>
      <c r="O514" s="9"/>
      <c r="P514" s="9"/>
      <c r="Q514" s="9"/>
      <c r="R514" s="9"/>
      <c r="S514" s="9"/>
    </row>
    <row r="515" spans="5:19" ht="15.75" customHeight="1" x14ac:dyDescent="0.3">
      <c r="E515" s="9"/>
      <c r="F515" s="9"/>
      <c r="H515" s="9"/>
      <c r="M515" s="9"/>
      <c r="N515" s="9"/>
      <c r="O515" s="9"/>
      <c r="P515" s="9"/>
      <c r="Q515" s="9"/>
      <c r="R515" s="9"/>
      <c r="S515" s="9"/>
    </row>
    <row r="516" spans="5:19" ht="15.75" customHeight="1" x14ac:dyDescent="0.3">
      <c r="E516" s="9"/>
      <c r="F516" s="9"/>
      <c r="H516" s="9"/>
      <c r="M516" s="9"/>
      <c r="N516" s="9"/>
      <c r="O516" s="9"/>
      <c r="P516" s="9"/>
      <c r="Q516" s="9"/>
      <c r="R516" s="9"/>
      <c r="S516" s="9"/>
    </row>
    <row r="517" spans="5:19" ht="15.75" customHeight="1" x14ac:dyDescent="0.3">
      <c r="E517" s="9"/>
      <c r="F517" s="9"/>
      <c r="H517" s="9"/>
      <c r="M517" s="9"/>
      <c r="N517" s="9"/>
      <c r="O517" s="9"/>
      <c r="P517" s="9"/>
      <c r="Q517" s="9"/>
      <c r="R517" s="9"/>
      <c r="S517" s="9"/>
    </row>
    <row r="518" spans="5:19" ht="15.75" customHeight="1" x14ac:dyDescent="0.3">
      <c r="E518" s="9"/>
      <c r="F518" s="9"/>
      <c r="H518" s="9"/>
      <c r="M518" s="9"/>
      <c r="N518" s="9"/>
      <c r="O518" s="9"/>
      <c r="P518" s="9"/>
      <c r="Q518" s="9"/>
      <c r="R518" s="9"/>
      <c r="S518" s="9"/>
    </row>
    <row r="519" spans="5:19" ht="15.75" customHeight="1" x14ac:dyDescent="0.3">
      <c r="E519" s="9"/>
      <c r="F519" s="9"/>
      <c r="H519" s="9"/>
      <c r="M519" s="9"/>
      <c r="N519" s="9"/>
      <c r="O519" s="9"/>
      <c r="P519" s="9"/>
      <c r="Q519" s="9"/>
      <c r="R519" s="9"/>
      <c r="S519" s="9"/>
    </row>
    <row r="520" spans="5:19" ht="15.75" customHeight="1" x14ac:dyDescent="0.3">
      <c r="E520" s="9"/>
      <c r="F520" s="9"/>
      <c r="H520" s="9"/>
      <c r="M520" s="9"/>
      <c r="N520" s="9"/>
      <c r="O520" s="9"/>
      <c r="P520" s="9"/>
      <c r="Q520" s="9"/>
      <c r="R520" s="9"/>
      <c r="S520" s="9"/>
    </row>
    <row r="521" spans="5:19" ht="15.75" customHeight="1" x14ac:dyDescent="0.3">
      <c r="E521" s="9"/>
      <c r="F521" s="9"/>
      <c r="H521" s="9"/>
      <c r="M521" s="9"/>
      <c r="N521" s="9"/>
      <c r="O521" s="9"/>
      <c r="P521" s="9"/>
      <c r="Q521" s="9"/>
      <c r="R521" s="9"/>
      <c r="S521" s="9"/>
    </row>
    <row r="522" spans="5:19" ht="15.75" customHeight="1" x14ac:dyDescent="0.3">
      <c r="E522" s="9"/>
      <c r="F522" s="9"/>
      <c r="H522" s="9"/>
      <c r="M522" s="9"/>
      <c r="N522" s="9"/>
      <c r="O522" s="9"/>
      <c r="P522" s="9"/>
      <c r="Q522" s="9"/>
      <c r="R522" s="9"/>
      <c r="S522" s="9"/>
    </row>
    <row r="523" spans="5:19" ht="15.75" customHeight="1" x14ac:dyDescent="0.3">
      <c r="E523" s="9"/>
      <c r="F523" s="9"/>
      <c r="H523" s="9"/>
      <c r="M523" s="9"/>
      <c r="N523" s="9"/>
      <c r="O523" s="9"/>
      <c r="P523" s="9"/>
      <c r="Q523" s="9"/>
      <c r="R523" s="9"/>
      <c r="S523" s="9"/>
    </row>
    <row r="524" spans="5:19" ht="15.75" customHeight="1" x14ac:dyDescent="0.3">
      <c r="E524" s="9"/>
      <c r="F524" s="9"/>
      <c r="H524" s="9"/>
      <c r="M524" s="9"/>
      <c r="N524" s="9"/>
      <c r="O524" s="9"/>
      <c r="P524" s="9"/>
      <c r="Q524" s="9"/>
      <c r="R524" s="9"/>
      <c r="S524" s="9"/>
    </row>
    <row r="525" spans="5:19" ht="15.75" customHeight="1" x14ac:dyDescent="0.3">
      <c r="E525" s="9"/>
      <c r="F525" s="9"/>
      <c r="H525" s="9"/>
      <c r="M525" s="9"/>
      <c r="N525" s="9"/>
      <c r="O525" s="9"/>
      <c r="P525" s="9"/>
      <c r="Q525" s="9"/>
      <c r="R525" s="9"/>
      <c r="S525" s="9"/>
    </row>
    <row r="526" spans="5:19" ht="15.75" customHeight="1" x14ac:dyDescent="0.3">
      <c r="E526" s="9"/>
      <c r="F526" s="9"/>
      <c r="H526" s="9"/>
      <c r="M526" s="9"/>
      <c r="N526" s="9"/>
      <c r="O526" s="9"/>
      <c r="P526" s="9"/>
      <c r="Q526" s="9"/>
      <c r="R526" s="9"/>
      <c r="S526" s="9"/>
    </row>
    <row r="527" spans="5:19" ht="15.75" customHeight="1" x14ac:dyDescent="0.3">
      <c r="E527" s="9"/>
      <c r="F527" s="9"/>
      <c r="H527" s="9"/>
      <c r="M527" s="9"/>
      <c r="N527" s="9"/>
      <c r="O527" s="9"/>
      <c r="P527" s="9"/>
      <c r="Q527" s="9"/>
      <c r="R527" s="9"/>
      <c r="S527" s="9"/>
    </row>
    <row r="528" spans="5:19" ht="15.75" customHeight="1" x14ac:dyDescent="0.3">
      <c r="E528" s="9"/>
      <c r="F528" s="9"/>
      <c r="H528" s="9"/>
      <c r="M528" s="9"/>
      <c r="N528" s="9"/>
      <c r="O528" s="9"/>
      <c r="P528" s="9"/>
      <c r="Q528" s="9"/>
      <c r="R528" s="9"/>
      <c r="S528" s="9"/>
    </row>
    <row r="529" spans="5:19" ht="15.75" customHeight="1" x14ac:dyDescent="0.3">
      <c r="E529" s="9"/>
      <c r="F529" s="9"/>
      <c r="H529" s="9"/>
      <c r="M529" s="9"/>
      <c r="N529" s="9"/>
      <c r="O529" s="9"/>
      <c r="P529" s="9"/>
      <c r="Q529" s="9"/>
      <c r="R529" s="9"/>
      <c r="S529" s="9"/>
    </row>
    <row r="530" spans="5:19" ht="15.75" customHeight="1" x14ac:dyDescent="0.3">
      <c r="E530" s="9"/>
      <c r="F530" s="9"/>
      <c r="H530" s="9"/>
      <c r="M530" s="9"/>
      <c r="N530" s="9"/>
      <c r="O530" s="9"/>
      <c r="P530" s="9"/>
      <c r="Q530" s="9"/>
      <c r="R530" s="9"/>
      <c r="S530" s="9"/>
    </row>
    <row r="531" spans="5:19" ht="15.75" customHeight="1" x14ac:dyDescent="0.3">
      <c r="E531" s="9"/>
      <c r="F531" s="9"/>
      <c r="H531" s="9"/>
      <c r="M531" s="9"/>
      <c r="N531" s="9"/>
      <c r="O531" s="9"/>
      <c r="P531" s="9"/>
      <c r="Q531" s="9"/>
      <c r="R531" s="9"/>
      <c r="S531" s="9"/>
    </row>
    <row r="532" spans="5:19" ht="15.75" customHeight="1" x14ac:dyDescent="0.3">
      <c r="E532" s="9"/>
      <c r="F532" s="9"/>
      <c r="H532" s="9"/>
      <c r="M532" s="9"/>
      <c r="N532" s="9"/>
      <c r="O532" s="9"/>
      <c r="P532" s="9"/>
      <c r="Q532" s="9"/>
      <c r="R532" s="9"/>
      <c r="S532" s="9"/>
    </row>
    <row r="533" spans="5:19" ht="15.75" customHeight="1" x14ac:dyDescent="0.3">
      <c r="E533" s="9"/>
      <c r="F533" s="9"/>
      <c r="H533" s="9"/>
      <c r="M533" s="9"/>
      <c r="N533" s="9"/>
      <c r="O533" s="9"/>
      <c r="P533" s="9"/>
      <c r="Q533" s="9"/>
      <c r="R533" s="9"/>
      <c r="S533" s="9"/>
    </row>
    <row r="534" spans="5:19" ht="15.75" customHeight="1" x14ac:dyDescent="0.3">
      <c r="E534" s="9"/>
      <c r="F534" s="9"/>
      <c r="H534" s="9"/>
      <c r="M534" s="9"/>
      <c r="N534" s="9"/>
      <c r="O534" s="9"/>
      <c r="P534" s="9"/>
      <c r="Q534" s="9"/>
      <c r="R534" s="9"/>
      <c r="S534" s="9"/>
    </row>
    <row r="535" spans="5:19" ht="15.75" customHeight="1" x14ac:dyDescent="0.3">
      <c r="E535" s="9"/>
      <c r="F535" s="9"/>
      <c r="H535" s="9"/>
      <c r="M535" s="9"/>
      <c r="N535" s="9"/>
      <c r="O535" s="9"/>
      <c r="P535" s="9"/>
      <c r="Q535" s="9"/>
      <c r="R535" s="9"/>
      <c r="S535" s="9"/>
    </row>
    <row r="536" spans="5:19" ht="15.75" customHeight="1" x14ac:dyDescent="0.3">
      <c r="E536" s="9"/>
      <c r="F536" s="9"/>
      <c r="H536" s="9"/>
      <c r="M536" s="9"/>
      <c r="N536" s="9"/>
      <c r="O536" s="9"/>
      <c r="P536" s="9"/>
      <c r="Q536" s="9"/>
      <c r="R536" s="9"/>
      <c r="S536" s="9"/>
    </row>
    <row r="537" spans="5:19" ht="15.75" customHeight="1" x14ac:dyDescent="0.3">
      <c r="E537" s="9"/>
      <c r="F537" s="9"/>
      <c r="H537" s="9"/>
      <c r="M537" s="9"/>
      <c r="N537" s="9"/>
      <c r="O537" s="9"/>
      <c r="P537" s="9"/>
      <c r="Q537" s="9"/>
      <c r="R537" s="9"/>
      <c r="S537" s="9"/>
    </row>
    <row r="538" spans="5:19" ht="15.75" customHeight="1" x14ac:dyDescent="0.3">
      <c r="E538" s="9"/>
      <c r="F538" s="9"/>
      <c r="H538" s="9"/>
      <c r="M538" s="9"/>
      <c r="N538" s="9"/>
      <c r="O538" s="9"/>
      <c r="P538" s="9"/>
      <c r="Q538" s="9"/>
      <c r="R538" s="9"/>
      <c r="S538" s="9"/>
    </row>
    <row r="539" spans="5:19" ht="15.75" customHeight="1" x14ac:dyDescent="0.3">
      <c r="E539" s="9"/>
      <c r="F539" s="9"/>
      <c r="H539" s="9"/>
      <c r="M539" s="9"/>
      <c r="N539" s="9"/>
      <c r="O539" s="9"/>
      <c r="P539" s="9"/>
      <c r="Q539" s="9"/>
      <c r="R539" s="9"/>
      <c r="S539" s="9"/>
    </row>
    <row r="540" spans="5:19" ht="15.75" customHeight="1" x14ac:dyDescent="0.3">
      <c r="E540" s="9"/>
      <c r="F540" s="9"/>
      <c r="H540" s="9"/>
      <c r="M540" s="9"/>
      <c r="N540" s="9"/>
      <c r="O540" s="9"/>
      <c r="P540" s="9"/>
      <c r="Q540" s="9"/>
      <c r="R540" s="9"/>
      <c r="S540" s="9"/>
    </row>
    <row r="541" spans="5:19" ht="15.75" customHeight="1" x14ac:dyDescent="0.3">
      <c r="E541" s="9"/>
      <c r="F541" s="9"/>
      <c r="H541" s="9"/>
      <c r="M541" s="9"/>
      <c r="N541" s="9"/>
      <c r="O541" s="9"/>
      <c r="P541" s="9"/>
      <c r="Q541" s="9"/>
      <c r="R541" s="9"/>
      <c r="S541" s="9"/>
    </row>
    <row r="542" spans="5:19" ht="15.75" customHeight="1" x14ac:dyDescent="0.3">
      <c r="E542" s="9"/>
      <c r="F542" s="9"/>
      <c r="H542" s="9"/>
      <c r="M542" s="9"/>
      <c r="N542" s="9"/>
      <c r="O542" s="9"/>
      <c r="P542" s="9"/>
      <c r="Q542" s="9"/>
      <c r="R542" s="9"/>
      <c r="S542" s="9"/>
    </row>
    <row r="543" spans="5:19" ht="15.75" customHeight="1" x14ac:dyDescent="0.3">
      <c r="E543" s="9"/>
      <c r="F543" s="9"/>
      <c r="H543" s="9"/>
      <c r="M543" s="9"/>
      <c r="N543" s="9"/>
      <c r="O543" s="9"/>
      <c r="P543" s="9"/>
      <c r="Q543" s="9"/>
      <c r="R543" s="9"/>
      <c r="S543" s="9"/>
    </row>
    <row r="544" spans="5:19" ht="15.75" customHeight="1" x14ac:dyDescent="0.3">
      <c r="E544" s="9"/>
      <c r="F544" s="9"/>
      <c r="H544" s="9"/>
      <c r="M544" s="9"/>
      <c r="N544" s="9"/>
      <c r="O544" s="9"/>
      <c r="P544" s="9"/>
      <c r="Q544" s="9"/>
      <c r="R544" s="9"/>
      <c r="S544" s="9"/>
    </row>
    <row r="545" spans="5:19" ht="15.75" customHeight="1" x14ac:dyDescent="0.3">
      <c r="E545" s="9"/>
      <c r="F545" s="9"/>
      <c r="H545" s="9"/>
      <c r="M545" s="9"/>
      <c r="N545" s="9"/>
      <c r="O545" s="9"/>
      <c r="P545" s="9"/>
      <c r="Q545" s="9"/>
      <c r="R545" s="9"/>
      <c r="S545" s="9"/>
    </row>
    <row r="546" spans="5:19" ht="15.75" customHeight="1" x14ac:dyDescent="0.3">
      <c r="E546" s="9"/>
      <c r="F546" s="9"/>
      <c r="H546" s="9"/>
      <c r="M546" s="9"/>
      <c r="N546" s="9"/>
      <c r="O546" s="9"/>
      <c r="P546" s="9"/>
      <c r="Q546" s="9"/>
      <c r="R546" s="9"/>
      <c r="S546" s="9"/>
    </row>
    <row r="547" spans="5:19" ht="15.75" customHeight="1" x14ac:dyDescent="0.3">
      <c r="E547" s="9"/>
      <c r="F547" s="9"/>
      <c r="H547" s="9"/>
      <c r="M547" s="9"/>
      <c r="N547" s="9"/>
      <c r="O547" s="9"/>
      <c r="P547" s="9"/>
      <c r="Q547" s="9"/>
      <c r="R547" s="9"/>
      <c r="S547" s="9"/>
    </row>
    <row r="548" spans="5:19" ht="15.75" customHeight="1" x14ac:dyDescent="0.3">
      <c r="E548" s="9"/>
      <c r="F548" s="9"/>
      <c r="H548" s="9"/>
      <c r="M548" s="9"/>
      <c r="N548" s="9"/>
      <c r="O548" s="9"/>
      <c r="P548" s="9"/>
      <c r="Q548" s="9"/>
      <c r="R548" s="9"/>
      <c r="S548" s="9"/>
    </row>
    <row r="549" spans="5:19" ht="15.75" customHeight="1" x14ac:dyDescent="0.3">
      <c r="E549" s="9"/>
      <c r="F549" s="9"/>
      <c r="H549" s="9"/>
      <c r="M549" s="9"/>
      <c r="N549" s="9"/>
      <c r="O549" s="9"/>
      <c r="P549" s="9"/>
      <c r="Q549" s="9"/>
      <c r="R549" s="9"/>
      <c r="S549" s="9"/>
    </row>
    <row r="550" spans="5:19" ht="15.75" customHeight="1" x14ac:dyDescent="0.3">
      <c r="E550" s="9"/>
      <c r="F550" s="9"/>
      <c r="H550" s="9"/>
      <c r="M550" s="9"/>
      <c r="N550" s="9"/>
      <c r="O550" s="9"/>
      <c r="P550" s="9"/>
      <c r="Q550" s="9"/>
      <c r="R550" s="9"/>
      <c r="S550" s="9"/>
    </row>
    <row r="551" spans="5:19" ht="15.75" customHeight="1" x14ac:dyDescent="0.3">
      <c r="E551" s="9"/>
      <c r="F551" s="9"/>
      <c r="H551" s="9"/>
      <c r="M551" s="9"/>
      <c r="N551" s="9"/>
      <c r="O551" s="9"/>
      <c r="P551" s="9"/>
      <c r="Q551" s="9"/>
      <c r="R551" s="9"/>
      <c r="S551" s="9"/>
    </row>
    <row r="552" spans="5:19" ht="15.75" customHeight="1" x14ac:dyDescent="0.3">
      <c r="E552" s="9"/>
      <c r="F552" s="9"/>
      <c r="H552" s="9"/>
      <c r="M552" s="9"/>
      <c r="N552" s="9"/>
      <c r="O552" s="9"/>
      <c r="P552" s="9"/>
      <c r="Q552" s="9"/>
      <c r="R552" s="9"/>
      <c r="S552" s="9"/>
    </row>
    <row r="553" spans="5:19" ht="15.75" customHeight="1" x14ac:dyDescent="0.3">
      <c r="E553" s="9"/>
      <c r="F553" s="9"/>
      <c r="H553" s="9"/>
      <c r="M553" s="9"/>
      <c r="N553" s="9"/>
      <c r="O553" s="9"/>
      <c r="P553" s="9"/>
      <c r="Q553" s="9"/>
      <c r="R553" s="9"/>
      <c r="S553" s="9"/>
    </row>
    <row r="554" spans="5:19" ht="15.75" customHeight="1" x14ac:dyDescent="0.3">
      <c r="E554" s="9"/>
      <c r="F554" s="9"/>
      <c r="H554" s="9"/>
      <c r="M554" s="9"/>
      <c r="N554" s="9"/>
      <c r="O554" s="9"/>
      <c r="P554" s="9"/>
      <c r="Q554" s="9"/>
      <c r="R554" s="9"/>
      <c r="S554" s="9"/>
    </row>
    <row r="555" spans="5:19" ht="15.75" customHeight="1" x14ac:dyDescent="0.3">
      <c r="E555" s="9"/>
      <c r="F555" s="9"/>
      <c r="H555" s="9"/>
      <c r="M555" s="9"/>
      <c r="N555" s="9"/>
      <c r="O555" s="9"/>
      <c r="P555" s="9"/>
      <c r="Q555" s="9"/>
      <c r="R555" s="9"/>
      <c r="S555" s="9"/>
    </row>
    <row r="556" spans="5:19" ht="15.75" customHeight="1" x14ac:dyDescent="0.3">
      <c r="E556" s="9"/>
      <c r="F556" s="9"/>
      <c r="H556" s="9"/>
      <c r="M556" s="9"/>
      <c r="N556" s="9"/>
      <c r="O556" s="9"/>
      <c r="P556" s="9"/>
      <c r="Q556" s="9"/>
      <c r="R556" s="9"/>
      <c r="S556" s="9"/>
    </row>
    <row r="557" spans="5:19" ht="15.75" customHeight="1" x14ac:dyDescent="0.3">
      <c r="E557" s="9"/>
      <c r="F557" s="9"/>
      <c r="H557" s="9"/>
      <c r="M557" s="9"/>
      <c r="N557" s="9"/>
      <c r="O557" s="9"/>
      <c r="P557" s="9"/>
      <c r="Q557" s="9"/>
      <c r="R557" s="9"/>
      <c r="S557" s="9"/>
    </row>
    <row r="558" spans="5:19" ht="15.75" customHeight="1" x14ac:dyDescent="0.3">
      <c r="E558" s="9"/>
      <c r="F558" s="9"/>
      <c r="H558" s="9"/>
      <c r="M558" s="9"/>
      <c r="N558" s="9"/>
      <c r="O558" s="9"/>
      <c r="P558" s="9"/>
      <c r="Q558" s="9"/>
      <c r="R558" s="9"/>
      <c r="S558" s="9"/>
    </row>
    <row r="559" spans="5:19" ht="15.75" customHeight="1" x14ac:dyDescent="0.3">
      <c r="E559" s="9"/>
      <c r="F559" s="9"/>
      <c r="H559" s="9"/>
      <c r="M559" s="9"/>
      <c r="N559" s="9"/>
      <c r="O559" s="9"/>
      <c r="P559" s="9"/>
      <c r="Q559" s="9"/>
      <c r="R559" s="9"/>
      <c r="S559" s="9"/>
    </row>
    <row r="560" spans="5:19" ht="15.75" customHeight="1" x14ac:dyDescent="0.3">
      <c r="E560" s="9"/>
      <c r="F560" s="9"/>
      <c r="H560" s="9"/>
      <c r="M560" s="9"/>
      <c r="N560" s="9"/>
      <c r="O560" s="9"/>
      <c r="P560" s="9"/>
      <c r="Q560" s="9"/>
      <c r="R560" s="9"/>
      <c r="S560" s="9"/>
    </row>
    <row r="561" spans="5:19" ht="15.75" customHeight="1" x14ac:dyDescent="0.3">
      <c r="E561" s="9"/>
      <c r="F561" s="9"/>
      <c r="H561" s="9"/>
      <c r="M561" s="9"/>
      <c r="N561" s="9"/>
      <c r="O561" s="9"/>
      <c r="P561" s="9"/>
      <c r="Q561" s="9"/>
      <c r="R561" s="9"/>
      <c r="S561" s="9"/>
    </row>
    <row r="562" spans="5:19" ht="15.75" customHeight="1" x14ac:dyDescent="0.3">
      <c r="E562" s="9"/>
      <c r="F562" s="9"/>
      <c r="H562" s="9"/>
      <c r="M562" s="9"/>
      <c r="N562" s="9"/>
      <c r="O562" s="9"/>
      <c r="P562" s="9"/>
      <c r="Q562" s="9"/>
      <c r="R562" s="9"/>
      <c r="S562" s="9"/>
    </row>
    <row r="563" spans="5:19" ht="15.75" customHeight="1" x14ac:dyDescent="0.3">
      <c r="E563" s="9"/>
      <c r="F563" s="9"/>
      <c r="H563" s="9"/>
      <c r="M563" s="9"/>
      <c r="N563" s="9"/>
      <c r="O563" s="9"/>
      <c r="P563" s="9"/>
      <c r="Q563" s="9"/>
      <c r="R563" s="9"/>
      <c r="S563" s="9"/>
    </row>
    <row r="564" spans="5:19" ht="15.75" customHeight="1" x14ac:dyDescent="0.3">
      <c r="E564" s="9"/>
      <c r="F564" s="9"/>
      <c r="H564" s="9"/>
      <c r="M564" s="9"/>
      <c r="N564" s="9"/>
      <c r="O564" s="9"/>
      <c r="P564" s="9"/>
      <c r="Q564" s="9"/>
      <c r="R564" s="9"/>
      <c r="S564" s="9"/>
    </row>
    <row r="565" spans="5:19" ht="15.75" customHeight="1" x14ac:dyDescent="0.3">
      <c r="E565" s="9"/>
      <c r="F565" s="9"/>
      <c r="H565" s="9"/>
      <c r="M565" s="9"/>
      <c r="N565" s="9"/>
      <c r="O565" s="9"/>
      <c r="P565" s="9"/>
      <c r="Q565" s="9"/>
      <c r="R565" s="9"/>
      <c r="S565" s="9"/>
    </row>
    <row r="566" spans="5:19" ht="15.75" customHeight="1" x14ac:dyDescent="0.3">
      <c r="E566" s="9"/>
      <c r="F566" s="9"/>
      <c r="H566" s="9"/>
      <c r="M566" s="9"/>
      <c r="N566" s="9"/>
      <c r="O566" s="9"/>
      <c r="P566" s="9"/>
      <c r="Q566" s="9"/>
      <c r="R566" s="9"/>
      <c r="S566" s="9"/>
    </row>
    <row r="567" spans="5:19" ht="15.75" customHeight="1" x14ac:dyDescent="0.3">
      <c r="E567" s="9"/>
      <c r="F567" s="9"/>
      <c r="H567" s="9"/>
      <c r="M567" s="9"/>
      <c r="N567" s="9"/>
      <c r="O567" s="9"/>
      <c r="P567" s="9"/>
      <c r="Q567" s="9"/>
      <c r="R567" s="9"/>
      <c r="S567" s="9"/>
    </row>
    <row r="568" spans="5:19" ht="15.75" customHeight="1" x14ac:dyDescent="0.3">
      <c r="E568" s="9"/>
      <c r="F568" s="9"/>
      <c r="H568" s="9"/>
      <c r="M568" s="9"/>
      <c r="N568" s="9"/>
      <c r="O568" s="9"/>
      <c r="P568" s="9"/>
      <c r="Q568" s="9"/>
      <c r="R568" s="9"/>
      <c r="S568" s="9"/>
    </row>
    <row r="569" spans="5:19" ht="15.75" customHeight="1" x14ac:dyDescent="0.3">
      <c r="E569" s="9"/>
      <c r="F569" s="9"/>
      <c r="H569" s="9"/>
      <c r="M569" s="9"/>
      <c r="N569" s="9"/>
      <c r="O569" s="9"/>
      <c r="P569" s="9"/>
      <c r="Q569" s="9"/>
      <c r="R569" s="9"/>
      <c r="S569" s="9"/>
    </row>
    <row r="570" spans="5:19" ht="15.75" customHeight="1" x14ac:dyDescent="0.3">
      <c r="E570" s="9"/>
      <c r="F570" s="9"/>
      <c r="H570" s="9"/>
      <c r="M570" s="9"/>
      <c r="N570" s="9"/>
      <c r="O570" s="9"/>
      <c r="P570" s="9"/>
      <c r="Q570" s="9"/>
      <c r="R570" s="9"/>
      <c r="S570" s="9"/>
    </row>
    <row r="571" spans="5:19" ht="15.75" customHeight="1" x14ac:dyDescent="0.3">
      <c r="E571" s="9"/>
      <c r="F571" s="9"/>
      <c r="H571" s="9"/>
      <c r="M571" s="9"/>
      <c r="N571" s="9"/>
      <c r="O571" s="9"/>
      <c r="P571" s="9"/>
      <c r="Q571" s="9"/>
      <c r="R571" s="9"/>
      <c r="S571" s="9"/>
    </row>
    <row r="572" spans="5:19" ht="15.75" customHeight="1" x14ac:dyDescent="0.3">
      <c r="E572" s="9"/>
      <c r="F572" s="9"/>
      <c r="H572" s="9"/>
      <c r="M572" s="9"/>
      <c r="N572" s="9"/>
      <c r="O572" s="9"/>
      <c r="P572" s="9"/>
      <c r="Q572" s="9"/>
      <c r="R572" s="9"/>
      <c r="S572" s="9"/>
    </row>
    <row r="573" spans="5:19" ht="15.75" customHeight="1" x14ac:dyDescent="0.3">
      <c r="E573" s="9"/>
      <c r="F573" s="9"/>
      <c r="H573" s="9"/>
      <c r="M573" s="9"/>
      <c r="N573" s="9"/>
      <c r="O573" s="9"/>
      <c r="P573" s="9"/>
      <c r="Q573" s="9"/>
      <c r="R573" s="9"/>
      <c r="S573" s="9"/>
    </row>
    <row r="574" spans="5:19" ht="15.75" customHeight="1" x14ac:dyDescent="0.3">
      <c r="E574" s="9"/>
      <c r="F574" s="9"/>
      <c r="H574" s="9"/>
      <c r="M574" s="9"/>
      <c r="N574" s="9"/>
      <c r="O574" s="9"/>
      <c r="P574" s="9"/>
      <c r="Q574" s="9"/>
      <c r="R574" s="9"/>
      <c r="S574" s="9"/>
    </row>
    <row r="575" spans="5:19" ht="15.75" customHeight="1" x14ac:dyDescent="0.3">
      <c r="E575" s="9"/>
      <c r="F575" s="9"/>
      <c r="H575" s="9"/>
      <c r="M575" s="9"/>
      <c r="N575" s="9"/>
      <c r="O575" s="9"/>
      <c r="P575" s="9"/>
      <c r="Q575" s="9"/>
      <c r="R575" s="9"/>
      <c r="S575" s="9"/>
    </row>
    <row r="576" spans="5:19" ht="15.75" customHeight="1" x14ac:dyDescent="0.3">
      <c r="E576" s="9"/>
      <c r="F576" s="9"/>
      <c r="H576" s="9"/>
      <c r="M576" s="9"/>
      <c r="N576" s="9"/>
      <c r="O576" s="9"/>
      <c r="P576" s="9"/>
      <c r="Q576" s="9"/>
      <c r="R576" s="9"/>
      <c r="S576" s="9"/>
    </row>
    <row r="577" spans="5:19" ht="15.75" customHeight="1" x14ac:dyDescent="0.3">
      <c r="E577" s="9"/>
      <c r="F577" s="9"/>
      <c r="H577" s="9"/>
      <c r="M577" s="9"/>
      <c r="N577" s="9"/>
      <c r="O577" s="9"/>
      <c r="P577" s="9"/>
      <c r="Q577" s="9"/>
      <c r="R577" s="9"/>
      <c r="S577" s="9"/>
    </row>
    <row r="578" spans="5:19" ht="15.75" customHeight="1" x14ac:dyDescent="0.3">
      <c r="E578" s="9"/>
      <c r="F578" s="9"/>
      <c r="H578" s="9"/>
      <c r="M578" s="9"/>
      <c r="N578" s="9"/>
      <c r="O578" s="9"/>
      <c r="P578" s="9"/>
      <c r="Q578" s="9"/>
      <c r="R578" s="9"/>
      <c r="S578" s="9"/>
    </row>
    <row r="579" spans="5:19" ht="15.75" customHeight="1" x14ac:dyDescent="0.3">
      <c r="E579" s="9"/>
      <c r="F579" s="9"/>
      <c r="H579" s="9"/>
      <c r="M579" s="9"/>
      <c r="N579" s="9"/>
      <c r="O579" s="9"/>
      <c r="P579" s="9"/>
      <c r="Q579" s="9"/>
      <c r="R579" s="9"/>
      <c r="S579" s="9"/>
    </row>
    <row r="580" spans="5:19" ht="15.75" customHeight="1" x14ac:dyDescent="0.3">
      <c r="E580" s="9"/>
      <c r="F580" s="9"/>
      <c r="H580" s="9"/>
      <c r="M580" s="9"/>
      <c r="N580" s="9"/>
      <c r="O580" s="9"/>
      <c r="P580" s="9"/>
      <c r="Q580" s="9"/>
      <c r="R580" s="9"/>
      <c r="S580" s="9"/>
    </row>
    <row r="581" spans="5:19" ht="15.75" customHeight="1" x14ac:dyDescent="0.3">
      <c r="E581" s="9"/>
      <c r="F581" s="9"/>
      <c r="H581" s="9"/>
      <c r="M581" s="9"/>
      <c r="N581" s="9"/>
      <c r="O581" s="9"/>
      <c r="P581" s="9"/>
      <c r="Q581" s="9"/>
      <c r="R581" s="9"/>
      <c r="S581" s="9"/>
    </row>
    <row r="582" spans="5:19" ht="15.75" customHeight="1" x14ac:dyDescent="0.3">
      <c r="E582" s="9"/>
      <c r="F582" s="9"/>
      <c r="H582" s="9"/>
      <c r="M582" s="9"/>
      <c r="N582" s="9"/>
      <c r="O582" s="9"/>
      <c r="P582" s="9"/>
      <c r="Q582" s="9"/>
      <c r="R582" s="9"/>
      <c r="S582" s="9"/>
    </row>
    <row r="583" spans="5:19" ht="15.75" customHeight="1" x14ac:dyDescent="0.3">
      <c r="E583" s="9"/>
      <c r="F583" s="9"/>
      <c r="H583" s="9"/>
      <c r="M583" s="9"/>
      <c r="N583" s="9"/>
      <c r="O583" s="9"/>
      <c r="P583" s="9"/>
      <c r="Q583" s="9"/>
      <c r="R583" s="9"/>
      <c r="S583" s="9"/>
    </row>
    <row r="584" spans="5:19" ht="15.75" customHeight="1" x14ac:dyDescent="0.3">
      <c r="E584" s="9"/>
      <c r="F584" s="9"/>
      <c r="H584" s="9"/>
      <c r="M584" s="9"/>
      <c r="N584" s="9"/>
      <c r="O584" s="9"/>
      <c r="P584" s="9"/>
      <c r="Q584" s="9"/>
      <c r="R584" s="9"/>
      <c r="S584" s="9"/>
    </row>
    <row r="585" spans="5:19" ht="15.75" customHeight="1" x14ac:dyDescent="0.3">
      <c r="E585" s="9"/>
      <c r="F585" s="9"/>
      <c r="H585" s="9"/>
      <c r="M585" s="9"/>
      <c r="N585" s="9"/>
      <c r="O585" s="9"/>
      <c r="P585" s="9"/>
      <c r="Q585" s="9"/>
      <c r="R585" s="9"/>
      <c r="S585" s="9"/>
    </row>
    <row r="586" spans="5:19" ht="15.75" customHeight="1" x14ac:dyDescent="0.3">
      <c r="E586" s="9"/>
      <c r="F586" s="9"/>
      <c r="H586" s="9"/>
      <c r="M586" s="9"/>
      <c r="N586" s="9"/>
      <c r="O586" s="9"/>
      <c r="P586" s="9"/>
      <c r="Q586" s="9"/>
      <c r="R586" s="9"/>
      <c r="S586" s="9"/>
    </row>
    <row r="587" spans="5:19" ht="15.75" customHeight="1" x14ac:dyDescent="0.3">
      <c r="E587" s="9"/>
      <c r="F587" s="9"/>
      <c r="H587" s="9"/>
      <c r="M587" s="9"/>
      <c r="N587" s="9"/>
      <c r="O587" s="9"/>
      <c r="P587" s="9"/>
      <c r="Q587" s="9"/>
      <c r="R587" s="9"/>
      <c r="S587" s="9"/>
    </row>
    <row r="588" spans="5:19" ht="15.75" customHeight="1" x14ac:dyDescent="0.3">
      <c r="E588" s="9"/>
      <c r="F588" s="9"/>
      <c r="H588" s="9"/>
      <c r="M588" s="9"/>
      <c r="N588" s="9"/>
      <c r="O588" s="9"/>
      <c r="P588" s="9"/>
      <c r="Q588" s="9"/>
      <c r="R588" s="9"/>
      <c r="S588" s="9"/>
    </row>
    <row r="589" spans="5:19" ht="15.75" customHeight="1" x14ac:dyDescent="0.3">
      <c r="E589" s="9"/>
      <c r="F589" s="9"/>
      <c r="H589" s="9"/>
      <c r="M589" s="9"/>
      <c r="N589" s="9"/>
      <c r="O589" s="9"/>
      <c r="P589" s="9"/>
      <c r="Q589" s="9"/>
      <c r="R589" s="9"/>
      <c r="S589" s="9"/>
    </row>
    <row r="590" spans="5:19" ht="15.75" customHeight="1" x14ac:dyDescent="0.3">
      <c r="E590" s="9"/>
      <c r="F590" s="9"/>
      <c r="H590" s="9"/>
      <c r="M590" s="9"/>
      <c r="N590" s="9"/>
      <c r="O590" s="9"/>
      <c r="P590" s="9"/>
      <c r="Q590" s="9"/>
      <c r="R590" s="9"/>
      <c r="S590" s="9"/>
    </row>
    <row r="591" spans="5:19" ht="15.75" customHeight="1" x14ac:dyDescent="0.3">
      <c r="E591" s="9"/>
      <c r="F591" s="9"/>
      <c r="H591" s="9"/>
      <c r="M591" s="9"/>
      <c r="N591" s="9"/>
      <c r="O591" s="9"/>
      <c r="P591" s="9"/>
      <c r="Q591" s="9"/>
      <c r="R591" s="9"/>
      <c r="S591" s="9"/>
    </row>
    <row r="592" spans="5:19" ht="15.75" customHeight="1" x14ac:dyDescent="0.3">
      <c r="E592" s="9"/>
      <c r="F592" s="9"/>
      <c r="H592" s="9"/>
      <c r="M592" s="9"/>
      <c r="N592" s="9"/>
      <c r="O592" s="9"/>
      <c r="P592" s="9"/>
      <c r="Q592" s="9"/>
      <c r="R592" s="9"/>
      <c r="S592" s="9"/>
    </row>
    <row r="593" spans="5:19" ht="15.75" customHeight="1" x14ac:dyDescent="0.3">
      <c r="E593" s="9"/>
      <c r="F593" s="9"/>
      <c r="H593" s="9"/>
      <c r="M593" s="9"/>
      <c r="N593" s="9"/>
      <c r="O593" s="9"/>
      <c r="P593" s="9"/>
      <c r="Q593" s="9"/>
      <c r="R593" s="9"/>
      <c r="S593" s="9"/>
    </row>
    <row r="594" spans="5:19" ht="15.75" customHeight="1" x14ac:dyDescent="0.3">
      <c r="E594" s="9"/>
      <c r="F594" s="9"/>
      <c r="H594" s="9"/>
      <c r="M594" s="9"/>
      <c r="N594" s="9"/>
      <c r="O594" s="9"/>
      <c r="P594" s="9"/>
      <c r="Q594" s="9"/>
      <c r="R594" s="9"/>
      <c r="S594" s="9"/>
    </row>
    <row r="595" spans="5:19" ht="15.75" customHeight="1" x14ac:dyDescent="0.3">
      <c r="E595" s="9"/>
      <c r="F595" s="9"/>
      <c r="H595" s="9"/>
      <c r="M595" s="9"/>
      <c r="N595" s="9"/>
      <c r="O595" s="9"/>
      <c r="P595" s="9"/>
      <c r="Q595" s="9"/>
      <c r="R595" s="9"/>
      <c r="S595" s="9"/>
    </row>
    <row r="596" spans="5:19" ht="15.75" customHeight="1" x14ac:dyDescent="0.3">
      <c r="E596" s="9"/>
      <c r="F596" s="9"/>
      <c r="H596" s="9"/>
      <c r="M596" s="9"/>
      <c r="N596" s="9"/>
      <c r="O596" s="9"/>
      <c r="P596" s="9"/>
      <c r="Q596" s="9"/>
      <c r="R596" s="9"/>
      <c r="S596" s="9"/>
    </row>
    <row r="597" spans="5:19" ht="15.75" customHeight="1" x14ac:dyDescent="0.3">
      <c r="E597" s="9"/>
      <c r="F597" s="9"/>
      <c r="H597" s="9"/>
      <c r="M597" s="9"/>
      <c r="N597" s="9"/>
      <c r="O597" s="9"/>
      <c r="P597" s="9"/>
      <c r="Q597" s="9"/>
      <c r="R597" s="9"/>
      <c r="S597" s="9"/>
    </row>
    <row r="598" spans="5:19" ht="15.75" customHeight="1" x14ac:dyDescent="0.3">
      <c r="E598" s="9"/>
      <c r="F598" s="9"/>
      <c r="H598" s="9"/>
      <c r="M598" s="9"/>
      <c r="N598" s="9"/>
      <c r="O598" s="9"/>
      <c r="P598" s="9"/>
      <c r="Q598" s="9"/>
      <c r="R598" s="9"/>
      <c r="S598" s="9"/>
    </row>
    <row r="599" spans="5:19" ht="15.75" customHeight="1" x14ac:dyDescent="0.3">
      <c r="E599" s="9"/>
      <c r="F599" s="9"/>
      <c r="H599" s="9"/>
      <c r="M599" s="9"/>
      <c r="N599" s="9"/>
      <c r="O599" s="9"/>
      <c r="P599" s="9"/>
      <c r="Q599" s="9"/>
      <c r="R599" s="9"/>
      <c r="S599" s="9"/>
    </row>
    <row r="600" spans="5:19" ht="15.75" customHeight="1" x14ac:dyDescent="0.3">
      <c r="E600" s="9"/>
      <c r="F600" s="9"/>
      <c r="H600" s="9"/>
      <c r="M600" s="9"/>
      <c r="N600" s="9"/>
      <c r="O600" s="9"/>
      <c r="P600" s="9"/>
      <c r="Q600" s="9"/>
      <c r="R600" s="9"/>
      <c r="S600" s="9"/>
    </row>
    <row r="601" spans="5:19" ht="15.75" customHeight="1" x14ac:dyDescent="0.3">
      <c r="E601" s="9"/>
      <c r="F601" s="9"/>
      <c r="H601" s="9"/>
      <c r="M601" s="9"/>
      <c r="N601" s="9"/>
      <c r="O601" s="9"/>
      <c r="P601" s="9"/>
      <c r="Q601" s="9"/>
      <c r="R601" s="9"/>
      <c r="S601" s="9"/>
    </row>
    <row r="602" spans="5:19" ht="15.75" customHeight="1" x14ac:dyDescent="0.3">
      <c r="E602" s="9"/>
      <c r="F602" s="9"/>
      <c r="H602" s="9"/>
      <c r="M602" s="9"/>
      <c r="N602" s="9"/>
      <c r="O602" s="9"/>
      <c r="P602" s="9"/>
      <c r="Q602" s="9"/>
      <c r="R602" s="9"/>
      <c r="S602" s="9"/>
    </row>
    <row r="603" spans="5:19" ht="15.75" customHeight="1" x14ac:dyDescent="0.3">
      <c r="E603" s="9"/>
      <c r="F603" s="9"/>
      <c r="H603" s="9"/>
      <c r="M603" s="9"/>
      <c r="N603" s="9"/>
      <c r="O603" s="9"/>
      <c r="P603" s="9"/>
      <c r="Q603" s="9"/>
      <c r="R603" s="9"/>
      <c r="S603" s="9"/>
    </row>
    <row r="604" spans="5:19" ht="15.75" customHeight="1" x14ac:dyDescent="0.3">
      <c r="E604" s="9"/>
      <c r="F604" s="9"/>
      <c r="H604" s="9"/>
      <c r="M604" s="9"/>
      <c r="N604" s="9"/>
      <c r="O604" s="9"/>
      <c r="P604" s="9"/>
      <c r="Q604" s="9"/>
      <c r="R604" s="9"/>
      <c r="S604" s="9"/>
    </row>
    <row r="605" spans="5:19" ht="15.75" customHeight="1" x14ac:dyDescent="0.3">
      <c r="E605" s="9"/>
      <c r="F605" s="9"/>
      <c r="H605" s="9"/>
      <c r="M605" s="9"/>
      <c r="N605" s="9"/>
      <c r="O605" s="9"/>
      <c r="P605" s="9"/>
      <c r="Q605" s="9"/>
      <c r="R605" s="9"/>
      <c r="S605" s="9"/>
    </row>
    <row r="606" spans="5:19" ht="15.75" customHeight="1" x14ac:dyDescent="0.3">
      <c r="E606" s="9"/>
      <c r="F606" s="9"/>
      <c r="H606" s="9"/>
      <c r="M606" s="9"/>
      <c r="N606" s="9"/>
      <c r="O606" s="9"/>
      <c r="P606" s="9"/>
      <c r="Q606" s="9"/>
      <c r="R606" s="9"/>
      <c r="S606" s="9"/>
    </row>
    <row r="607" spans="5:19" ht="15.75" customHeight="1" x14ac:dyDescent="0.3">
      <c r="E607" s="9"/>
      <c r="F607" s="9"/>
      <c r="H607" s="9"/>
      <c r="M607" s="9"/>
      <c r="N607" s="9"/>
      <c r="O607" s="9"/>
      <c r="P607" s="9"/>
      <c r="Q607" s="9"/>
      <c r="R607" s="9"/>
      <c r="S607" s="9"/>
    </row>
    <row r="608" spans="5:19" ht="15.75" customHeight="1" x14ac:dyDescent="0.3">
      <c r="E608" s="9"/>
      <c r="F608" s="9"/>
      <c r="H608" s="9"/>
      <c r="M608" s="9"/>
      <c r="N608" s="9"/>
      <c r="O608" s="9"/>
      <c r="P608" s="9"/>
      <c r="Q608" s="9"/>
      <c r="R608" s="9"/>
      <c r="S608" s="9"/>
    </row>
    <row r="609" spans="5:19" ht="15.75" customHeight="1" x14ac:dyDescent="0.3">
      <c r="E609" s="9"/>
      <c r="F609" s="9"/>
      <c r="H609" s="9"/>
      <c r="M609" s="9"/>
      <c r="N609" s="9"/>
      <c r="O609" s="9"/>
      <c r="P609" s="9"/>
      <c r="Q609" s="9"/>
      <c r="R609" s="9"/>
      <c r="S609" s="9"/>
    </row>
    <row r="610" spans="5:19" ht="15.75" customHeight="1" x14ac:dyDescent="0.3">
      <c r="E610" s="9"/>
      <c r="F610" s="9"/>
      <c r="H610" s="9"/>
      <c r="M610" s="9"/>
      <c r="N610" s="9"/>
      <c r="O610" s="9"/>
      <c r="P610" s="9"/>
      <c r="Q610" s="9"/>
      <c r="R610" s="9"/>
      <c r="S610" s="9"/>
    </row>
    <row r="611" spans="5:19" ht="15.75" customHeight="1" x14ac:dyDescent="0.3">
      <c r="E611" s="9"/>
      <c r="F611" s="9"/>
      <c r="H611" s="9"/>
      <c r="M611" s="9"/>
      <c r="N611" s="9"/>
      <c r="O611" s="9"/>
      <c r="P611" s="9"/>
      <c r="Q611" s="9"/>
      <c r="R611" s="9"/>
      <c r="S611" s="9"/>
    </row>
    <row r="612" spans="5:19" ht="15.75" customHeight="1" x14ac:dyDescent="0.3">
      <c r="E612" s="9"/>
      <c r="F612" s="9"/>
      <c r="H612" s="9"/>
      <c r="M612" s="9"/>
      <c r="N612" s="9"/>
      <c r="O612" s="9"/>
      <c r="P612" s="9"/>
      <c r="Q612" s="9"/>
      <c r="R612" s="9"/>
      <c r="S612" s="9"/>
    </row>
    <row r="613" spans="5:19" ht="15.75" customHeight="1" x14ac:dyDescent="0.3">
      <c r="E613" s="9"/>
      <c r="F613" s="9"/>
      <c r="H613" s="9"/>
      <c r="M613" s="9"/>
      <c r="N613" s="9"/>
      <c r="O613" s="9"/>
      <c r="P613" s="9"/>
      <c r="Q613" s="9"/>
      <c r="R613" s="9"/>
      <c r="S613" s="9"/>
    </row>
    <row r="614" spans="5:19" ht="15.75" customHeight="1" x14ac:dyDescent="0.3">
      <c r="E614" s="9"/>
      <c r="F614" s="9"/>
      <c r="H614" s="9"/>
      <c r="M614" s="9"/>
      <c r="N614" s="9"/>
      <c r="O614" s="9"/>
      <c r="P614" s="9"/>
      <c r="Q614" s="9"/>
      <c r="R614" s="9"/>
      <c r="S614" s="9"/>
    </row>
    <row r="615" spans="5:19" ht="15.75" customHeight="1" x14ac:dyDescent="0.3">
      <c r="E615" s="9"/>
      <c r="F615" s="9"/>
      <c r="H615" s="9"/>
      <c r="M615" s="9"/>
      <c r="N615" s="9"/>
      <c r="O615" s="9"/>
      <c r="P615" s="9"/>
      <c r="Q615" s="9"/>
      <c r="R615" s="9"/>
      <c r="S615" s="9"/>
    </row>
    <row r="616" spans="5:19" ht="15.75" customHeight="1" x14ac:dyDescent="0.3">
      <c r="E616" s="9"/>
      <c r="F616" s="9"/>
      <c r="H616" s="9"/>
      <c r="M616" s="9"/>
      <c r="N616" s="9"/>
      <c r="O616" s="9"/>
      <c r="P616" s="9"/>
      <c r="Q616" s="9"/>
      <c r="R616" s="9"/>
      <c r="S616" s="9"/>
    </row>
    <row r="617" spans="5:19" ht="15.75" customHeight="1" x14ac:dyDescent="0.3">
      <c r="E617" s="9"/>
      <c r="F617" s="9"/>
      <c r="H617" s="9"/>
      <c r="M617" s="9"/>
      <c r="N617" s="9"/>
      <c r="O617" s="9"/>
      <c r="P617" s="9"/>
      <c r="Q617" s="9"/>
      <c r="R617" s="9"/>
      <c r="S617" s="9"/>
    </row>
    <row r="618" spans="5:19" ht="15.75" customHeight="1" x14ac:dyDescent="0.3">
      <c r="E618" s="9"/>
      <c r="F618" s="9"/>
      <c r="H618" s="9"/>
      <c r="M618" s="9"/>
      <c r="N618" s="9"/>
      <c r="O618" s="9"/>
      <c r="P618" s="9"/>
      <c r="Q618" s="9"/>
      <c r="R618" s="9"/>
      <c r="S618" s="9"/>
    </row>
    <row r="619" spans="5:19" ht="15.75" customHeight="1" x14ac:dyDescent="0.3">
      <c r="E619" s="9"/>
      <c r="F619" s="9"/>
      <c r="H619" s="9"/>
      <c r="M619" s="9"/>
      <c r="N619" s="9"/>
      <c r="O619" s="9"/>
      <c r="P619" s="9"/>
      <c r="Q619" s="9"/>
      <c r="R619" s="9"/>
      <c r="S619" s="9"/>
    </row>
    <row r="620" spans="5:19" ht="15.75" customHeight="1" x14ac:dyDescent="0.3">
      <c r="E620" s="9"/>
      <c r="F620" s="9"/>
      <c r="H620" s="9"/>
      <c r="M620" s="9"/>
      <c r="N620" s="9"/>
      <c r="O620" s="9"/>
      <c r="P620" s="9"/>
      <c r="Q620" s="9"/>
      <c r="R620" s="9"/>
      <c r="S620" s="9"/>
    </row>
    <row r="621" spans="5:19" ht="15.75" customHeight="1" x14ac:dyDescent="0.3">
      <c r="E621" s="9"/>
      <c r="F621" s="9"/>
      <c r="H621" s="9"/>
      <c r="M621" s="9"/>
      <c r="N621" s="9"/>
      <c r="O621" s="9"/>
      <c r="P621" s="9"/>
      <c r="Q621" s="9"/>
      <c r="R621" s="9"/>
      <c r="S621" s="9"/>
    </row>
    <row r="622" spans="5:19" ht="15.75" customHeight="1" x14ac:dyDescent="0.3">
      <c r="E622" s="9"/>
      <c r="F622" s="9"/>
      <c r="H622" s="9"/>
      <c r="M622" s="9"/>
      <c r="N622" s="9"/>
      <c r="O622" s="9"/>
      <c r="P622" s="9"/>
      <c r="Q622" s="9"/>
      <c r="R622" s="9"/>
      <c r="S622" s="9"/>
    </row>
    <row r="623" spans="5:19" ht="15.75" customHeight="1" x14ac:dyDescent="0.3">
      <c r="E623" s="9"/>
      <c r="F623" s="9"/>
      <c r="H623" s="9"/>
      <c r="M623" s="9"/>
      <c r="N623" s="9"/>
      <c r="O623" s="9"/>
      <c r="P623" s="9"/>
      <c r="Q623" s="9"/>
      <c r="R623" s="9"/>
      <c r="S623" s="9"/>
    </row>
    <row r="624" spans="5:19" ht="15.75" customHeight="1" x14ac:dyDescent="0.3">
      <c r="E624" s="9"/>
      <c r="F624" s="9"/>
      <c r="H624" s="9"/>
      <c r="M624" s="9"/>
      <c r="N624" s="9"/>
      <c r="O624" s="9"/>
      <c r="P624" s="9"/>
      <c r="Q624" s="9"/>
      <c r="R624" s="9"/>
      <c r="S624" s="9"/>
    </row>
    <row r="625" spans="5:19" ht="15.75" customHeight="1" x14ac:dyDescent="0.3">
      <c r="E625" s="9"/>
      <c r="F625" s="9"/>
      <c r="H625" s="9"/>
      <c r="M625" s="9"/>
      <c r="N625" s="9"/>
      <c r="O625" s="9"/>
      <c r="P625" s="9"/>
      <c r="Q625" s="9"/>
      <c r="R625" s="9"/>
      <c r="S625" s="9"/>
    </row>
    <row r="626" spans="5:19" ht="15.75" customHeight="1" x14ac:dyDescent="0.3">
      <c r="E626" s="9"/>
      <c r="F626" s="9"/>
      <c r="H626" s="9"/>
      <c r="M626" s="9"/>
      <c r="N626" s="9"/>
      <c r="O626" s="9"/>
      <c r="P626" s="9"/>
      <c r="Q626" s="9"/>
      <c r="R626" s="9"/>
      <c r="S626" s="9"/>
    </row>
    <row r="627" spans="5:19" ht="15.75" customHeight="1" x14ac:dyDescent="0.3">
      <c r="E627" s="9"/>
      <c r="F627" s="9"/>
      <c r="H627" s="9"/>
      <c r="M627" s="9"/>
      <c r="N627" s="9"/>
      <c r="O627" s="9"/>
      <c r="P627" s="9"/>
      <c r="Q627" s="9"/>
      <c r="R627" s="9"/>
      <c r="S627" s="9"/>
    </row>
    <row r="628" spans="5:19" ht="15.75" customHeight="1" x14ac:dyDescent="0.3">
      <c r="E628" s="9"/>
      <c r="F628" s="9"/>
      <c r="H628" s="9"/>
      <c r="M628" s="9"/>
      <c r="N628" s="9"/>
      <c r="O628" s="9"/>
      <c r="P628" s="9"/>
      <c r="Q628" s="9"/>
      <c r="R628" s="9"/>
      <c r="S628" s="9"/>
    </row>
    <row r="629" spans="5:19" ht="15.75" customHeight="1" x14ac:dyDescent="0.3">
      <c r="E629" s="9"/>
      <c r="F629" s="9"/>
      <c r="H629" s="9"/>
      <c r="M629" s="9"/>
      <c r="N629" s="9"/>
      <c r="O629" s="9"/>
      <c r="P629" s="9"/>
      <c r="Q629" s="9"/>
      <c r="R629" s="9"/>
      <c r="S629" s="9"/>
    </row>
    <row r="630" spans="5:19" ht="15.75" customHeight="1" x14ac:dyDescent="0.3">
      <c r="E630" s="9"/>
      <c r="F630" s="9"/>
      <c r="H630" s="9"/>
      <c r="M630" s="9"/>
      <c r="N630" s="9"/>
      <c r="O630" s="9"/>
      <c r="P630" s="9"/>
      <c r="Q630" s="9"/>
      <c r="R630" s="9"/>
      <c r="S630" s="9"/>
    </row>
    <row r="631" spans="5:19" ht="15.75" customHeight="1" x14ac:dyDescent="0.3">
      <c r="E631" s="9"/>
      <c r="F631" s="9"/>
      <c r="H631" s="9"/>
      <c r="M631" s="9"/>
      <c r="N631" s="9"/>
      <c r="O631" s="9"/>
      <c r="P631" s="9"/>
      <c r="Q631" s="9"/>
      <c r="R631" s="9"/>
      <c r="S631" s="9"/>
    </row>
    <row r="632" spans="5:19" ht="15.75" customHeight="1" x14ac:dyDescent="0.3">
      <c r="E632" s="9"/>
      <c r="F632" s="9"/>
      <c r="H632" s="9"/>
      <c r="M632" s="9"/>
      <c r="N632" s="9"/>
      <c r="O632" s="9"/>
      <c r="P632" s="9"/>
      <c r="Q632" s="9"/>
      <c r="R632" s="9"/>
      <c r="S632" s="9"/>
    </row>
    <row r="633" spans="5:19" ht="15.75" customHeight="1" x14ac:dyDescent="0.3">
      <c r="E633" s="9"/>
      <c r="F633" s="9"/>
      <c r="H633" s="9"/>
      <c r="M633" s="9"/>
      <c r="N633" s="9"/>
      <c r="O633" s="9"/>
      <c r="P633" s="9"/>
      <c r="Q633" s="9"/>
      <c r="R633" s="9"/>
      <c r="S633" s="9"/>
    </row>
    <row r="634" spans="5:19" ht="15.75" customHeight="1" x14ac:dyDescent="0.3">
      <c r="E634" s="9"/>
      <c r="F634" s="9"/>
      <c r="H634" s="9"/>
      <c r="M634" s="9"/>
      <c r="N634" s="9"/>
      <c r="O634" s="9"/>
      <c r="P634" s="9"/>
      <c r="Q634" s="9"/>
      <c r="R634" s="9"/>
      <c r="S634" s="9"/>
    </row>
    <row r="635" spans="5:19" ht="15.75" customHeight="1" x14ac:dyDescent="0.3">
      <c r="E635" s="9"/>
      <c r="F635" s="9"/>
      <c r="H635" s="9"/>
      <c r="M635" s="9"/>
      <c r="N635" s="9"/>
      <c r="O635" s="9"/>
      <c r="P635" s="9"/>
      <c r="Q635" s="9"/>
      <c r="R635" s="9"/>
      <c r="S635" s="9"/>
    </row>
    <row r="636" spans="5:19" ht="15.75" customHeight="1" x14ac:dyDescent="0.3">
      <c r="E636" s="9"/>
      <c r="F636" s="9"/>
      <c r="H636" s="9"/>
      <c r="M636" s="9"/>
      <c r="N636" s="9"/>
      <c r="O636" s="9"/>
      <c r="P636" s="9"/>
      <c r="Q636" s="9"/>
      <c r="R636" s="9"/>
      <c r="S636" s="9"/>
    </row>
    <row r="637" spans="5:19" ht="15.75" customHeight="1" x14ac:dyDescent="0.3">
      <c r="E637" s="9"/>
      <c r="F637" s="9"/>
      <c r="H637" s="9"/>
      <c r="M637" s="9"/>
      <c r="N637" s="9"/>
      <c r="O637" s="9"/>
      <c r="P637" s="9"/>
      <c r="Q637" s="9"/>
      <c r="R637" s="9"/>
      <c r="S637" s="9"/>
    </row>
    <row r="638" spans="5:19" ht="15.75" customHeight="1" x14ac:dyDescent="0.3">
      <c r="E638" s="9"/>
      <c r="F638" s="9"/>
      <c r="H638" s="9"/>
      <c r="M638" s="9"/>
      <c r="N638" s="9"/>
      <c r="O638" s="9"/>
      <c r="P638" s="9"/>
      <c r="Q638" s="9"/>
      <c r="R638" s="9"/>
      <c r="S638" s="9"/>
    </row>
    <row r="639" spans="5:19" ht="15.75" customHeight="1" x14ac:dyDescent="0.3">
      <c r="E639" s="9"/>
      <c r="F639" s="9"/>
      <c r="H639" s="9"/>
      <c r="M639" s="9"/>
      <c r="N639" s="9"/>
      <c r="O639" s="9"/>
      <c r="P639" s="9"/>
      <c r="Q639" s="9"/>
      <c r="R639" s="9"/>
      <c r="S639" s="9"/>
    </row>
    <row r="640" spans="5:19" ht="15.75" customHeight="1" x14ac:dyDescent="0.3">
      <c r="E640" s="9"/>
      <c r="F640" s="9"/>
      <c r="H640" s="9"/>
      <c r="M640" s="9"/>
      <c r="N640" s="9"/>
      <c r="O640" s="9"/>
      <c r="P640" s="9"/>
      <c r="Q640" s="9"/>
      <c r="R640" s="9"/>
      <c r="S640" s="9"/>
    </row>
    <row r="641" spans="5:19" ht="15.75" customHeight="1" x14ac:dyDescent="0.3">
      <c r="E641" s="9"/>
      <c r="F641" s="9"/>
      <c r="H641" s="9"/>
      <c r="M641" s="9"/>
      <c r="N641" s="9"/>
      <c r="O641" s="9"/>
      <c r="P641" s="9"/>
      <c r="Q641" s="9"/>
      <c r="R641" s="9"/>
      <c r="S641" s="9"/>
    </row>
    <row r="642" spans="5:19" ht="15.75" customHeight="1" x14ac:dyDescent="0.3">
      <c r="E642" s="9"/>
      <c r="F642" s="9"/>
      <c r="H642" s="9"/>
      <c r="M642" s="9"/>
      <c r="N642" s="9"/>
      <c r="O642" s="9"/>
      <c r="P642" s="9"/>
      <c r="Q642" s="9"/>
      <c r="R642" s="9"/>
      <c r="S642" s="9"/>
    </row>
    <row r="643" spans="5:19" ht="15.75" customHeight="1" x14ac:dyDescent="0.3">
      <c r="E643" s="9"/>
      <c r="F643" s="9"/>
      <c r="H643" s="9"/>
      <c r="M643" s="9"/>
      <c r="N643" s="9"/>
      <c r="O643" s="9"/>
      <c r="P643" s="9"/>
      <c r="Q643" s="9"/>
      <c r="R643" s="9"/>
      <c r="S643" s="9"/>
    </row>
    <row r="644" spans="5:19" ht="15.75" customHeight="1" x14ac:dyDescent="0.3">
      <c r="E644" s="9"/>
      <c r="F644" s="9"/>
      <c r="H644" s="9"/>
      <c r="M644" s="9"/>
      <c r="N644" s="9"/>
      <c r="O644" s="9"/>
      <c r="P644" s="9"/>
      <c r="Q644" s="9"/>
      <c r="R644" s="9"/>
      <c r="S644" s="9"/>
    </row>
    <row r="645" spans="5:19" ht="15.75" customHeight="1" x14ac:dyDescent="0.3">
      <c r="E645" s="9"/>
      <c r="F645" s="9"/>
      <c r="H645" s="9"/>
      <c r="M645" s="9"/>
      <c r="N645" s="9"/>
      <c r="O645" s="9"/>
      <c r="P645" s="9"/>
      <c r="Q645" s="9"/>
      <c r="R645" s="9"/>
      <c r="S645" s="9"/>
    </row>
    <row r="646" spans="5:19" ht="15.75" customHeight="1" x14ac:dyDescent="0.3">
      <c r="E646" s="9"/>
      <c r="F646" s="9"/>
      <c r="H646" s="9"/>
      <c r="M646" s="9"/>
      <c r="N646" s="9"/>
      <c r="O646" s="9"/>
      <c r="P646" s="9"/>
      <c r="Q646" s="9"/>
      <c r="R646" s="9"/>
      <c r="S646" s="9"/>
    </row>
    <row r="647" spans="5:19" ht="15.75" customHeight="1" x14ac:dyDescent="0.3">
      <c r="E647" s="9"/>
      <c r="F647" s="9"/>
      <c r="H647" s="9"/>
      <c r="M647" s="9"/>
      <c r="N647" s="9"/>
      <c r="O647" s="9"/>
      <c r="P647" s="9"/>
      <c r="Q647" s="9"/>
      <c r="R647" s="9"/>
      <c r="S647" s="9"/>
    </row>
    <row r="648" spans="5:19" ht="15.75" customHeight="1" x14ac:dyDescent="0.3">
      <c r="E648" s="9"/>
      <c r="F648" s="9"/>
      <c r="H648" s="9"/>
      <c r="M648" s="9"/>
      <c r="N648" s="9"/>
      <c r="O648" s="9"/>
      <c r="P648" s="9"/>
      <c r="Q648" s="9"/>
      <c r="R648" s="9"/>
      <c r="S648" s="9"/>
    </row>
    <row r="649" spans="5:19" ht="15.75" customHeight="1" x14ac:dyDescent="0.3">
      <c r="E649" s="9"/>
      <c r="F649" s="9"/>
      <c r="H649" s="9"/>
      <c r="M649" s="9"/>
      <c r="N649" s="9"/>
      <c r="O649" s="9"/>
      <c r="P649" s="9"/>
      <c r="Q649" s="9"/>
      <c r="R649" s="9"/>
      <c r="S649" s="9"/>
    </row>
    <row r="650" spans="5:19" ht="15.75" customHeight="1" x14ac:dyDescent="0.3">
      <c r="E650" s="9"/>
      <c r="F650" s="9"/>
      <c r="H650" s="9"/>
      <c r="M650" s="9"/>
      <c r="N650" s="9"/>
      <c r="O650" s="9"/>
      <c r="P650" s="9"/>
      <c r="Q650" s="9"/>
      <c r="R650" s="9"/>
      <c r="S650" s="9"/>
    </row>
    <row r="651" spans="5:19" ht="15.75" customHeight="1" x14ac:dyDescent="0.3">
      <c r="E651" s="9"/>
      <c r="F651" s="9"/>
      <c r="H651" s="9"/>
      <c r="M651" s="9"/>
      <c r="N651" s="9"/>
      <c r="O651" s="9"/>
      <c r="P651" s="9"/>
      <c r="Q651" s="9"/>
      <c r="R651" s="9"/>
      <c r="S651" s="9"/>
    </row>
    <row r="652" spans="5:19" ht="15.75" customHeight="1" x14ac:dyDescent="0.3">
      <c r="E652" s="9"/>
      <c r="F652" s="9"/>
      <c r="H652" s="9"/>
      <c r="M652" s="9"/>
      <c r="N652" s="9"/>
      <c r="O652" s="9"/>
      <c r="P652" s="9"/>
      <c r="Q652" s="9"/>
      <c r="R652" s="9"/>
      <c r="S652" s="9"/>
    </row>
    <row r="653" spans="5:19" ht="15.75" customHeight="1" x14ac:dyDescent="0.3">
      <c r="E653" s="9"/>
      <c r="F653" s="9"/>
      <c r="H653" s="9"/>
      <c r="M653" s="9"/>
      <c r="N653" s="9"/>
      <c r="O653" s="9"/>
      <c r="P653" s="9"/>
      <c r="Q653" s="9"/>
      <c r="R653" s="9"/>
      <c r="S653" s="9"/>
    </row>
    <row r="654" spans="5:19" ht="15.75" customHeight="1" x14ac:dyDescent="0.3">
      <c r="E654" s="9"/>
      <c r="F654" s="9"/>
      <c r="H654" s="9"/>
      <c r="M654" s="9"/>
      <c r="N654" s="9"/>
      <c r="O654" s="9"/>
      <c r="P654" s="9"/>
      <c r="Q654" s="9"/>
      <c r="R654" s="9"/>
      <c r="S654" s="9"/>
    </row>
    <row r="655" spans="5:19" ht="15.75" customHeight="1" x14ac:dyDescent="0.3">
      <c r="E655" s="9"/>
      <c r="F655" s="9"/>
      <c r="H655" s="9"/>
      <c r="M655" s="9"/>
      <c r="N655" s="9"/>
      <c r="O655" s="9"/>
      <c r="P655" s="9"/>
      <c r="Q655" s="9"/>
      <c r="R655" s="9"/>
      <c r="S655" s="9"/>
    </row>
    <row r="656" spans="5:19" ht="15.75" customHeight="1" x14ac:dyDescent="0.3">
      <c r="E656" s="9"/>
      <c r="F656" s="9"/>
      <c r="H656" s="9"/>
      <c r="M656" s="9"/>
      <c r="N656" s="9"/>
      <c r="O656" s="9"/>
      <c r="P656" s="9"/>
      <c r="Q656" s="9"/>
      <c r="R656" s="9"/>
      <c r="S656" s="9"/>
    </row>
    <row r="657" spans="5:19" ht="15.75" customHeight="1" x14ac:dyDescent="0.3">
      <c r="E657" s="9"/>
      <c r="F657" s="9"/>
      <c r="H657" s="9"/>
      <c r="M657" s="9"/>
      <c r="N657" s="9"/>
      <c r="O657" s="9"/>
      <c r="P657" s="9"/>
      <c r="Q657" s="9"/>
      <c r="R657" s="9"/>
      <c r="S657" s="9"/>
    </row>
    <row r="658" spans="5:19" ht="15.75" customHeight="1" x14ac:dyDescent="0.3">
      <c r="E658" s="9"/>
      <c r="F658" s="9"/>
      <c r="H658" s="9"/>
      <c r="M658" s="9"/>
      <c r="N658" s="9"/>
      <c r="O658" s="9"/>
      <c r="P658" s="9"/>
      <c r="Q658" s="9"/>
      <c r="R658" s="9"/>
      <c r="S658" s="9"/>
    </row>
    <row r="659" spans="5:19" ht="15.75" customHeight="1" x14ac:dyDescent="0.3">
      <c r="E659" s="9"/>
      <c r="F659" s="9"/>
      <c r="H659" s="9"/>
      <c r="M659" s="9"/>
      <c r="N659" s="9"/>
      <c r="O659" s="9"/>
      <c r="P659" s="9"/>
      <c r="Q659" s="9"/>
      <c r="R659" s="9"/>
      <c r="S659" s="9"/>
    </row>
    <row r="660" spans="5:19" ht="15.75" customHeight="1" x14ac:dyDescent="0.3">
      <c r="E660" s="9"/>
      <c r="F660" s="9"/>
      <c r="H660" s="9"/>
      <c r="M660" s="9"/>
      <c r="N660" s="9"/>
      <c r="O660" s="9"/>
      <c r="P660" s="9"/>
      <c r="Q660" s="9"/>
      <c r="R660" s="9"/>
      <c r="S660" s="9"/>
    </row>
    <row r="661" spans="5:19" ht="15.75" customHeight="1" x14ac:dyDescent="0.3">
      <c r="E661" s="9"/>
      <c r="F661" s="9"/>
      <c r="H661" s="9"/>
      <c r="M661" s="9"/>
      <c r="N661" s="9"/>
      <c r="O661" s="9"/>
      <c r="P661" s="9"/>
      <c r="Q661" s="9"/>
      <c r="R661" s="9"/>
      <c r="S661" s="9"/>
    </row>
    <row r="662" spans="5:19" ht="15.75" customHeight="1" x14ac:dyDescent="0.3">
      <c r="E662" s="9"/>
      <c r="F662" s="9"/>
      <c r="H662" s="9"/>
      <c r="M662" s="9"/>
      <c r="N662" s="9"/>
      <c r="O662" s="9"/>
      <c r="P662" s="9"/>
      <c r="Q662" s="9"/>
      <c r="R662" s="9"/>
      <c r="S662" s="9"/>
    </row>
    <row r="663" spans="5:19" ht="15.75" customHeight="1" x14ac:dyDescent="0.3">
      <c r="E663" s="9"/>
      <c r="F663" s="9"/>
      <c r="H663" s="9"/>
      <c r="M663" s="9"/>
      <c r="N663" s="9"/>
      <c r="O663" s="9"/>
      <c r="P663" s="9"/>
      <c r="Q663" s="9"/>
      <c r="R663" s="9"/>
      <c r="S663" s="9"/>
    </row>
    <row r="664" spans="5:19" ht="15.75" customHeight="1" x14ac:dyDescent="0.3">
      <c r="E664" s="9"/>
      <c r="F664" s="9"/>
      <c r="H664" s="9"/>
      <c r="M664" s="9"/>
      <c r="N664" s="9"/>
      <c r="O664" s="9"/>
      <c r="P664" s="9"/>
      <c r="Q664" s="9"/>
      <c r="R664" s="9"/>
      <c r="S664" s="9"/>
    </row>
    <row r="665" spans="5:19" ht="15.75" customHeight="1" x14ac:dyDescent="0.3">
      <c r="E665" s="9"/>
      <c r="F665" s="9"/>
      <c r="H665" s="9"/>
      <c r="M665" s="9"/>
      <c r="N665" s="9"/>
      <c r="O665" s="9"/>
      <c r="P665" s="9"/>
      <c r="Q665" s="9"/>
      <c r="R665" s="9"/>
      <c r="S665" s="9"/>
    </row>
    <row r="666" spans="5:19" ht="15.75" customHeight="1" x14ac:dyDescent="0.3">
      <c r="E666" s="9"/>
      <c r="F666" s="9"/>
      <c r="H666" s="9"/>
      <c r="M666" s="9"/>
      <c r="N666" s="9"/>
      <c r="O666" s="9"/>
      <c r="P666" s="9"/>
      <c r="Q666" s="9"/>
      <c r="R666" s="9"/>
      <c r="S666" s="9"/>
    </row>
    <row r="667" spans="5:19" ht="15.75" customHeight="1" x14ac:dyDescent="0.3">
      <c r="E667" s="9"/>
      <c r="F667" s="9"/>
      <c r="H667" s="9"/>
      <c r="M667" s="9"/>
      <c r="N667" s="9"/>
      <c r="O667" s="9"/>
      <c r="P667" s="9"/>
      <c r="Q667" s="9"/>
      <c r="R667" s="9"/>
      <c r="S667" s="9"/>
    </row>
    <row r="668" spans="5:19" ht="15.75" customHeight="1" x14ac:dyDescent="0.3">
      <c r="E668" s="9"/>
      <c r="F668" s="9"/>
      <c r="H668" s="9"/>
      <c r="M668" s="9"/>
      <c r="N668" s="9"/>
      <c r="O668" s="9"/>
      <c r="P668" s="9"/>
      <c r="Q668" s="9"/>
      <c r="R668" s="9"/>
      <c r="S668" s="9"/>
    </row>
    <row r="669" spans="5:19" ht="15.75" customHeight="1" x14ac:dyDescent="0.3">
      <c r="E669" s="9"/>
      <c r="F669" s="9"/>
      <c r="H669" s="9"/>
      <c r="M669" s="9"/>
      <c r="N669" s="9"/>
      <c r="O669" s="9"/>
      <c r="P669" s="9"/>
      <c r="Q669" s="9"/>
      <c r="R669" s="9"/>
      <c r="S669" s="9"/>
    </row>
    <row r="670" spans="5:19" ht="15.75" customHeight="1" x14ac:dyDescent="0.3">
      <c r="E670" s="9"/>
      <c r="F670" s="9"/>
      <c r="H670" s="9"/>
      <c r="M670" s="9"/>
      <c r="N670" s="9"/>
      <c r="O670" s="9"/>
      <c r="P670" s="9"/>
      <c r="Q670" s="9"/>
      <c r="R670" s="9"/>
      <c r="S670" s="9"/>
    </row>
    <row r="671" spans="5:19" ht="15.75" customHeight="1" x14ac:dyDescent="0.3">
      <c r="E671" s="9"/>
      <c r="F671" s="9"/>
      <c r="H671" s="9"/>
      <c r="M671" s="9"/>
      <c r="N671" s="9"/>
      <c r="O671" s="9"/>
      <c r="P671" s="9"/>
      <c r="Q671" s="9"/>
      <c r="R671" s="9"/>
      <c r="S671" s="9"/>
    </row>
    <row r="672" spans="5:19" ht="15.75" customHeight="1" x14ac:dyDescent="0.3">
      <c r="E672" s="9"/>
      <c r="F672" s="9"/>
      <c r="H672" s="9"/>
      <c r="M672" s="9"/>
      <c r="N672" s="9"/>
      <c r="O672" s="9"/>
      <c r="P672" s="9"/>
      <c r="Q672" s="9"/>
      <c r="R672" s="9"/>
      <c r="S672" s="9"/>
    </row>
    <row r="673" spans="5:19" ht="15.75" customHeight="1" x14ac:dyDescent="0.3">
      <c r="E673" s="9"/>
      <c r="F673" s="9"/>
      <c r="H673" s="9"/>
      <c r="M673" s="9"/>
      <c r="N673" s="9"/>
      <c r="O673" s="9"/>
      <c r="P673" s="9"/>
      <c r="Q673" s="9"/>
      <c r="R673" s="9"/>
      <c r="S673" s="9"/>
    </row>
    <row r="674" spans="5:19" ht="15.75" customHeight="1" x14ac:dyDescent="0.3">
      <c r="E674" s="9"/>
      <c r="F674" s="9"/>
      <c r="H674" s="9"/>
      <c r="M674" s="9"/>
      <c r="N674" s="9"/>
      <c r="O674" s="9"/>
      <c r="P674" s="9"/>
      <c r="Q674" s="9"/>
      <c r="R674" s="9"/>
      <c r="S674" s="9"/>
    </row>
    <row r="675" spans="5:19" ht="15.75" customHeight="1" x14ac:dyDescent="0.3">
      <c r="E675" s="9"/>
      <c r="F675" s="9"/>
      <c r="H675" s="9"/>
      <c r="M675" s="9"/>
      <c r="N675" s="9"/>
      <c r="O675" s="9"/>
      <c r="P675" s="9"/>
      <c r="Q675" s="9"/>
      <c r="R675" s="9"/>
      <c r="S675" s="9"/>
    </row>
    <row r="676" spans="5:19" ht="15.75" customHeight="1" x14ac:dyDescent="0.3">
      <c r="E676" s="9"/>
      <c r="F676" s="9"/>
      <c r="H676" s="9"/>
      <c r="M676" s="9"/>
      <c r="N676" s="9"/>
      <c r="O676" s="9"/>
      <c r="P676" s="9"/>
      <c r="Q676" s="9"/>
      <c r="R676" s="9"/>
      <c r="S676" s="9"/>
    </row>
    <row r="677" spans="5:19" ht="15.75" customHeight="1" x14ac:dyDescent="0.3">
      <c r="E677" s="9"/>
      <c r="F677" s="9"/>
      <c r="H677" s="9"/>
      <c r="M677" s="9"/>
      <c r="N677" s="9"/>
      <c r="O677" s="9"/>
      <c r="P677" s="9"/>
      <c r="Q677" s="9"/>
      <c r="R677" s="9"/>
      <c r="S677" s="9"/>
    </row>
    <row r="678" spans="5:19" ht="15.75" customHeight="1" x14ac:dyDescent="0.3">
      <c r="E678" s="9"/>
      <c r="F678" s="9"/>
      <c r="H678" s="9"/>
      <c r="M678" s="9"/>
      <c r="N678" s="9"/>
      <c r="O678" s="9"/>
      <c r="P678" s="9"/>
      <c r="Q678" s="9"/>
      <c r="R678" s="9"/>
      <c r="S678" s="9"/>
    </row>
    <row r="679" spans="5:19" ht="15.75" customHeight="1" x14ac:dyDescent="0.3">
      <c r="E679" s="9"/>
      <c r="F679" s="9"/>
      <c r="H679" s="9"/>
      <c r="M679" s="9"/>
      <c r="N679" s="9"/>
      <c r="O679" s="9"/>
      <c r="P679" s="9"/>
      <c r="Q679" s="9"/>
      <c r="R679" s="9"/>
      <c r="S679" s="9"/>
    </row>
    <row r="680" spans="5:19" ht="15.75" customHeight="1" x14ac:dyDescent="0.3">
      <c r="E680" s="9"/>
      <c r="F680" s="9"/>
      <c r="H680" s="9"/>
      <c r="M680" s="9"/>
      <c r="N680" s="9"/>
      <c r="O680" s="9"/>
      <c r="P680" s="9"/>
      <c r="Q680" s="9"/>
      <c r="R680" s="9"/>
      <c r="S680" s="9"/>
    </row>
    <row r="681" spans="5:19" ht="15.75" customHeight="1" x14ac:dyDescent="0.3">
      <c r="E681" s="9"/>
      <c r="F681" s="9"/>
      <c r="H681" s="9"/>
      <c r="M681" s="9"/>
      <c r="N681" s="9"/>
      <c r="O681" s="9"/>
      <c r="P681" s="9"/>
      <c r="Q681" s="9"/>
      <c r="R681" s="9"/>
      <c r="S681" s="9"/>
    </row>
    <row r="682" spans="5:19" ht="15.75" customHeight="1" x14ac:dyDescent="0.3">
      <c r="E682" s="9"/>
      <c r="F682" s="9"/>
      <c r="H682" s="9"/>
      <c r="M682" s="9"/>
      <c r="N682" s="9"/>
      <c r="O682" s="9"/>
      <c r="P682" s="9"/>
      <c r="Q682" s="9"/>
      <c r="R682" s="9"/>
      <c r="S682" s="9"/>
    </row>
    <row r="683" spans="5:19" ht="15.75" customHeight="1" x14ac:dyDescent="0.3">
      <c r="E683" s="9"/>
      <c r="F683" s="9"/>
      <c r="H683" s="9"/>
      <c r="M683" s="9"/>
      <c r="N683" s="9"/>
      <c r="O683" s="9"/>
      <c r="P683" s="9"/>
      <c r="Q683" s="9"/>
      <c r="R683" s="9"/>
      <c r="S683" s="9"/>
    </row>
    <row r="684" spans="5:19" ht="15.75" customHeight="1" x14ac:dyDescent="0.3">
      <c r="E684" s="9"/>
      <c r="F684" s="9"/>
      <c r="H684" s="9"/>
      <c r="M684" s="9"/>
      <c r="N684" s="9"/>
      <c r="O684" s="9"/>
      <c r="P684" s="9"/>
      <c r="Q684" s="9"/>
      <c r="R684" s="9"/>
      <c r="S684" s="9"/>
    </row>
    <row r="685" spans="5:19" ht="15.75" customHeight="1" x14ac:dyDescent="0.3">
      <c r="E685" s="9"/>
      <c r="F685" s="9"/>
      <c r="H685" s="9"/>
      <c r="M685" s="9"/>
      <c r="N685" s="9"/>
      <c r="O685" s="9"/>
      <c r="P685" s="9"/>
      <c r="Q685" s="9"/>
      <c r="R685" s="9"/>
      <c r="S685" s="9"/>
    </row>
    <row r="686" spans="5:19" ht="15.75" customHeight="1" x14ac:dyDescent="0.3">
      <c r="E686" s="9"/>
      <c r="F686" s="9"/>
      <c r="H686" s="9"/>
      <c r="M686" s="9"/>
      <c r="N686" s="9"/>
      <c r="O686" s="9"/>
      <c r="P686" s="9"/>
      <c r="Q686" s="9"/>
      <c r="R686" s="9"/>
      <c r="S686" s="9"/>
    </row>
    <row r="687" spans="5:19" ht="15.75" customHeight="1" x14ac:dyDescent="0.3">
      <c r="E687" s="9"/>
      <c r="F687" s="9"/>
      <c r="H687" s="9"/>
      <c r="M687" s="9"/>
      <c r="N687" s="9"/>
      <c r="O687" s="9"/>
      <c r="P687" s="9"/>
      <c r="Q687" s="9"/>
      <c r="R687" s="9"/>
      <c r="S687" s="9"/>
    </row>
    <row r="688" spans="5:19" ht="15.75" customHeight="1" x14ac:dyDescent="0.3">
      <c r="E688" s="9"/>
      <c r="F688" s="9"/>
      <c r="H688" s="9"/>
      <c r="M688" s="9"/>
      <c r="N688" s="9"/>
      <c r="O688" s="9"/>
      <c r="P688" s="9"/>
      <c r="Q688" s="9"/>
      <c r="R688" s="9"/>
      <c r="S688" s="9"/>
    </row>
    <row r="689" spans="5:19" ht="15.75" customHeight="1" x14ac:dyDescent="0.3">
      <c r="E689" s="9"/>
      <c r="F689" s="9"/>
      <c r="H689" s="9"/>
      <c r="M689" s="9"/>
      <c r="N689" s="9"/>
      <c r="O689" s="9"/>
      <c r="P689" s="9"/>
      <c r="Q689" s="9"/>
      <c r="R689" s="9"/>
      <c r="S689" s="9"/>
    </row>
    <row r="690" spans="5:19" ht="15.75" customHeight="1" x14ac:dyDescent="0.3">
      <c r="E690" s="9"/>
      <c r="F690" s="9"/>
      <c r="H690" s="9"/>
      <c r="M690" s="9"/>
      <c r="N690" s="9"/>
      <c r="O690" s="9"/>
      <c r="P690" s="9"/>
      <c r="Q690" s="9"/>
      <c r="R690" s="9"/>
      <c r="S690" s="9"/>
    </row>
    <row r="691" spans="5:19" ht="15.75" customHeight="1" x14ac:dyDescent="0.3">
      <c r="E691" s="9"/>
      <c r="F691" s="9"/>
      <c r="H691" s="9"/>
      <c r="M691" s="9"/>
      <c r="N691" s="9"/>
      <c r="O691" s="9"/>
      <c r="P691" s="9"/>
      <c r="Q691" s="9"/>
      <c r="R691" s="9"/>
      <c r="S691" s="9"/>
    </row>
    <row r="692" spans="5:19" ht="15.75" customHeight="1" x14ac:dyDescent="0.3">
      <c r="E692" s="9"/>
      <c r="F692" s="9"/>
      <c r="H692" s="9"/>
      <c r="M692" s="9"/>
      <c r="N692" s="9"/>
      <c r="O692" s="9"/>
      <c r="P692" s="9"/>
      <c r="Q692" s="9"/>
      <c r="R692" s="9"/>
      <c r="S692" s="9"/>
    </row>
    <row r="693" spans="5:19" ht="15.75" customHeight="1" x14ac:dyDescent="0.3">
      <c r="E693" s="9"/>
      <c r="F693" s="9"/>
      <c r="H693" s="9"/>
      <c r="M693" s="9"/>
      <c r="N693" s="9"/>
      <c r="O693" s="9"/>
      <c r="P693" s="9"/>
      <c r="Q693" s="9"/>
      <c r="R693" s="9"/>
      <c r="S693" s="9"/>
    </row>
    <row r="694" spans="5:19" ht="15.75" customHeight="1" x14ac:dyDescent="0.3">
      <c r="E694" s="9"/>
      <c r="F694" s="9"/>
      <c r="H694" s="9"/>
      <c r="M694" s="9"/>
      <c r="N694" s="9"/>
      <c r="O694" s="9"/>
      <c r="P694" s="9"/>
      <c r="Q694" s="9"/>
      <c r="R694" s="9"/>
      <c r="S694" s="9"/>
    </row>
    <row r="695" spans="5:19" ht="15.75" customHeight="1" x14ac:dyDescent="0.3">
      <c r="E695" s="9"/>
      <c r="F695" s="9"/>
      <c r="H695" s="9"/>
      <c r="M695" s="9"/>
      <c r="N695" s="9"/>
      <c r="O695" s="9"/>
      <c r="P695" s="9"/>
      <c r="Q695" s="9"/>
      <c r="R695" s="9"/>
      <c r="S695" s="9"/>
    </row>
    <row r="696" spans="5:19" ht="15.75" customHeight="1" x14ac:dyDescent="0.3">
      <c r="E696" s="9"/>
      <c r="F696" s="9"/>
      <c r="H696" s="9"/>
      <c r="M696" s="9"/>
      <c r="N696" s="9"/>
      <c r="O696" s="9"/>
      <c r="P696" s="9"/>
      <c r="Q696" s="9"/>
      <c r="R696" s="9"/>
      <c r="S696" s="9"/>
    </row>
    <row r="697" spans="5:19" ht="15.75" customHeight="1" x14ac:dyDescent="0.3">
      <c r="E697" s="9"/>
      <c r="F697" s="9"/>
      <c r="H697" s="9"/>
      <c r="M697" s="9"/>
      <c r="N697" s="9"/>
      <c r="O697" s="9"/>
      <c r="P697" s="9"/>
      <c r="Q697" s="9"/>
      <c r="R697" s="9"/>
      <c r="S697" s="9"/>
    </row>
    <row r="698" spans="5:19" ht="15.75" customHeight="1" x14ac:dyDescent="0.3">
      <c r="E698" s="9"/>
      <c r="F698" s="9"/>
      <c r="H698" s="9"/>
      <c r="M698" s="9"/>
      <c r="N698" s="9"/>
      <c r="O698" s="9"/>
      <c r="P698" s="9"/>
      <c r="Q698" s="9"/>
      <c r="R698" s="9"/>
      <c r="S698" s="9"/>
    </row>
    <row r="699" spans="5:19" ht="15.75" customHeight="1" x14ac:dyDescent="0.3">
      <c r="E699" s="9"/>
      <c r="F699" s="9"/>
      <c r="H699" s="9"/>
      <c r="M699" s="9"/>
      <c r="N699" s="9"/>
      <c r="O699" s="9"/>
      <c r="P699" s="9"/>
      <c r="Q699" s="9"/>
      <c r="R699" s="9"/>
      <c r="S699" s="9"/>
    </row>
    <row r="700" spans="5:19" ht="15.75" customHeight="1" x14ac:dyDescent="0.3">
      <c r="E700" s="9"/>
      <c r="F700" s="9"/>
      <c r="H700" s="9"/>
      <c r="M700" s="9"/>
      <c r="N700" s="9"/>
      <c r="O700" s="9"/>
      <c r="P700" s="9"/>
      <c r="Q700" s="9"/>
      <c r="R700" s="9"/>
      <c r="S700" s="9"/>
    </row>
    <row r="701" spans="5:19" ht="15.75" customHeight="1" x14ac:dyDescent="0.3">
      <c r="E701" s="9"/>
      <c r="F701" s="9"/>
      <c r="H701" s="9"/>
      <c r="M701" s="9"/>
      <c r="N701" s="9"/>
      <c r="O701" s="9"/>
      <c r="P701" s="9"/>
      <c r="Q701" s="9"/>
      <c r="R701" s="9"/>
      <c r="S701" s="9"/>
    </row>
    <row r="702" spans="5:19" ht="15.75" customHeight="1" x14ac:dyDescent="0.3">
      <c r="E702" s="9"/>
      <c r="F702" s="9"/>
      <c r="H702" s="9"/>
      <c r="M702" s="9"/>
      <c r="N702" s="9"/>
      <c r="O702" s="9"/>
      <c r="P702" s="9"/>
      <c r="Q702" s="9"/>
      <c r="R702" s="9"/>
      <c r="S702" s="9"/>
    </row>
    <row r="703" spans="5:19" ht="15.75" customHeight="1" x14ac:dyDescent="0.3">
      <c r="E703" s="9"/>
      <c r="F703" s="9"/>
      <c r="H703" s="9"/>
      <c r="M703" s="9"/>
      <c r="N703" s="9"/>
      <c r="O703" s="9"/>
      <c r="P703" s="9"/>
      <c r="Q703" s="9"/>
      <c r="R703" s="9"/>
      <c r="S703" s="9"/>
    </row>
    <row r="704" spans="5:19" ht="15.75" customHeight="1" x14ac:dyDescent="0.3">
      <c r="E704" s="9"/>
      <c r="F704" s="9"/>
      <c r="H704" s="9"/>
      <c r="M704" s="9"/>
      <c r="N704" s="9"/>
      <c r="O704" s="9"/>
      <c r="P704" s="9"/>
      <c r="Q704" s="9"/>
      <c r="R704" s="9"/>
      <c r="S704" s="9"/>
    </row>
    <row r="705" spans="5:19" ht="15.75" customHeight="1" x14ac:dyDescent="0.3">
      <c r="E705" s="9"/>
      <c r="F705" s="9"/>
      <c r="H705" s="9"/>
      <c r="M705" s="9"/>
      <c r="N705" s="9"/>
      <c r="O705" s="9"/>
      <c r="P705" s="9"/>
      <c r="Q705" s="9"/>
      <c r="R705" s="9"/>
      <c r="S705" s="9"/>
    </row>
    <row r="706" spans="5:19" ht="15.75" customHeight="1" x14ac:dyDescent="0.3">
      <c r="E706" s="9"/>
      <c r="F706" s="9"/>
      <c r="H706" s="9"/>
      <c r="M706" s="9"/>
      <c r="N706" s="9"/>
      <c r="O706" s="9"/>
      <c r="P706" s="9"/>
      <c r="Q706" s="9"/>
      <c r="R706" s="9"/>
      <c r="S706" s="9"/>
    </row>
    <row r="707" spans="5:19" ht="15.75" customHeight="1" x14ac:dyDescent="0.3">
      <c r="E707" s="9"/>
      <c r="F707" s="9"/>
      <c r="H707" s="9"/>
      <c r="M707" s="9"/>
      <c r="N707" s="9"/>
      <c r="O707" s="9"/>
      <c r="P707" s="9"/>
      <c r="Q707" s="9"/>
      <c r="R707" s="9"/>
      <c r="S707" s="9"/>
    </row>
    <row r="708" spans="5:19" ht="15.75" customHeight="1" x14ac:dyDescent="0.3">
      <c r="E708" s="9"/>
      <c r="F708" s="9"/>
      <c r="H708" s="9"/>
      <c r="M708" s="9"/>
      <c r="N708" s="9"/>
      <c r="O708" s="9"/>
      <c r="P708" s="9"/>
      <c r="Q708" s="9"/>
      <c r="R708" s="9"/>
      <c r="S708" s="9"/>
    </row>
    <row r="709" spans="5:19" ht="15.75" customHeight="1" x14ac:dyDescent="0.3">
      <c r="E709" s="9"/>
      <c r="F709" s="9"/>
      <c r="H709" s="9"/>
      <c r="M709" s="9"/>
      <c r="N709" s="9"/>
      <c r="O709" s="9"/>
      <c r="P709" s="9"/>
      <c r="Q709" s="9"/>
      <c r="R709" s="9"/>
      <c r="S709" s="9"/>
    </row>
    <row r="710" spans="5:19" ht="15.75" customHeight="1" x14ac:dyDescent="0.3">
      <c r="E710" s="9"/>
      <c r="F710" s="9"/>
      <c r="H710" s="9"/>
      <c r="M710" s="9"/>
      <c r="N710" s="9"/>
      <c r="O710" s="9"/>
      <c r="P710" s="9"/>
      <c r="Q710" s="9"/>
      <c r="R710" s="9"/>
      <c r="S710" s="9"/>
    </row>
    <row r="711" spans="5:19" ht="15.75" customHeight="1" x14ac:dyDescent="0.3">
      <c r="E711" s="9"/>
      <c r="F711" s="9"/>
      <c r="H711" s="9"/>
      <c r="M711" s="9"/>
      <c r="N711" s="9"/>
      <c r="O711" s="9"/>
      <c r="P711" s="9"/>
      <c r="Q711" s="9"/>
      <c r="R711" s="9"/>
      <c r="S711" s="9"/>
    </row>
    <row r="712" spans="5:19" ht="15.75" customHeight="1" x14ac:dyDescent="0.3">
      <c r="E712" s="9"/>
      <c r="F712" s="9"/>
      <c r="H712" s="9"/>
      <c r="M712" s="9"/>
      <c r="N712" s="9"/>
      <c r="O712" s="9"/>
      <c r="P712" s="9"/>
      <c r="Q712" s="9"/>
      <c r="R712" s="9"/>
      <c r="S712" s="9"/>
    </row>
    <row r="713" spans="5:19" ht="15.75" customHeight="1" x14ac:dyDescent="0.3">
      <c r="E713" s="9"/>
      <c r="F713" s="9"/>
      <c r="H713" s="9"/>
      <c r="M713" s="9"/>
      <c r="N713" s="9"/>
      <c r="O713" s="9"/>
      <c r="P713" s="9"/>
      <c r="Q713" s="9"/>
      <c r="R713" s="9"/>
      <c r="S713" s="9"/>
    </row>
    <row r="714" spans="5:19" ht="15.75" customHeight="1" x14ac:dyDescent="0.3">
      <c r="E714" s="9"/>
      <c r="F714" s="9"/>
      <c r="H714" s="9"/>
      <c r="M714" s="9"/>
      <c r="N714" s="9"/>
      <c r="O714" s="9"/>
      <c r="P714" s="9"/>
      <c r="Q714" s="9"/>
      <c r="R714" s="9"/>
      <c r="S714" s="9"/>
    </row>
    <row r="715" spans="5:19" ht="15.75" customHeight="1" x14ac:dyDescent="0.3">
      <c r="E715" s="9"/>
      <c r="F715" s="9"/>
      <c r="H715" s="9"/>
      <c r="M715" s="9"/>
      <c r="N715" s="9"/>
      <c r="O715" s="9"/>
      <c r="P715" s="9"/>
      <c r="Q715" s="9"/>
      <c r="R715" s="9"/>
      <c r="S715" s="9"/>
    </row>
    <row r="716" spans="5:19" ht="15.75" customHeight="1" x14ac:dyDescent="0.3">
      <c r="E716" s="9"/>
      <c r="F716" s="9"/>
      <c r="H716" s="9"/>
      <c r="M716" s="9"/>
      <c r="N716" s="9"/>
      <c r="O716" s="9"/>
      <c r="P716" s="9"/>
      <c r="Q716" s="9"/>
      <c r="R716" s="9"/>
      <c r="S716" s="9"/>
    </row>
    <row r="717" spans="5:19" ht="15.75" customHeight="1" x14ac:dyDescent="0.3">
      <c r="E717" s="9"/>
      <c r="F717" s="9"/>
      <c r="H717" s="9"/>
      <c r="M717" s="9"/>
      <c r="N717" s="9"/>
      <c r="O717" s="9"/>
      <c r="P717" s="9"/>
      <c r="Q717" s="9"/>
      <c r="R717" s="9"/>
      <c r="S717" s="9"/>
    </row>
    <row r="718" spans="5:19" ht="15.75" customHeight="1" x14ac:dyDescent="0.3">
      <c r="E718" s="9"/>
      <c r="F718" s="9"/>
      <c r="H718" s="9"/>
      <c r="M718" s="9"/>
      <c r="N718" s="9"/>
      <c r="O718" s="9"/>
      <c r="P718" s="9"/>
      <c r="Q718" s="9"/>
      <c r="R718" s="9"/>
      <c r="S718" s="9"/>
    </row>
    <row r="719" spans="5:19" ht="15.75" customHeight="1" x14ac:dyDescent="0.3">
      <c r="E719" s="9"/>
      <c r="F719" s="9"/>
      <c r="H719" s="9"/>
      <c r="M719" s="9"/>
      <c r="N719" s="9"/>
      <c r="O719" s="9"/>
      <c r="P719" s="9"/>
      <c r="Q719" s="9"/>
      <c r="R719" s="9"/>
      <c r="S719" s="9"/>
    </row>
    <row r="720" spans="5:19" ht="15.75" customHeight="1" x14ac:dyDescent="0.3">
      <c r="E720" s="9"/>
      <c r="F720" s="9"/>
      <c r="H720" s="9"/>
      <c r="M720" s="9"/>
      <c r="N720" s="9"/>
      <c r="O720" s="9"/>
      <c r="P720" s="9"/>
      <c r="Q720" s="9"/>
      <c r="R720" s="9"/>
      <c r="S720" s="9"/>
    </row>
    <row r="721" spans="5:19" ht="15.75" customHeight="1" x14ac:dyDescent="0.3">
      <c r="E721" s="9"/>
      <c r="F721" s="9"/>
      <c r="H721" s="9"/>
      <c r="M721" s="9"/>
      <c r="N721" s="9"/>
      <c r="O721" s="9"/>
      <c r="P721" s="9"/>
      <c r="Q721" s="9"/>
      <c r="R721" s="9"/>
      <c r="S721" s="9"/>
    </row>
    <row r="722" spans="5:19" ht="15.75" customHeight="1" x14ac:dyDescent="0.3">
      <c r="E722" s="9"/>
      <c r="F722" s="9"/>
      <c r="H722" s="9"/>
      <c r="M722" s="9"/>
      <c r="N722" s="9"/>
      <c r="O722" s="9"/>
      <c r="P722" s="9"/>
      <c r="Q722" s="9"/>
      <c r="R722" s="9"/>
      <c r="S722" s="9"/>
    </row>
    <row r="723" spans="5:19" ht="15.75" customHeight="1" x14ac:dyDescent="0.3">
      <c r="E723" s="9"/>
      <c r="F723" s="9"/>
      <c r="H723" s="9"/>
      <c r="M723" s="9"/>
      <c r="N723" s="9"/>
      <c r="O723" s="9"/>
      <c r="P723" s="9"/>
      <c r="Q723" s="9"/>
      <c r="R723" s="9"/>
      <c r="S723" s="9"/>
    </row>
    <row r="724" spans="5:19" ht="15.75" customHeight="1" x14ac:dyDescent="0.3">
      <c r="E724" s="9"/>
      <c r="F724" s="9"/>
      <c r="H724" s="9"/>
      <c r="M724" s="9"/>
      <c r="N724" s="9"/>
      <c r="O724" s="9"/>
      <c r="P724" s="9"/>
      <c r="Q724" s="9"/>
      <c r="R724" s="9"/>
      <c r="S724" s="9"/>
    </row>
    <row r="725" spans="5:19" ht="15.75" customHeight="1" x14ac:dyDescent="0.3">
      <c r="E725" s="9"/>
      <c r="F725" s="9"/>
      <c r="H725" s="9"/>
      <c r="M725" s="9"/>
      <c r="N725" s="9"/>
      <c r="O725" s="9"/>
      <c r="P725" s="9"/>
      <c r="Q725" s="9"/>
      <c r="R725" s="9"/>
      <c r="S725" s="9"/>
    </row>
    <row r="726" spans="5:19" ht="15.75" customHeight="1" x14ac:dyDescent="0.3">
      <c r="E726" s="9"/>
      <c r="F726" s="9"/>
      <c r="H726" s="9"/>
      <c r="M726" s="9"/>
      <c r="N726" s="9"/>
      <c r="O726" s="9"/>
      <c r="P726" s="9"/>
      <c r="Q726" s="9"/>
      <c r="R726" s="9"/>
      <c r="S726" s="9"/>
    </row>
    <row r="727" spans="5:19" ht="15.75" customHeight="1" x14ac:dyDescent="0.3">
      <c r="E727" s="9"/>
      <c r="F727" s="9"/>
      <c r="H727" s="9"/>
      <c r="M727" s="9"/>
      <c r="N727" s="9"/>
      <c r="O727" s="9"/>
      <c r="P727" s="9"/>
      <c r="Q727" s="9"/>
      <c r="R727" s="9"/>
      <c r="S727" s="9"/>
    </row>
    <row r="728" spans="5:19" ht="15.75" customHeight="1" x14ac:dyDescent="0.3">
      <c r="E728" s="9"/>
      <c r="F728" s="9"/>
      <c r="H728" s="9"/>
      <c r="M728" s="9"/>
      <c r="N728" s="9"/>
      <c r="O728" s="9"/>
      <c r="P728" s="9"/>
      <c r="Q728" s="9"/>
      <c r="R728" s="9"/>
      <c r="S728" s="9"/>
    </row>
    <row r="729" spans="5:19" ht="15.75" customHeight="1" x14ac:dyDescent="0.3">
      <c r="E729" s="9"/>
      <c r="F729" s="9"/>
      <c r="H729" s="9"/>
      <c r="M729" s="9"/>
      <c r="N729" s="9"/>
      <c r="O729" s="9"/>
      <c r="P729" s="9"/>
      <c r="Q729" s="9"/>
      <c r="R729" s="9"/>
      <c r="S729" s="9"/>
    </row>
    <row r="730" spans="5:19" ht="15.75" customHeight="1" x14ac:dyDescent="0.3">
      <c r="E730" s="9"/>
      <c r="F730" s="9"/>
      <c r="H730" s="9"/>
      <c r="M730" s="9"/>
      <c r="N730" s="9"/>
      <c r="O730" s="9"/>
      <c r="P730" s="9"/>
      <c r="Q730" s="9"/>
      <c r="R730" s="9"/>
      <c r="S730" s="9"/>
    </row>
    <row r="731" spans="5:19" ht="15.75" customHeight="1" x14ac:dyDescent="0.3">
      <c r="E731" s="9"/>
      <c r="F731" s="9"/>
      <c r="H731" s="9"/>
      <c r="M731" s="9"/>
      <c r="N731" s="9"/>
      <c r="O731" s="9"/>
      <c r="P731" s="9"/>
      <c r="Q731" s="9"/>
      <c r="R731" s="9"/>
      <c r="S731" s="9"/>
    </row>
    <row r="732" spans="5:19" ht="15.75" customHeight="1" x14ac:dyDescent="0.3">
      <c r="E732" s="9"/>
      <c r="F732" s="9"/>
      <c r="H732" s="9"/>
      <c r="M732" s="9"/>
      <c r="N732" s="9"/>
      <c r="O732" s="9"/>
      <c r="P732" s="9"/>
      <c r="Q732" s="9"/>
      <c r="R732" s="9"/>
      <c r="S732" s="9"/>
    </row>
    <row r="733" spans="5:19" ht="15.75" customHeight="1" x14ac:dyDescent="0.3">
      <c r="E733" s="9"/>
      <c r="F733" s="9"/>
      <c r="H733" s="9"/>
      <c r="M733" s="9"/>
      <c r="N733" s="9"/>
      <c r="O733" s="9"/>
      <c r="P733" s="9"/>
      <c r="Q733" s="9"/>
      <c r="R733" s="9"/>
      <c r="S733" s="9"/>
    </row>
    <row r="734" spans="5:19" ht="15.75" customHeight="1" x14ac:dyDescent="0.3">
      <c r="E734" s="9"/>
      <c r="F734" s="9"/>
      <c r="H734" s="9"/>
      <c r="M734" s="9"/>
      <c r="N734" s="9"/>
      <c r="O734" s="9"/>
      <c r="P734" s="9"/>
      <c r="Q734" s="9"/>
      <c r="R734" s="9"/>
      <c r="S734" s="9"/>
    </row>
    <row r="735" spans="5:19" ht="15.75" customHeight="1" x14ac:dyDescent="0.3">
      <c r="E735" s="9"/>
      <c r="F735" s="9"/>
      <c r="H735" s="9"/>
      <c r="M735" s="9"/>
      <c r="N735" s="9"/>
      <c r="O735" s="9"/>
      <c r="P735" s="9"/>
      <c r="Q735" s="9"/>
      <c r="R735" s="9"/>
      <c r="S735" s="9"/>
    </row>
    <row r="736" spans="5:19" ht="15.75" customHeight="1" x14ac:dyDescent="0.3">
      <c r="E736" s="9"/>
      <c r="F736" s="9"/>
      <c r="H736" s="9"/>
      <c r="M736" s="9"/>
      <c r="N736" s="9"/>
      <c r="O736" s="9"/>
      <c r="P736" s="9"/>
      <c r="Q736" s="9"/>
      <c r="R736" s="9"/>
      <c r="S736" s="9"/>
    </row>
    <row r="737" spans="5:19" ht="15.75" customHeight="1" x14ac:dyDescent="0.3">
      <c r="E737" s="9"/>
      <c r="F737" s="9"/>
      <c r="H737" s="9"/>
      <c r="M737" s="9"/>
      <c r="N737" s="9"/>
      <c r="O737" s="9"/>
      <c r="P737" s="9"/>
      <c r="Q737" s="9"/>
      <c r="R737" s="9"/>
      <c r="S737" s="9"/>
    </row>
    <row r="738" spans="5:19" ht="15.75" customHeight="1" x14ac:dyDescent="0.3">
      <c r="E738" s="9"/>
      <c r="F738" s="9"/>
      <c r="H738" s="9"/>
      <c r="M738" s="9"/>
      <c r="N738" s="9"/>
      <c r="O738" s="9"/>
      <c r="P738" s="9"/>
      <c r="Q738" s="9"/>
      <c r="R738" s="9"/>
      <c r="S738" s="9"/>
    </row>
    <row r="739" spans="5:19" ht="15.75" customHeight="1" x14ac:dyDescent="0.3">
      <c r="E739" s="9"/>
      <c r="F739" s="9"/>
      <c r="H739" s="9"/>
      <c r="M739" s="9"/>
      <c r="N739" s="9"/>
      <c r="O739" s="9"/>
      <c r="P739" s="9"/>
      <c r="Q739" s="9"/>
      <c r="R739" s="9"/>
      <c r="S739" s="9"/>
    </row>
    <row r="740" spans="5:19" ht="15.75" customHeight="1" x14ac:dyDescent="0.3">
      <c r="E740" s="9"/>
      <c r="F740" s="9"/>
      <c r="H740" s="9"/>
      <c r="M740" s="9"/>
      <c r="N740" s="9"/>
      <c r="O740" s="9"/>
      <c r="P740" s="9"/>
      <c r="Q740" s="9"/>
      <c r="R740" s="9"/>
      <c r="S740" s="9"/>
    </row>
    <row r="741" spans="5:19" ht="15.75" customHeight="1" x14ac:dyDescent="0.3">
      <c r="E741" s="9"/>
      <c r="F741" s="9"/>
      <c r="H741" s="9"/>
      <c r="M741" s="9"/>
      <c r="N741" s="9"/>
      <c r="O741" s="9"/>
      <c r="P741" s="9"/>
      <c r="Q741" s="9"/>
      <c r="R741" s="9"/>
      <c r="S741" s="9"/>
    </row>
    <row r="742" spans="5:19" ht="15.75" customHeight="1" x14ac:dyDescent="0.3">
      <c r="E742" s="9"/>
      <c r="F742" s="9"/>
      <c r="H742" s="9"/>
      <c r="M742" s="9"/>
      <c r="N742" s="9"/>
      <c r="O742" s="9"/>
      <c r="P742" s="9"/>
      <c r="Q742" s="9"/>
      <c r="R742" s="9"/>
      <c r="S742" s="9"/>
    </row>
    <row r="743" spans="5:19" ht="15.75" customHeight="1" x14ac:dyDescent="0.3">
      <c r="E743" s="9"/>
      <c r="F743" s="9"/>
      <c r="H743" s="9"/>
      <c r="M743" s="9"/>
      <c r="N743" s="9"/>
      <c r="O743" s="9"/>
      <c r="P743" s="9"/>
      <c r="Q743" s="9"/>
      <c r="R743" s="9"/>
      <c r="S743" s="9"/>
    </row>
    <row r="744" spans="5:19" ht="15.75" customHeight="1" x14ac:dyDescent="0.3">
      <c r="E744" s="9"/>
      <c r="F744" s="9"/>
      <c r="H744" s="9"/>
      <c r="M744" s="9"/>
      <c r="N744" s="9"/>
      <c r="O744" s="9"/>
      <c r="P744" s="9"/>
      <c r="Q744" s="9"/>
      <c r="R744" s="9"/>
      <c r="S744" s="9"/>
    </row>
    <row r="745" spans="5:19" ht="15.75" customHeight="1" x14ac:dyDescent="0.3">
      <c r="E745" s="9"/>
      <c r="F745" s="9"/>
      <c r="H745" s="9"/>
      <c r="M745" s="9"/>
      <c r="N745" s="9"/>
      <c r="O745" s="9"/>
      <c r="P745" s="9"/>
      <c r="Q745" s="9"/>
      <c r="R745" s="9"/>
      <c r="S745" s="9"/>
    </row>
    <row r="746" spans="5:19" ht="15.75" customHeight="1" x14ac:dyDescent="0.3">
      <c r="E746" s="9"/>
      <c r="F746" s="9"/>
      <c r="H746" s="9"/>
      <c r="M746" s="9"/>
      <c r="N746" s="9"/>
      <c r="O746" s="9"/>
      <c r="P746" s="9"/>
      <c r="Q746" s="9"/>
      <c r="R746" s="9"/>
      <c r="S746" s="9"/>
    </row>
    <row r="747" spans="5:19" ht="15.75" customHeight="1" x14ac:dyDescent="0.3">
      <c r="E747" s="9"/>
      <c r="F747" s="9"/>
      <c r="H747" s="9"/>
      <c r="M747" s="9"/>
      <c r="N747" s="9"/>
      <c r="O747" s="9"/>
      <c r="P747" s="9"/>
      <c r="Q747" s="9"/>
      <c r="R747" s="9"/>
      <c r="S747" s="9"/>
    </row>
    <row r="748" spans="5:19" ht="15.75" customHeight="1" x14ac:dyDescent="0.3">
      <c r="E748" s="9"/>
      <c r="F748" s="9"/>
      <c r="H748" s="9"/>
      <c r="M748" s="9"/>
      <c r="N748" s="9"/>
      <c r="O748" s="9"/>
      <c r="P748" s="9"/>
      <c r="Q748" s="9"/>
      <c r="R748" s="9"/>
      <c r="S748" s="9"/>
    </row>
    <row r="749" spans="5:19" ht="15.75" customHeight="1" x14ac:dyDescent="0.3">
      <c r="E749" s="9"/>
      <c r="F749" s="9"/>
      <c r="H749" s="9"/>
      <c r="M749" s="9"/>
      <c r="N749" s="9"/>
      <c r="O749" s="9"/>
      <c r="P749" s="9"/>
      <c r="Q749" s="9"/>
      <c r="R749" s="9"/>
      <c r="S749" s="9"/>
    </row>
    <row r="750" spans="5:19" ht="15.75" customHeight="1" x14ac:dyDescent="0.3">
      <c r="E750" s="9"/>
      <c r="F750" s="9"/>
      <c r="H750" s="9"/>
      <c r="M750" s="9"/>
      <c r="N750" s="9"/>
      <c r="O750" s="9"/>
      <c r="P750" s="9"/>
      <c r="Q750" s="9"/>
      <c r="R750" s="9"/>
      <c r="S750" s="9"/>
    </row>
    <row r="751" spans="5:19" ht="15.75" customHeight="1" x14ac:dyDescent="0.3">
      <c r="E751" s="9"/>
      <c r="F751" s="9"/>
      <c r="H751" s="9"/>
      <c r="M751" s="9"/>
      <c r="N751" s="9"/>
      <c r="O751" s="9"/>
      <c r="P751" s="9"/>
      <c r="Q751" s="9"/>
      <c r="R751" s="9"/>
      <c r="S751" s="9"/>
    </row>
    <row r="752" spans="5:19" ht="15.75" customHeight="1" x14ac:dyDescent="0.3">
      <c r="E752" s="9"/>
      <c r="F752" s="9"/>
      <c r="H752" s="9"/>
      <c r="M752" s="9"/>
      <c r="N752" s="9"/>
      <c r="O752" s="9"/>
      <c r="P752" s="9"/>
      <c r="Q752" s="9"/>
      <c r="R752" s="9"/>
      <c r="S752" s="9"/>
    </row>
    <row r="753" spans="5:19" ht="15.75" customHeight="1" x14ac:dyDescent="0.3">
      <c r="E753" s="9"/>
      <c r="F753" s="9"/>
      <c r="H753" s="9"/>
      <c r="M753" s="9"/>
      <c r="N753" s="9"/>
      <c r="O753" s="9"/>
      <c r="P753" s="9"/>
      <c r="Q753" s="9"/>
      <c r="R753" s="9"/>
      <c r="S753" s="9"/>
    </row>
    <row r="754" spans="5:19" ht="15.75" customHeight="1" x14ac:dyDescent="0.3">
      <c r="E754" s="9"/>
      <c r="F754" s="9"/>
      <c r="H754" s="9"/>
      <c r="M754" s="9"/>
      <c r="N754" s="9"/>
      <c r="O754" s="9"/>
      <c r="P754" s="9"/>
      <c r="Q754" s="9"/>
      <c r="R754" s="9"/>
      <c r="S754" s="9"/>
    </row>
    <row r="755" spans="5:19" ht="15.75" customHeight="1" x14ac:dyDescent="0.3">
      <c r="E755" s="9"/>
      <c r="F755" s="9"/>
      <c r="H755" s="9"/>
      <c r="M755" s="9"/>
      <c r="N755" s="9"/>
      <c r="O755" s="9"/>
      <c r="P755" s="9"/>
      <c r="Q755" s="9"/>
      <c r="R755" s="9"/>
      <c r="S755" s="9"/>
    </row>
    <row r="756" spans="5:19" ht="15.75" customHeight="1" x14ac:dyDescent="0.3">
      <c r="E756" s="9"/>
      <c r="F756" s="9"/>
      <c r="H756" s="9"/>
      <c r="M756" s="9"/>
      <c r="N756" s="9"/>
      <c r="O756" s="9"/>
      <c r="P756" s="9"/>
      <c r="Q756" s="9"/>
      <c r="R756" s="9"/>
      <c r="S756" s="9"/>
    </row>
    <row r="757" spans="5:19" ht="15.75" customHeight="1" x14ac:dyDescent="0.3">
      <c r="E757" s="9"/>
      <c r="F757" s="9"/>
      <c r="H757" s="9"/>
      <c r="M757" s="9"/>
      <c r="N757" s="9"/>
      <c r="O757" s="9"/>
      <c r="P757" s="9"/>
      <c r="Q757" s="9"/>
      <c r="R757" s="9"/>
      <c r="S757" s="9"/>
    </row>
    <row r="758" spans="5:19" ht="15.75" customHeight="1" x14ac:dyDescent="0.3">
      <c r="E758" s="9"/>
      <c r="F758" s="9"/>
      <c r="H758" s="9"/>
      <c r="M758" s="9"/>
      <c r="N758" s="9"/>
      <c r="O758" s="9"/>
      <c r="P758" s="9"/>
      <c r="Q758" s="9"/>
      <c r="R758" s="9"/>
      <c r="S758" s="9"/>
    </row>
    <row r="759" spans="5:19" ht="15.75" customHeight="1" x14ac:dyDescent="0.3">
      <c r="E759" s="9"/>
      <c r="F759" s="9"/>
      <c r="H759" s="9"/>
      <c r="M759" s="9"/>
      <c r="N759" s="9"/>
      <c r="O759" s="9"/>
      <c r="P759" s="9"/>
      <c r="Q759" s="9"/>
      <c r="R759" s="9"/>
      <c r="S759" s="9"/>
    </row>
    <row r="760" spans="5:19" ht="15.75" customHeight="1" x14ac:dyDescent="0.3">
      <c r="E760" s="9"/>
      <c r="F760" s="9"/>
      <c r="H760" s="9"/>
      <c r="M760" s="9"/>
      <c r="N760" s="9"/>
      <c r="O760" s="9"/>
      <c r="P760" s="9"/>
      <c r="Q760" s="9"/>
      <c r="R760" s="9"/>
      <c r="S760" s="9"/>
    </row>
    <row r="761" spans="5:19" ht="15.75" customHeight="1" x14ac:dyDescent="0.3">
      <c r="E761" s="9"/>
      <c r="F761" s="9"/>
      <c r="H761" s="9"/>
      <c r="M761" s="9"/>
      <c r="N761" s="9"/>
      <c r="O761" s="9"/>
      <c r="P761" s="9"/>
      <c r="Q761" s="9"/>
      <c r="R761" s="9"/>
      <c r="S761" s="9"/>
    </row>
    <row r="762" spans="5:19" ht="15.75" customHeight="1" x14ac:dyDescent="0.3">
      <c r="E762" s="9"/>
      <c r="F762" s="9"/>
      <c r="H762" s="9"/>
      <c r="M762" s="9"/>
      <c r="N762" s="9"/>
      <c r="O762" s="9"/>
      <c r="P762" s="9"/>
      <c r="Q762" s="9"/>
      <c r="R762" s="9"/>
      <c r="S762" s="9"/>
    </row>
    <row r="763" spans="5:19" ht="15.75" customHeight="1" x14ac:dyDescent="0.3">
      <c r="E763" s="9"/>
      <c r="F763" s="9"/>
      <c r="H763" s="9"/>
      <c r="M763" s="9"/>
      <c r="N763" s="9"/>
      <c r="O763" s="9"/>
      <c r="P763" s="9"/>
      <c r="Q763" s="9"/>
      <c r="R763" s="9"/>
      <c r="S763" s="9"/>
    </row>
    <row r="764" spans="5:19" ht="15.75" customHeight="1" x14ac:dyDescent="0.3">
      <c r="E764" s="9"/>
      <c r="F764" s="9"/>
      <c r="H764" s="9"/>
      <c r="M764" s="9"/>
      <c r="N764" s="9"/>
      <c r="O764" s="9"/>
      <c r="P764" s="9"/>
      <c r="Q764" s="9"/>
      <c r="R764" s="9"/>
      <c r="S764" s="9"/>
    </row>
    <row r="765" spans="5:19" ht="15.75" customHeight="1" x14ac:dyDescent="0.3">
      <c r="E765" s="9"/>
      <c r="F765" s="9"/>
      <c r="H765" s="9"/>
      <c r="M765" s="9"/>
      <c r="N765" s="9"/>
      <c r="O765" s="9"/>
      <c r="P765" s="9"/>
      <c r="Q765" s="9"/>
      <c r="R765" s="9"/>
      <c r="S765" s="9"/>
    </row>
    <row r="766" spans="5:19" ht="15.75" customHeight="1" x14ac:dyDescent="0.3">
      <c r="E766" s="9"/>
      <c r="F766" s="9"/>
      <c r="H766" s="9"/>
      <c r="M766" s="9"/>
      <c r="N766" s="9"/>
      <c r="O766" s="9"/>
      <c r="P766" s="9"/>
      <c r="Q766" s="9"/>
      <c r="R766" s="9"/>
      <c r="S766" s="9"/>
    </row>
    <row r="767" spans="5:19" ht="15.75" customHeight="1" x14ac:dyDescent="0.3">
      <c r="E767" s="9"/>
      <c r="F767" s="9"/>
      <c r="H767" s="9"/>
      <c r="M767" s="9"/>
      <c r="N767" s="9"/>
      <c r="O767" s="9"/>
      <c r="P767" s="9"/>
      <c r="Q767" s="9"/>
      <c r="R767" s="9"/>
      <c r="S767" s="9"/>
    </row>
    <row r="768" spans="5:19" ht="15.75" customHeight="1" x14ac:dyDescent="0.3">
      <c r="E768" s="9"/>
      <c r="F768" s="9"/>
      <c r="H768" s="9"/>
      <c r="M768" s="9"/>
      <c r="N768" s="9"/>
      <c r="O768" s="9"/>
      <c r="P768" s="9"/>
      <c r="Q768" s="9"/>
      <c r="R768" s="9"/>
      <c r="S768" s="9"/>
    </row>
    <row r="769" spans="5:19" ht="15.75" customHeight="1" x14ac:dyDescent="0.3">
      <c r="E769" s="9"/>
      <c r="F769" s="9"/>
      <c r="H769" s="9"/>
      <c r="M769" s="9"/>
      <c r="N769" s="9"/>
      <c r="O769" s="9"/>
      <c r="P769" s="9"/>
      <c r="Q769" s="9"/>
      <c r="R769" s="9"/>
      <c r="S769" s="9"/>
    </row>
    <row r="770" spans="5:19" ht="15.75" customHeight="1" x14ac:dyDescent="0.3">
      <c r="E770" s="9"/>
      <c r="F770" s="9"/>
      <c r="H770" s="9"/>
      <c r="M770" s="9"/>
      <c r="N770" s="9"/>
      <c r="O770" s="9"/>
      <c r="P770" s="9"/>
      <c r="Q770" s="9"/>
      <c r="R770" s="9"/>
      <c r="S770" s="9"/>
    </row>
    <row r="771" spans="5:19" ht="15.75" customHeight="1" x14ac:dyDescent="0.3">
      <c r="E771" s="9"/>
      <c r="F771" s="9"/>
      <c r="H771" s="9"/>
      <c r="M771" s="9"/>
      <c r="N771" s="9"/>
      <c r="O771" s="9"/>
      <c r="P771" s="9"/>
      <c r="Q771" s="9"/>
      <c r="R771" s="9"/>
      <c r="S771" s="9"/>
    </row>
    <row r="772" spans="5:19" ht="15.75" customHeight="1" x14ac:dyDescent="0.3">
      <c r="E772" s="9"/>
      <c r="F772" s="9"/>
      <c r="H772" s="9"/>
      <c r="M772" s="9"/>
      <c r="N772" s="9"/>
      <c r="O772" s="9"/>
      <c r="P772" s="9"/>
      <c r="Q772" s="9"/>
      <c r="R772" s="9"/>
      <c r="S772" s="9"/>
    </row>
    <row r="773" spans="5:19" ht="15.75" customHeight="1" x14ac:dyDescent="0.3">
      <c r="E773" s="9"/>
      <c r="F773" s="9"/>
      <c r="H773" s="9"/>
      <c r="M773" s="9"/>
      <c r="N773" s="9"/>
      <c r="O773" s="9"/>
      <c r="P773" s="9"/>
      <c r="Q773" s="9"/>
      <c r="R773" s="9"/>
      <c r="S773" s="9"/>
    </row>
    <row r="774" spans="5:19" ht="15.75" customHeight="1" x14ac:dyDescent="0.3">
      <c r="E774" s="9"/>
      <c r="F774" s="9"/>
      <c r="H774" s="9"/>
      <c r="M774" s="9"/>
      <c r="N774" s="9"/>
      <c r="O774" s="9"/>
      <c r="P774" s="9"/>
      <c r="Q774" s="9"/>
      <c r="R774" s="9"/>
      <c r="S774" s="9"/>
    </row>
    <row r="775" spans="5:19" ht="15.75" customHeight="1" x14ac:dyDescent="0.3">
      <c r="E775" s="9"/>
      <c r="F775" s="9"/>
      <c r="H775" s="9"/>
      <c r="M775" s="9"/>
      <c r="N775" s="9"/>
      <c r="O775" s="9"/>
      <c r="P775" s="9"/>
      <c r="Q775" s="9"/>
      <c r="R775" s="9"/>
      <c r="S775" s="9"/>
    </row>
    <row r="776" spans="5:19" ht="15.75" customHeight="1" x14ac:dyDescent="0.3">
      <c r="E776" s="9"/>
      <c r="F776" s="9"/>
      <c r="H776" s="9"/>
      <c r="M776" s="9"/>
      <c r="N776" s="9"/>
      <c r="O776" s="9"/>
      <c r="P776" s="9"/>
      <c r="Q776" s="9"/>
      <c r="R776" s="9"/>
      <c r="S776" s="9"/>
    </row>
    <row r="777" spans="5:19" ht="15.75" customHeight="1" x14ac:dyDescent="0.3">
      <c r="E777" s="9"/>
      <c r="F777" s="9"/>
      <c r="H777" s="9"/>
      <c r="M777" s="9"/>
      <c r="N777" s="9"/>
      <c r="O777" s="9"/>
      <c r="P777" s="9"/>
      <c r="Q777" s="9"/>
      <c r="R777" s="9"/>
      <c r="S777" s="9"/>
    </row>
    <row r="778" spans="5:19" ht="15.75" customHeight="1" x14ac:dyDescent="0.3">
      <c r="E778" s="9"/>
      <c r="F778" s="9"/>
      <c r="H778" s="9"/>
      <c r="M778" s="9"/>
      <c r="N778" s="9"/>
      <c r="O778" s="9"/>
      <c r="P778" s="9"/>
      <c r="Q778" s="9"/>
      <c r="R778" s="9"/>
      <c r="S778" s="9"/>
    </row>
    <row r="779" spans="5:19" ht="15.75" customHeight="1" x14ac:dyDescent="0.3">
      <c r="E779" s="9"/>
      <c r="F779" s="9"/>
      <c r="H779" s="9"/>
      <c r="M779" s="9"/>
      <c r="N779" s="9"/>
      <c r="O779" s="9"/>
      <c r="P779" s="9"/>
      <c r="Q779" s="9"/>
      <c r="R779" s="9"/>
      <c r="S779" s="9"/>
    </row>
    <row r="780" spans="5:19" ht="15.75" customHeight="1" x14ac:dyDescent="0.3">
      <c r="E780" s="9"/>
      <c r="F780" s="9"/>
      <c r="H780" s="9"/>
      <c r="M780" s="9"/>
      <c r="N780" s="9"/>
      <c r="O780" s="9"/>
      <c r="P780" s="9"/>
      <c r="Q780" s="9"/>
      <c r="R780" s="9"/>
      <c r="S780" s="9"/>
    </row>
    <row r="781" spans="5:19" ht="15.75" customHeight="1" x14ac:dyDescent="0.3">
      <c r="E781" s="9"/>
      <c r="F781" s="9"/>
      <c r="H781" s="9"/>
      <c r="M781" s="9"/>
      <c r="N781" s="9"/>
      <c r="O781" s="9"/>
      <c r="P781" s="9"/>
      <c r="Q781" s="9"/>
      <c r="R781" s="9"/>
      <c r="S781" s="9"/>
    </row>
    <row r="782" spans="5:19" ht="15.75" customHeight="1" x14ac:dyDescent="0.3">
      <c r="E782" s="9"/>
      <c r="F782" s="9"/>
      <c r="H782" s="9"/>
      <c r="M782" s="9"/>
      <c r="N782" s="9"/>
      <c r="O782" s="9"/>
      <c r="P782" s="9"/>
      <c r="Q782" s="9"/>
      <c r="R782" s="9"/>
      <c r="S782" s="9"/>
    </row>
    <row r="783" spans="5:19" ht="15.75" customHeight="1" x14ac:dyDescent="0.3">
      <c r="E783" s="9"/>
      <c r="F783" s="9"/>
      <c r="H783" s="9"/>
      <c r="M783" s="9"/>
      <c r="N783" s="9"/>
      <c r="O783" s="9"/>
      <c r="P783" s="9"/>
      <c r="Q783" s="9"/>
      <c r="R783" s="9"/>
      <c r="S783" s="9"/>
    </row>
    <row r="784" spans="5:19" ht="15.75" customHeight="1" x14ac:dyDescent="0.3">
      <c r="E784" s="9"/>
      <c r="F784" s="9"/>
      <c r="H784" s="9"/>
      <c r="M784" s="9"/>
      <c r="N784" s="9"/>
      <c r="O784" s="9"/>
      <c r="P784" s="9"/>
      <c r="Q784" s="9"/>
      <c r="R784" s="9"/>
      <c r="S784" s="9"/>
    </row>
    <row r="785" spans="5:19" ht="15.75" customHeight="1" x14ac:dyDescent="0.3">
      <c r="E785" s="9"/>
      <c r="F785" s="9"/>
      <c r="H785" s="9"/>
      <c r="M785" s="9"/>
      <c r="N785" s="9"/>
      <c r="O785" s="9"/>
      <c r="P785" s="9"/>
      <c r="Q785" s="9"/>
      <c r="R785" s="9"/>
      <c r="S785" s="9"/>
    </row>
    <row r="786" spans="5:19" ht="15.75" customHeight="1" x14ac:dyDescent="0.3">
      <c r="E786" s="9"/>
      <c r="F786" s="9"/>
      <c r="H786" s="9"/>
      <c r="M786" s="9"/>
      <c r="N786" s="9"/>
      <c r="O786" s="9"/>
      <c r="P786" s="9"/>
      <c r="Q786" s="9"/>
      <c r="R786" s="9"/>
      <c r="S786" s="9"/>
    </row>
    <row r="787" spans="5:19" ht="15.75" customHeight="1" x14ac:dyDescent="0.3">
      <c r="E787" s="9"/>
      <c r="F787" s="9"/>
      <c r="H787" s="9"/>
      <c r="M787" s="9"/>
      <c r="N787" s="9"/>
      <c r="O787" s="9"/>
      <c r="P787" s="9"/>
      <c r="Q787" s="9"/>
      <c r="R787" s="9"/>
      <c r="S787" s="9"/>
    </row>
    <row r="788" spans="5:19" ht="15.75" customHeight="1" x14ac:dyDescent="0.3">
      <c r="E788" s="9"/>
      <c r="F788" s="9"/>
      <c r="H788" s="9"/>
      <c r="M788" s="9"/>
      <c r="N788" s="9"/>
      <c r="O788" s="9"/>
      <c r="P788" s="9"/>
      <c r="Q788" s="9"/>
      <c r="R788" s="9"/>
      <c r="S788" s="9"/>
    </row>
    <row r="789" spans="5:19" ht="15.75" customHeight="1" x14ac:dyDescent="0.3">
      <c r="E789" s="9"/>
      <c r="F789" s="9"/>
      <c r="H789" s="9"/>
      <c r="M789" s="9"/>
      <c r="N789" s="9"/>
      <c r="O789" s="9"/>
      <c r="P789" s="9"/>
      <c r="Q789" s="9"/>
      <c r="R789" s="9"/>
      <c r="S789" s="9"/>
    </row>
    <row r="790" spans="5:19" ht="15.75" customHeight="1" x14ac:dyDescent="0.3">
      <c r="E790" s="9"/>
      <c r="F790" s="9"/>
      <c r="H790" s="9"/>
      <c r="M790" s="9"/>
      <c r="N790" s="9"/>
      <c r="O790" s="9"/>
      <c r="P790" s="9"/>
      <c r="Q790" s="9"/>
      <c r="R790" s="9"/>
      <c r="S790" s="9"/>
    </row>
    <row r="791" spans="5:19" ht="15.75" customHeight="1" x14ac:dyDescent="0.3">
      <c r="E791" s="9"/>
      <c r="F791" s="9"/>
      <c r="H791" s="9"/>
      <c r="M791" s="9"/>
      <c r="N791" s="9"/>
      <c r="O791" s="9"/>
      <c r="P791" s="9"/>
      <c r="Q791" s="9"/>
      <c r="R791" s="9"/>
      <c r="S791" s="9"/>
    </row>
    <row r="792" spans="5:19" ht="15.75" customHeight="1" x14ac:dyDescent="0.3">
      <c r="E792" s="9"/>
      <c r="F792" s="9"/>
      <c r="H792" s="9"/>
      <c r="M792" s="9"/>
      <c r="N792" s="9"/>
      <c r="O792" s="9"/>
      <c r="P792" s="9"/>
      <c r="Q792" s="9"/>
      <c r="R792" s="9"/>
      <c r="S792" s="9"/>
    </row>
    <row r="793" spans="5:19" ht="15.75" customHeight="1" x14ac:dyDescent="0.3">
      <c r="E793" s="9"/>
      <c r="F793" s="9"/>
      <c r="H793" s="9"/>
      <c r="M793" s="9"/>
      <c r="N793" s="9"/>
      <c r="O793" s="9"/>
      <c r="P793" s="9"/>
      <c r="Q793" s="9"/>
      <c r="R793" s="9"/>
      <c r="S793" s="9"/>
    </row>
    <row r="794" spans="5:19" ht="15.75" customHeight="1" x14ac:dyDescent="0.3">
      <c r="E794" s="9"/>
      <c r="F794" s="9"/>
      <c r="H794" s="9"/>
      <c r="M794" s="9"/>
      <c r="N794" s="9"/>
      <c r="O794" s="9"/>
      <c r="P794" s="9"/>
      <c r="Q794" s="9"/>
      <c r="R794" s="9"/>
      <c r="S794" s="9"/>
    </row>
    <row r="795" spans="5:19" ht="15.75" customHeight="1" x14ac:dyDescent="0.3">
      <c r="E795" s="9"/>
      <c r="F795" s="9"/>
      <c r="H795" s="9"/>
      <c r="M795" s="9"/>
      <c r="N795" s="9"/>
      <c r="O795" s="9"/>
      <c r="P795" s="9"/>
      <c r="Q795" s="9"/>
      <c r="R795" s="9"/>
      <c r="S795" s="9"/>
    </row>
    <row r="796" spans="5:19" ht="15.75" customHeight="1" x14ac:dyDescent="0.3">
      <c r="E796" s="9"/>
      <c r="F796" s="9"/>
      <c r="H796" s="9"/>
      <c r="M796" s="9"/>
      <c r="N796" s="9"/>
      <c r="O796" s="9"/>
      <c r="P796" s="9"/>
      <c r="Q796" s="9"/>
      <c r="R796" s="9"/>
      <c r="S796" s="9"/>
    </row>
    <row r="797" spans="5:19" ht="15.75" customHeight="1" x14ac:dyDescent="0.3">
      <c r="E797" s="9"/>
      <c r="F797" s="9"/>
      <c r="H797" s="9"/>
      <c r="M797" s="9"/>
      <c r="N797" s="9"/>
      <c r="O797" s="9"/>
      <c r="P797" s="9"/>
      <c r="Q797" s="9"/>
      <c r="R797" s="9"/>
      <c r="S797" s="9"/>
    </row>
    <row r="798" spans="5:19" ht="15.75" customHeight="1" x14ac:dyDescent="0.3">
      <c r="E798" s="9"/>
      <c r="F798" s="9"/>
      <c r="H798" s="9"/>
      <c r="M798" s="9"/>
      <c r="N798" s="9"/>
      <c r="O798" s="9"/>
      <c r="P798" s="9"/>
      <c r="Q798" s="9"/>
      <c r="R798" s="9"/>
      <c r="S798" s="9"/>
    </row>
    <row r="799" spans="5:19" ht="15.75" customHeight="1" x14ac:dyDescent="0.3">
      <c r="E799" s="9"/>
      <c r="F799" s="9"/>
      <c r="H799" s="9"/>
      <c r="M799" s="9"/>
      <c r="N799" s="9"/>
      <c r="O799" s="9"/>
      <c r="P799" s="9"/>
      <c r="Q799" s="9"/>
      <c r="R799" s="9"/>
      <c r="S799" s="9"/>
    </row>
    <row r="800" spans="5:19" ht="15.75" customHeight="1" x14ac:dyDescent="0.3">
      <c r="E800" s="9"/>
      <c r="F800" s="9"/>
      <c r="H800" s="9"/>
      <c r="M800" s="9"/>
      <c r="N800" s="9"/>
      <c r="O800" s="9"/>
      <c r="P800" s="9"/>
      <c r="Q800" s="9"/>
      <c r="R800" s="9"/>
      <c r="S800" s="9"/>
    </row>
    <row r="801" spans="5:19" ht="15.75" customHeight="1" x14ac:dyDescent="0.3">
      <c r="E801" s="9"/>
      <c r="F801" s="9"/>
      <c r="H801" s="9"/>
      <c r="M801" s="9"/>
      <c r="N801" s="9"/>
      <c r="O801" s="9"/>
      <c r="P801" s="9"/>
      <c r="Q801" s="9"/>
      <c r="R801" s="9"/>
      <c r="S801" s="9"/>
    </row>
    <row r="802" spans="5:19" ht="15.75" customHeight="1" x14ac:dyDescent="0.3">
      <c r="E802" s="9"/>
      <c r="F802" s="9"/>
      <c r="H802" s="9"/>
      <c r="M802" s="9"/>
      <c r="N802" s="9"/>
      <c r="O802" s="9"/>
      <c r="P802" s="9"/>
      <c r="Q802" s="9"/>
      <c r="R802" s="9"/>
      <c r="S802" s="9"/>
    </row>
    <row r="803" spans="5:19" ht="15.75" customHeight="1" x14ac:dyDescent="0.3">
      <c r="E803" s="9"/>
      <c r="F803" s="9"/>
      <c r="H803" s="9"/>
      <c r="M803" s="9"/>
      <c r="N803" s="9"/>
      <c r="O803" s="9"/>
      <c r="P803" s="9"/>
      <c r="Q803" s="9"/>
      <c r="R803" s="9"/>
      <c r="S803" s="9"/>
    </row>
    <row r="804" spans="5:19" ht="15.75" customHeight="1" x14ac:dyDescent="0.3">
      <c r="E804" s="9"/>
      <c r="F804" s="9"/>
      <c r="H804" s="9"/>
      <c r="M804" s="9"/>
      <c r="N804" s="9"/>
      <c r="O804" s="9"/>
      <c r="P804" s="9"/>
      <c r="Q804" s="9"/>
      <c r="R804" s="9"/>
      <c r="S804" s="9"/>
    </row>
    <row r="805" spans="5:19" ht="15.75" customHeight="1" x14ac:dyDescent="0.3">
      <c r="E805" s="9"/>
      <c r="F805" s="9"/>
      <c r="H805" s="9"/>
      <c r="M805" s="9"/>
      <c r="N805" s="9"/>
      <c r="O805" s="9"/>
      <c r="P805" s="9"/>
      <c r="Q805" s="9"/>
      <c r="R805" s="9"/>
      <c r="S805" s="9"/>
    </row>
    <row r="806" spans="5:19" ht="15.75" customHeight="1" x14ac:dyDescent="0.3">
      <c r="E806" s="9"/>
      <c r="F806" s="9"/>
      <c r="H806" s="9"/>
      <c r="M806" s="9"/>
      <c r="N806" s="9"/>
      <c r="O806" s="9"/>
      <c r="P806" s="9"/>
      <c r="Q806" s="9"/>
      <c r="R806" s="9"/>
      <c r="S806" s="9"/>
    </row>
    <row r="807" spans="5:19" ht="15.75" customHeight="1" x14ac:dyDescent="0.3">
      <c r="E807" s="9"/>
      <c r="F807" s="9"/>
      <c r="H807" s="9"/>
      <c r="M807" s="9"/>
      <c r="N807" s="9"/>
      <c r="O807" s="9"/>
      <c r="P807" s="9"/>
      <c r="Q807" s="9"/>
      <c r="R807" s="9"/>
      <c r="S807" s="9"/>
    </row>
    <row r="808" spans="5:19" ht="15.75" customHeight="1" x14ac:dyDescent="0.3">
      <c r="E808" s="9"/>
      <c r="F808" s="9"/>
      <c r="H808" s="9"/>
      <c r="M808" s="9"/>
      <c r="N808" s="9"/>
      <c r="O808" s="9"/>
      <c r="P808" s="9"/>
      <c r="Q808" s="9"/>
      <c r="R808" s="9"/>
      <c r="S808" s="9"/>
    </row>
    <row r="809" spans="5:19" ht="15.75" customHeight="1" x14ac:dyDescent="0.3">
      <c r="E809" s="9"/>
      <c r="F809" s="9"/>
      <c r="H809" s="9"/>
      <c r="M809" s="9"/>
      <c r="N809" s="9"/>
      <c r="O809" s="9"/>
      <c r="P809" s="9"/>
      <c r="Q809" s="9"/>
      <c r="R809" s="9"/>
      <c r="S809" s="9"/>
    </row>
    <row r="810" spans="5:19" ht="15.75" customHeight="1" x14ac:dyDescent="0.3">
      <c r="E810" s="9"/>
      <c r="F810" s="9"/>
      <c r="H810" s="9"/>
      <c r="M810" s="9"/>
      <c r="N810" s="9"/>
      <c r="O810" s="9"/>
      <c r="P810" s="9"/>
      <c r="Q810" s="9"/>
      <c r="R810" s="9"/>
      <c r="S810" s="9"/>
    </row>
    <row r="811" spans="5:19" ht="15.75" customHeight="1" x14ac:dyDescent="0.3">
      <c r="E811" s="9"/>
      <c r="F811" s="9"/>
      <c r="H811" s="9"/>
      <c r="M811" s="9"/>
      <c r="N811" s="9"/>
      <c r="O811" s="9"/>
      <c r="P811" s="9"/>
      <c r="Q811" s="9"/>
      <c r="R811" s="9"/>
      <c r="S811" s="9"/>
    </row>
    <row r="812" spans="5:19" ht="15.75" customHeight="1" x14ac:dyDescent="0.3">
      <c r="E812" s="9"/>
      <c r="F812" s="9"/>
      <c r="H812" s="9"/>
      <c r="M812" s="9"/>
      <c r="N812" s="9"/>
      <c r="O812" s="9"/>
      <c r="P812" s="9"/>
      <c r="Q812" s="9"/>
      <c r="R812" s="9"/>
      <c r="S812" s="9"/>
    </row>
    <row r="813" spans="5:19" ht="15.75" customHeight="1" x14ac:dyDescent="0.3">
      <c r="E813" s="9"/>
      <c r="F813" s="9"/>
      <c r="H813" s="9"/>
      <c r="M813" s="9"/>
      <c r="N813" s="9"/>
      <c r="O813" s="9"/>
      <c r="P813" s="9"/>
      <c r="Q813" s="9"/>
      <c r="R813" s="9"/>
      <c r="S813" s="9"/>
    </row>
    <row r="814" spans="5:19" ht="15.75" customHeight="1" x14ac:dyDescent="0.3">
      <c r="E814" s="9"/>
      <c r="F814" s="9"/>
      <c r="H814" s="9"/>
      <c r="M814" s="9"/>
      <c r="N814" s="9"/>
      <c r="O814" s="9"/>
      <c r="P814" s="9"/>
      <c r="Q814" s="9"/>
      <c r="R814" s="9"/>
      <c r="S814" s="9"/>
    </row>
    <row r="815" spans="5:19" ht="15.75" customHeight="1" x14ac:dyDescent="0.3">
      <c r="E815" s="9"/>
      <c r="F815" s="9"/>
      <c r="H815" s="9"/>
      <c r="M815" s="9"/>
      <c r="N815" s="9"/>
      <c r="O815" s="9"/>
      <c r="P815" s="9"/>
      <c r="Q815" s="9"/>
      <c r="R815" s="9"/>
      <c r="S815" s="9"/>
    </row>
    <row r="816" spans="5:19" ht="15.75" customHeight="1" x14ac:dyDescent="0.3">
      <c r="E816" s="9"/>
      <c r="F816" s="9"/>
      <c r="H816" s="9"/>
      <c r="M816" s="9"/>
      <c r="N816" s="9"/>
      <c r="O816" s="9"/>
      <c r="P816" s="9"/>
      <c r="Q816" s="9"/>
      <c r="R816" s="9"/>
      <c r="S816" s="9"/>
    </row>
    <row r="817" spans="5:19" ht="15.75" customHeight="1" x14ac:dyDescent="0.3">
      <c r="E817" s="9"/>
      <c r="F817" s="9"/>
      <c r="H817" s="9"/>
      <c r="M817" s="9"/>
      <c r="N817" s="9"/>
      <c r="O817" s="9"/>
      <c r="P817" s="9"/>
      <c r="Q817" s="9"/>
      <c r="R817" s="9"/>
      <c r="S817" s="9"/>
    </row>
    <row r="818" spans="5:19" ht="15.75" customHeight="1" x14ac:dyDescent="0.3">
      <c r="E818" s="9"/>
      <c r="F818" s="9"/>
      <c r="H818" s="9"/>
      <c r="M818" s="9"/>
      <c r="N818" s="9"/>
      <c r="O818" s="9"/>
      <c r="P818" s="9"/>
      <c r="Q818" s="9"/>
      <c r="R818" s="9"/>
      <c r="S818" s="9"/>
    </row>
    <row r="819" spans="5:19" ht="15.75" customHeight="1" x14ac:dyDescent="0.3">
      <c r="E819" s="9"/>
      <c r="F819" s="9"/>
      <c r="H819" s="9"/>
      <c r="M819" s="9"/>
      <c r="N819" s="9"/>
      <c r="O819" s="9"/>
      <c r="P819" s="9"/>
      <c r="Q819" s="9"/>
      <c r="R819" s="9"/>
      <c r="S819" s="9"/>
    </row>
    <row r="820" spans="5:19" ht="15.75" customHeight="1" x14ac:dyDescent="0.3">
      <c r="E820" s="9"/>
      <c r="F820" s="9"/>
      <c r="H820" s="9"/>
      <c r="M820" s="9"/>
      <c r="N820" s="9"/>
      <c r="O820" s="9"/>
      <c r="P820" s="9"/>
      <c r="Q820" s="9"/>
      <c r="R820" s="9"/>
      <c r="S820" s="9"/>
    </row>
    <row r="821" spans="5:19" ht="15.75" customHeight="1" x14ac:dyDescent="0.3">
      <c r="E821" s="9"/>
      <c r="F821" s="9"/>
      <c r="H821" s="9"/>
      <c r="M821" s="9"/>
      <c r="N821" s="9"/>
      <c r="O821" s="9"/>
      <c r="P821" s="9"/>
      <c r="Q821" s="9"/>
      <c r="R821" s="9"/>
      <c r="S821" s="9"/>
    </row>
    <row r="822" spans="5:19" ht="15.75" customHeight="1" x14ac:dyDescent="0.3">
      <c r="E822" s="9"/>
      <c r="F822" s="9"/>
      <c r="H822" s="9"/>
      <c r="M822" s="9"/>
      <c r="N822" s="9"/>
      <c r="O822" s="9"/>
      <c r="P822" s="9"/>
      <c r="Q822" s="9"/>
      <c r="R822" s="9"/>
      <c r="S822" s="9"/>
    </row>
    <row r="823" spans="5:19" ht="15.75" customHeight="1" x14ac:dyDescent="0.3">
      <c r="E823" s="9"/>
      <c r="F823" s="9"/>
      <c r="H823" s="9"/>
      <c r="M823" s="9"/>
      <c r="N823" s="9"/>
      <c r="O823" s="9"/>
      <c r="P823" s="9"/>
      <c r="Q823" s="9"/>
      <c r="R823" s="9"/>
      <c r="S823" s="9"/>
    </row>
    <row r="824" spans="5:19" ht="15.75" customHeight="1" x14ac:dyDescent="0.3">
      <c r="E824" s="9"/>
      <c r="F824" s="9"/>
      <c r="H824" s="9"/>
      <c r="M824" s="9"/>
      <c r="N824" s="9"/>
      <c r="O824" s="9"/>
      <c r="P824" s="9"/>
      <c r="Q824" s="9"/>
      <c r="R824" s="9"/>
      <c r="S824" s="9"/>
    </row>
    <row r="825" spans="5:19" ht="15.75" customHeight="1" x14ac:dyDescent="0.3">
      <c r="E825" s="9"/>
      <c r="F825" s="9"/>
      <c r="H825" s="9"/>
      <c r="M825" s="9"/>
      <c r="N825" s="9"/>
      <c r="O825" s="9"/>
      <c r="P825" s="9"/>
      <c r="Q825" s="9"/>
      <c r="R825" s="9"/>
      <c r="S825" s="9"/>
    </row>
    <row r="826" spans="5:19" ht="15.75" customHeight="1" x14ac:dyDescent="0.3">
      <c r="E826" s="9"/>
      <c r="F826" s="9"/>
      <c r="H826" s="9"/>
      <c r="M826" s="9"/>
      <c r="N826" s="9"/>
      <c r="O826" s="9"/>
      <c r="P826" s="9"/>
      <c r="Q826" s="9"/>
      <c r="R826" s="9"/>
      <c r="S826" s="9"/>
    </row>
    <row r="827" spans="5:19" ht="15.75" customHeight="1" x14ac:dyDescent="0.3">
      <c r="E827" s="9"/>
      <c r="F827" s="9"/>
      <c r="H827" s="9"/>
      <c r="M827" s="9"/>
      <c r="N827" s="9"/>
      <c r="O827" s="9"/>
      <c r="P827" s="9"/>
      <c r="Q827" s="9"/>
      <c r="R827" s="9"/>
      <c r="S827" s="9"/>
    </row>
    <row r="828" spans="5:19" ht="15.75" customHeight="1" x14ac:dyDescent="0.3">
      <c r="E828" s="9"/>
      <c r="F828" s="9"/>
      <c r="H828" s="9"/>
      <c r="M828" s="9"/>
      <c r="N828" s="9"/>
      <c r="O828" s="9"/>
      <c r="P828" s="9"/>
      <c r="Q828" s="9"/>
      <c r="R828" s="9"/>
      <c r="S828" s="9"/>
    </row>
    <row r="829" spans="5:19" ht="15.75" customHeight="1" x14ac:dyDescent="0.3">
      <c r="E829" s="9"/>
      <c r="F829" s="9"/>
      <c r="H829" s="9"/>
      <c r="M829" s="9"/>
      <c r="N829" s="9"/>
      <c r="O829" s="9"/>
      <c r="P829" s="9"/>
      <c r="Q829" s="9"/>
      <c r="R829" s="9"/>
      <c r="S829" s="9"/>
    </row>
    <row r="830" spans="5:19" ht="15.75" customHeight="1" x14ac:dyDescent="0.3">
      <c r="E830" s="9"/>
      <c r="F830" s="9"/>
      <c r="H830" s="9"/>
      <c r="M830" s="9"/>
      <c r="N830" s="9"/>
      <c r="O830" s="9"/>
      <c r="P830" s="9"/>
      <c r="Q830" s="9"/>
      <c r="R830" s="9"/>
      <c r="S830" s="9"/>
    </row>
    <row r="831" spans="5:19" ht="15.75" customHeight="1" x14ac:dyDescent="0.3">
      <c r="E831" s="9"/>
      <c r="F831" s="9"/>
      <c r="H831" s="9"/>
      <c r="M831" s="9"/>
      <c r="N831" s="9"/>
      <c r="O831" s="9"/>
      <c r="P831" s="9"/>
      <c r="Q831" s="9"/>
      <c r="R831" s="9"/>
      <c r="S831" s="9"/>
    </row>
    <row r="832" spans="5:19" ht="15.75" customHeight="1" x14ac:dyDescent="0.3">
      <c r="E832" s="9"/>
      <c r="F832" s="9"/>
      <c r="H832" s="9"/>
      <c r="M832" s="9"/>
      <c r="N832" s="9"/>
      <c r="O832" s="9"/>
      <c r="P832" s="9"/>
      <c r="Q832" s="9"/>
      <c r="R832" s="9"/>
      <c r="S832" s="9"/>
    </row>
    <row r="833" spans="5:19" ht="15.75" customHeight="1" x14ac:dyDescent="0.3">
      <c r="E833" s="9"/>
      <c r="F833" s="9"/>
      <c r="H833" s="9"/>
      <c r="M833" s="9"/>
      <c r="N833" s="9"/>
      <c r="O833" s="9"/>
      <c r="P833" s="9"/>
      <c r="Q833" s="9"/>
      <c r="R833" s="9"/>
      <c r="S833" s="9"/>
    </row>
    <row r="834" spans="5:19" ht="15.75" customHeight="1" x14ac:dyDescent="0.3">
      <c r="E834" s="9"/>
      <c r="F834" s="9"/>
      <c r="H834" s="9"/>
      <c r="M834" s="9"/>
      <c r="N834" s="9"/>
      <c r="O834" s="9"/>
      <c r="P834" s="9"/>
      <c r="Q834" s="9"/>
      <c r="R834" s="9"/>
      <c r="S834" s="9"/>
    </row>
    <row r="835" spans="5:19" ht="15.75" customHeight="1" x14ac:dyDescent="0.3">
      <c r="E835" s="9"/>
      <c r="F835" s="9"/>
      <c r="H835" s="9"/>
      <c r="M835" s="9"/>
      <c r="N835" s="9"/>
      <c r="O835" s="9"/>
      <c r="P835" s="9"/>
      <c r="Q835" s="9"/>
      <c r="R835" s="9"/>
      <c r="S835" s="9"/>
    </row>
    <row r="836" spans="5:19" ht="15.75" customHeight="1" x14ac:dyDescent="0.3">
      <c r="E836" s="9"/>
      <c r="F836" s="9"/>
      <c r="H836" s="9"/>
      <c r="M836" s="9"/>
      <c r="N836" s="9"/>
      <c r="O836" s="9"/>
      <c r="P836" s="9"/>
      <c r="Q836" s="9"/>
      <c r="R836" s="9"/>
      <c r="S836" s="9"/>
    </row>
    <row r="837" spans="5:19" ht="15.75" customHeight="1" x14ac:dyDescent="0.3">
      <c r="E837" s="9"/>
      <c r="F837" s="9"/>
      <c r="H837" s="9"/>
      <c r="M837" s="9"/>
      <c r="N837" s="9"/>
      <c r="O837" s="9"/>
      <c r="P837" s="9"/>
      <c r="Q837" s="9"/>
      <c r="R837" s="9"/>
      <c r="S837" s="9"/>
    </row>
    <row r="838" spans="5:19" ht="15.75" customHeight="1" x14ac:dyDescent="0.3">
      <c r="E838" s="9"/>
      <c r="F838" s="9"/>
      <c r="H838" s="9"/>
      <c r="M838" s="9"/>
      <c r="N838" s="9"/>
      <c r="O838" s="9"/>
      <c r="P838" s="9"/>
      <c r="Q838" s="9"/>
      <c r="R838" s="9"/>
      <c r="S838" s="9"/>
    </row>
    <row r="839" spans="5:19" ht="15.75" customHeight="1" x14ac:dyDescent="0.3">
      <c r="E839" s="9"/>
      <c r="F839" s="9"/>
      <c r="H839" s="9"/>
      <c r="M839" s="9"/>
      <c r="N839" s="9"/>
      <c r="O839" s="9"/>
      <c r="P839" s="9"/>
      <c r="Q839" s="9"/>
      <c r="R839" s="9"/>
      <c r="S839" s="9"/>
    </row>
    <row r="840" spans="5:19" ht="15.75" customHeight="1" x14ac:dyDescent="0.3">
      <c r="E840" s="9"/>
      <c r="F840" s="9"/>
      <c r="H840" s="9"/>
      <c r="M840" s="9"/>
      <c r="N840" s="9"/>
      <c r="O840" s="9"/>
      <c r="P840" s="9"/>
      <c r="Q840" s="9"/>
      <c r="R840" s="9"/>
      <c r="S840" s="9"/>
    </row>
    <row r="841" spans="5:19" ht="15.75" customHeight="1" x14ac:dyDescent="0.3">
      <c r="E841" s="9"/>
      <c r="F841" s="9"/>
      <c r="H841" s="9"/>
      <c r="M841" s="9"/>
      <c r="N841" s="9"/>
      <c r="O841" s="9"/>
      <c r="P841" s="9"/>
      <c r="Q841" s="9"/>
      <c r="R841" s="9"/>
      <c r="S841" s="9"/>
    </row>
    <row r="842" spans="5:19" ht="15.75" customHeight="1" x14ac:dyDescent="0.3">
      <c r="E842" s="9"/>
      <c r="F842" s="9"/>
      <c r="H842" s="9"/>
      <c r="M842" s="9"/>
      <c r="N842" s="9"/>
      <c r="O842" s="9"/>
      <c r="P842" s="9"/>
      <c r="Q842" s="9"/>
      <c r="R842" s="9"/>
      <c r="S842" s="9"/>
    </row>
    <row r="843" spans="5:19" ht="15.75" customHeight="1" x14ac:dyDescent="0.3">
      <c r="E843" s="9"/>
      <c r="F843" s="9"/>
      <c r="H843" s="9"/>
      <c r="M843" s="9"/>
      <c r="N843" s="9"/>
      <c r="O843" s="9"/>
      <c r="P843" s="9"/>
      <c r="Q843" s="9"/>
      <c r="R843" s="9"/>
      <c r="S843" s="9"/>
    </row>
    <row r="844" spans="5:19" ht="15.75" customHeight="1" x14ac:dyDescent="0.3">
      <c r="E844" s="9"/>
      <c r="F844" s="9"/>
      <c r="H844" s="9"/>
      <c r="M844" s="9"/>
      <c r="N844" s="9"/>
      <c r="O844" s="9"/>
      <c r="P844" s="9"/>
      <c r="Q844" s="9"/>
      <c r="R844" s="9"/>
      <c r="S844" s="9"/>
    </row>
    <row r="845" spans="5:19" ht="15.75" customHeight="1" x14ac:dyDescent="0.3">
      <c r="E845" s="9"/>
      <c r="F845" s="9"/>
      <c r="H845" s="9"/>
      <c r="M845" s="9"/>
      <c r="N845" s="9"/>
      <c r="O845" s="9"/>
      <c r="P845" s="9"/>
      <c r="Q845" s="9"/>
      <c r="R845" s="9"/>
      <c r="S845" s="9"/>
    </row>
    <row r="846" spans="5:19" ht="15.75" customHeight="1" x14ac:dyDescent="0.3">
      <c r="E846" s="9"/>
      <c r="F846" s="9"/>
      <c r="H846" s="9"/>
      <c r="M846" s="9"/>
      <c r="N846" s="9"/>
      <c r="O846" s="9"/>
      <c r="P846" s="9"/>
      <c r="Q846" s="9"/>
      <c r="R846" s="9"/>
      <c r="S846" s="9"/>
    </row>
    <row r="847" spans="5:19" ht="15.75" customHeight="1" x14ac:dyDescent="0.3">
      <c r="E847" s="9"/>
      <c r="F847" s="9"/>
      <c r="H847" s="9"/>
      <c r="M847" s="9"/>
      <c r="N847" s="9"/>
      <c r="O847" s="9"/>
      <c r="P847" s="9"/>
      <c r="Q847" s="9"/>
      <c r="R847" s="9"/>
      <c r="S847" s="9"/>
    </row>
    <row r="848" spans="5:19" ht="15.75" customHeight="1" x14ac:dyDescent="0.3">
      <c r="E848" s="9"/>
      <c r="F848" s="9"/>
      <c r="H848" s="9"/>
      <c r="M848" s="9"/>
      <c r="N848" s="9"/>
      <c r="O848" s="9"/>
      <c r="P848" s="9"/>
      <c r="Q848" s="9"/>
      <c r="R848" s="9"/>
      <c r="S848" s="9"/>
    </row>
    <row r="849" spans="5:19" ht="15.75" customHeight="1" x14ac:dyDescent="0.3">
      <c r="E849" s="9"/>
      <c r="F849" s="9"/>
      <c r="H849" s="9"/>
      <c r="M849" s="9"/>
      <c r="N849" s="9"/>
      <c r="O849" s="9"/>
      <c r="P849" s="9"/>
      <c r="Q849" s="9"/>
      <c r="R849" s="9"/>
      <c r="S849" s="9"/>
    </row>
    <row r="850" spans="5:19" ht="15.75" customHeight="1" x14ac:dyDescent="0.3">
      <c r="E850" s="9"/>
      <c r="F850" s="9"/>
      <c r="H850" s="9"/>
      <c r="M850" s="9"/>
      <c r="N850" s="9"/>
      <c r="O850" s="9"/>
      <c r="P850" s="9"/>
      <c r="Q850" s="9"/>
      <c r="R850" s="9"/>
      <c r="S850" s="9"/>
    </row>
    <row r="851" spans="5:19" ht="15.75" customHeight="1" x14ac:dyDescent="0.3">
      <c r="E851" s="9"/>
      <c r="F851" s="9"/>
      <c r="H851" s="9"/>
      <c r="M851" s="9"/>
      <c r="N851" s="9"/>
      <c r="O851" s="9"/>
      <c r="P851" s="9"/>
      <c r="Q851" s="9"/>
      <c r="R851" s="9"/>
      <c r="S851" s="9"/>
    </row>
    <row r="852" spans="5:19" ht="15.75" customHeight="1" x14ac:dyDescent="0.3">
      <c r="E852" s="9"/>
      <c r="F852" s="9"/>
      <c r="H852" s="9"/>
      <c r="M852" s="9"/>
      <c r="N852" s="9"/>
      <c r="O852" s="9"/>
      <c r="P852" s="9"/>
      <c r="Q852" s="9"/>
      <c r="R852" s="9"/>
      <c r="S852" s="9"/>
    </row>
    <row r="853" spans="5:19" ht="15.75" customHeight="1" x14ac:dyDescent="0.3">
      <c r="E853" s="9"/>
      <c r="F853" s="9"/>
      <c r="H853" s="9"/>
      <c r="M853" s="9"/>
      <c r="N853" s="9"/>
      <c r="O853" s="9"/>
      <c r="P853" s="9"/>
      <c r="Q853" s="9"/>
      <c r="R853" s="9"/>
      <c r="S853" s="9"/>
    </row>
    <row r="854" spans="5:19" ht="15.75" customHeight="1" x14ac:dyDescent="0.3">
      <c r="E854" s="9"/>
      <c r="F854" s="9"/>
      <c r="H854" s="9"/>
      <c r="M854" s="9"/>
      <c r="N854" s="9"/>
      <c r="O854" s="9"/>
      <c r="P854" s="9"/>
      <c r="Q854" s="9"/>
      <c r="R854" s="9"/>
      <c r="S854" s="9"/>
    </row>
    <row r="855" spans="5:19" ht="15.75" customHeight="1" x14ac:dyDescent="0.3">
      <c r="E855" s="9"/>
      <c r="F855" s="9"/>
      <c r="H855" s="9"/>
      <c r="M855" s="9"/>
      <c r="N855" s="9"/>
      <c r="O855" s="9"/>
      <c r="P855" s="9"/>
      <c r="Q855" s="9"/>
      <c r="R855" s="9"/>
      <c r="S855" s="9"/>
    </row>
    <row r="856" spans="5:19" ht="15.75" customHeight="1" x14ac:dyDescent="0.3">
      <c r="E856" s="9"/>
      <c r="F856" s="9"/>
      <c r="H856" s="9"/>
      <c r="M856" s="9"/>
      <c r="N856" s="9"/>
      <c r="O856" s="9"/>
      <c r="P856" s="9"/>
      <c r="Q856" s="9"/>
      <c r="R856" s="9"/>
      <c r="S856" s="9"/>
    </row>
    <row r="857" spans="5:19" ht="15.75" customHeight="1" x14ac:dyDescent="0.3">
      <c r="E857" s="9"/>
      <c r="F857" s="9"/>
      <c r="H857" s="9"/>
      <c r="M857" s="9"/>
      <c r="N857" s="9"/>
      <c r="O857" s="9"/>
      <c r="P857" s="9"/>
      <c r="Q857" s="9"/>
      <c r="R857" s="9"/>
      <c r="S857" s="9"/>
    </row>
    <row r="858" spans="5:19" ht="15.75" customHeight="1" x14ac:dyDescent="0.3">
      <c r="E858" s="9"/>
      <c r="F858" s="9"/>
      <c r="H858" s="9"/>
      <c r="M858" s="9"/>
      <c r="N858" s="9"/>
      <c r="O858" s="9"/>
      <c r="P858" s="9"/>
      <c r="Q858" s="9"/>
      <c r="R858" s="9"/>
      <c r="S858" s="9"/>
    </row>
    <row r="859" spans="5:19" ht="15.75" customHeight="1" x14ac:dyDescent="0.3">
      <c r="E859" s="9"/>
      <c r="F859" s="9"/>
      <c r="H859" s="9"/>
      <c r="M859" s="9"/>
      <c r="N859" s="9"/>
      <c r="O859" s="9"/>
      <c r="P859" s="9"/>
      <c r="Q859" s="9"/>
      <c r="R859" s="9"/>
      <c r="S859" s="9"/>
    </row>
    <row r="860" spans="5:19" ht="15.75" customHeight="1" x14ac:dyDescent="0.3">
      <c r="E860" s="9"/>
      <c r="F860" s="9"/>
      <c r="H860" s="9"/>
      <c r="M860" s="9"/>
      <c r="N860" s="9"/>
      <c r="O860" s="9"/>
      <c r="P860" s="9"/>
      <c r="Q860" s="9"/>
      <c r="R860" s="9"/>
      <c r="S860" s="9"/>
    </row>
    <row r="861" spans="5:19" ht="15.75" customHeight="1" x14ac:dyDescent="0.3">
      <c r="E861" s="9"/>
      <c r="F861" s="9"/>
      <c r="H861" s="9"/>
      <c r="M861" s="9"/>
      <c r="N861" s="9"/>
      <c r="O861" s="9"/>
      <c r="P861" s="9"/>
      <c r="Q861" s="9"/>
      <c r="R861" s="9"/>
      <c r="S861" s="9"/>
    </row>
    <row r="862" spans="5:19" ht="15.75" customHeight="1" x14ac:dyDescent="0.3">
      <c r="E862" s="9"/>
      <c r="F862" s="9"/>
      <c r="H862" s="9"/>
      <c r="M862" s="9"/>
      <c r="N862" s="9"/>
      <c r="O862" s="9"/>
      <c r="P862" s="9"/>
      <c r="Q862" s="9"/>
      <c r="R862" s="9"/>
      <c r="S862" s="9"/>
    </row>
    <row r="863" spans="5:19" ht="15.75" customHeight="1" x14ac:dyDescent="0.3">
      <c r="E863" s="9"/>
      <c r="F863" s="9"/>
      <c r="H863" s="9"/>
      <c r="M863" s="9"/>
      <c r="N863" s="9"/>
      <c r="O863" s="9"/>
      <c r="P863" s="9"/>
      <c r="Q863" s="9"/>
      <c r="R863" s="9"/>
      <c r="S863" s="9"/>
    </row>
    <row r="864" spans="5:19" ht="15.75" customHeight="1" x14ac:dyDescent="0.3">
      <c r="E864" s="9"/>
      <c r="F864" s="9"/>
      <c r="H864" s="9"/>
      <c r="M864" s="9"/>
      <c r="N864" s="9"/>
      <c r="O864" s="9"/>
      <c r="P864" s="9"/>
      <c r="Q864" s="9"/>
      <c r="R864" s="9"/>
      <c r="S864" s="9"/>
    </row>
    <row r="865" spans="5:19" ht="15.75" customHeight="1" x14ac:dyDescent="0.3">
      <c r="E865" s="9"/>
      <c r="F865" s="9"/>
      <c r="H865" s="9"/>
      <c r="M865" s="9"/>
      <c r="N865" s="9"/>
      <c r="O865" s="9"/>
      <c r="P865" s="9"/>
      <c r="Q865" s="9"/>
      <c r="R865" s="9"/>
      <c r="S865" s="9"/>
    </row>
    <row r="866" spans="5:19" ht="15.75" customHeight="1" x14ac:dyDescent="0.3">
      <c r="E866" s="9"/>
      <c r="F866" s="9"/>
      <c r="H866" s="9"/>
      <c r="M866" s="9"/>
      <c r="N866" s="9"/>
      <c r="O866" s="9"/>
      <c r="P866" s="9"/>
      <c r="Q866" s="9"/>
      <c r="R866" s="9"/>
      <c r="S866" s="9"/>
    </row>
    <row r="867" spans="5:19" ht="15.75" customHeight="1" x14ac:dyDescent="0.3">
      <c r="E867" s="9"/>
      <c r="F867" s="9"/>
      <c r="H867" s="9"/>
      <c r="M867" s="9"/>
      <c r="N867" s="9"/>
      <c r="O867" s="9"/>
      <c r="P867" s="9"/>
      <c r="Q867" s="9"/>
      <c r="R867" s="9"/>
      <c r="S867" s="9"/>
    </row>
    <row r="868" spans="5:19" ht="15.75" customHeight="1" x14ac:dyDescent="0.3">
      <c r="E868" s="9"/>
      <c r="F868" s="9"/>
      <c r="H868" s="9"/>
      <c r="M868" s="9"/>
      <c r="N868" s="9"/>
      <c r="O868" s="9"/>
      <c r="P868" s="9"/>
      <c r="Q868" s="9"/>
      <c r="R868" s="9"/>
      <c r="S868" s="9"/>
    </row>
    <row r="869" spans="5:19" ht="15.75" customHeight="1" x14ac:dyDescent="0.3">
      <c r="E869" s="9"/>
      <c r="F869" s="9"/>
      <c r="H869" s="9"/>
      <c r="M869" s="9"/>
      <c r="N869" s="9"/>
      <c r="O869" s="9"/>
      <c r="P869" s="9"/>
      <c r="Q869" s="9"/>
      <c r="R869" s="9"/>
      <c r="S869" s="9"/>
    </row>
    <row r="870" spans="5:19" ht="15.75" customHeight="1" x14ac:dyDescent="0.3">
      <c r="E870" s="9"/>
      <c r="F870" s="9"/>
      <c r="H870" s="9"/>
      <c r="M870" s="9"/>
      <c r="N870" s="9"/>
      <c r="O870" s="9"/>
      <c r="P870" s="9"/>
      <c r="Q870" s="9"/>
      <c r="R870" s="9"/>
      <c r="S870" s="9"/>
    </row>
    <row r="871" spans="5:19" ht="15.75" customHeight="1" x14ac:dyDescent="0.3">
      <c r="E871" s="9"/>
      <c r="F871" s="9"/>
      <c r="H871" s="9"/>
      <c r="M871" s="9"/>
      <c r="N871" s="9"/>
      <c r="O871" s="9"/>
      <c r="P871" s="9"/>
      <c r="Q871" s="9"/>
      <c r="R871" s="9"/>
      <c r="S871" s="9"/>
    </row>
    <row r="872" spans="5:19" ht="15.75" customHeight="1" x14ac:dyDescent="0.3">
      <c r="E872" s="9"/>
      <c r="F872" s="9"/>
      <c r="H872" s="9"/>
      <c r="M872" s="9"/>
      <c r="N872" s="9"/>
      <c r="O872" s="9"/>
      <c r="P872" s="9"/>
      <c r="Q872" s="9"/>
      <c r="R872" s="9"/>
      <c r="S872" s="9"/>
    </row>
    <row r="873" spans="5:19" ht="15.75" customHeight="1" x14ac:dyDescent="0.3">
      <c r="E873" s="9"/>
      <c r="F873" s="9"/>
      <c r="H873" s="9"/>
      <c r="M873" s="9"/>
      <c r="N873" s="9"/>
      <c r="O873" s="9"/>
      <c r="P873" s="9"/>
      <c r="Q873" s="9"/>
      <c r="R873" s="9"/>
      <c r="S873" s="9"/>
    </row>
    <row r="874" spans="5:19" ht="15.75" customHeight="1" x14ac:dyDescent="0.3">
      <c r="E874" s="9"/>
      <c r="F874" s="9"/>
      <c r="H874" s="9"/>
      <c r="M874" s="9"/>
      <c r="N874" s="9"/>
      <c r="O874" s="9"/>
      <c r="P874" s="9"/>
      <c r="Q874" s="9"/>
      <c r="R874" s="9"/>
      <c r="S874" s="9"/>
    </row>
    <row r="875" spans="5:19" ht="15.75" customHeight="1" x14ac:dyDescent="0.3">
      <c r="E875" s="9"/>
      <c r="F875" s="9"/>
      <c r="H875" s="9"/>
      <c r="M875" s="9"/>
      <c r="N875" s="9"/>
      <c r="O875" s="9"/>
      <c r="P875" s="9"/>
      <c r="Q875" s="9"/>
      <c r="R875" s="9"/>
      <c r="S875" s="9"/>
    </row>
    <row r="876" spans="5:19" ht="15.75" customHeight="1" x14ac:dyDescent="0.3">
      <c r="E876" s="9"/>
      <c r="F876" s="9"/>
      <c r="H876" s="9"/>
      <c r="M876" s="9"/>
      <c r="N876" s="9"/>
      <c r="O876" s="9"/>
      <c r="P876" s="9"/>
      <c r="Q876" s="9"/>
      <c r="R876" s="9"/>
      <c r="S876" s="9"/>
    </row>
    <row r="877" spans="5:19" ht="15.75" customHeight="1" x14ac:dyDescent="0.3">
      <c r="E877" s="9"/>
      <c r="F877" s="9"/>
      <c r="H877" s="9"/>
      <c r="M877" s="9"/>
      <c r="N877" s="9"/>
      <c r="O877" s="9"/>
      <c r="P877" s="9"/>
      <c r="Q877" s="9"/>
      <c r="R877" s="9"/>
      <c r="S877" s="9"/>
    </row>
    <row r="878" spans="5:19" ht="15.75" customHeight="1" x14ac:dyDescent="0.3">
      <c r="E878" s="9"/>
      <c r="F878" s="9"/>
      <c r="H878" s="9"/>
      <c r="M878" s="9"/>
      <c r="N878" s="9"/>
      <c r="O878" s="9"/>
      <c r="P878" s="9"/>
      <c r="Q878" s="9"/>
      <c r="R878" s="9"/>
      <c r="S878" s="9"/>
    </row>
    <row r="879" spans="5:19" ht="15.75" customHeight="1" x14ac:dyDescent="0.3">
      <c r="E879" s="9"/>
      <c r="F879" s="9"/>
      <c r="H879" s="9"/>
      <c r="M879" s="9"/>
      <c r="N879" s="9"/>
      <c r="O879" s="9"/>
      <c r="P879" s="9"/>
      <c r="Q879" s="9"/>
      <c r="R879" s="9"/>
      <c r="S879" s="9"/>
    </row>
    <row r="880" spans="5:19" ht="15.75" customHeight="1" x14ac:dyDescent="0.3">
      <c r="E880" s="9"/>
      <c r="F880" s="9"/>
      <c r="H880" s="9"/>
      <c r="M880" s="9"/>
      <c r="N880" s="9"/>
      <c r="O880" s="9"/>
      <c r="P880" s="9"/>
      <c r="Q880" s="9"/>
      <c r="R880" s="9"/>
      <c r="S880" s="9"/>
    </row>
    <row r="881" spans="5:19" ht="15.75" customHeight="1" x14ac:dyDescent="0.3">
      <c r="E881" s="9"/>
      <c r="F881" s="9"/>
      <c r="H881" s="9"/>
      <c r="M881" s="9"/>
      <c r="N881" s="9"/>
      <c r="O881" s="9"/>
      <c r="P881" s="9"/>
      <c r="Q881" s="9"/>
      <c r="R881" s="9"/>
      <c r="S881" s="9"/>
    </row>
    <row r="882" spans="5:19" ht="15.75" customHeight="1" x14ac:dyDescent="0.3">
      <c r="E882" s="9"/>
      <c r="F882" s="9"/>
      <c r="H882" s="9"/>
      <c r="M882" s="9"/>
      <c r="N882" s="9"/>
      <c r="O882" s="9"/>
      <c r="P882" s="9"/>
      <c r="Q882" s="9"/>
      <c r="R882" s="9"/>
      <c r="S882" s="9"/>
    </row>
    <row r="883" spans="5:19" ht="15.75" customHeight="1" x14ac:dyDescent="0.3">
      <c r="E883" s="9"/>
      <c r="F883" s="9"/>
      <c r="H883" s="9"/>
      <c r="M883" s="9"/>
      <c r="N883" s="9"/>
      <c r="O883" s="9"/>
      <c r="P883" s="9"/>
      <c r="Q883" s="9"/>
      <c r="R883" s="9"/>
      <c r="S883" s="9"/>
    </row>
    <row r="884" spans="5:19" ht="15.75" customHeight="1" x14ac:dyDescent="0.3">
      <c r="E884" s="9"/>
      <c r="F884" s="9"/>
      <c r="H884" s="9"/>
      <c r="M884" s="9"/>
      <c r="N884" s="9"/>
      <c r="O884" s="9"/>
      <c r="P884" s="9"/>
      <c r="Q884" s="9"/>
      <c r="R884" s="9"/>
      <c r="S884" s="9"/>
    </row>
    <row r="885" spans="5:19" ht="15.75" customHeight="1" x14ac:dyDescent="0.3">
      <c r="E885" s="9"/>
      <c r="F885" s="9"/>
      <c r="H885" s="9"/>
      <c r="M885" s="9"/>
      <c r="N885" s="9"/>
      <c r="O885" s="9"/>
      <c r="P885" s="9"/>
      <c r="Q885" s="9"/>
      <c r="R885" s="9"/>
      <c r="S885" s="9"/>
    </row>
    <row r="886" spans="5:19" ht="15.75" customHeight="1" x14ac:dyDescent="0.3">
      <c r="E886" s="9"/>
      <c r="F886" s="9"/>
      <c r="H886" s="9"/>
      <c r="M886" s="9"/>
      <c r="N886" s="9"/>
      <c r="O886" s="9"/>
      <c r="P886" s="9"/>
      <c r="Q886" s="9"/>
      <c r="R886" s="9"/>
      <c r="S886" s="9"/>
    </row>
    <row r="887" spans="5:19" ht="15.75" customHeight="1" x14ac:dyDescent="0.3">
      <c r="E887" s="9"/>
      <c r="F887" s="9"/>
      <c r="H887" s="9"/>
      <c r="M887" s="9"/>
      <c r="N887" s="9"/>
      <c r="O887" s="9"/>
      <c r="P887" s="9"/>
      <c r="Q887" s="9"/>
      <c r="R887" s="9"/>
      <c r="S887" s="9"/>
    </row>
    <row r="888" spans="5:19" ht="15.75" customHeight="1" x14ac:dyDescent="0.3">
      <c r="E888" s="9"/>
      <c r="F888" s="9"/>
      <c r="H888" s="9"/>
      <c r="M888" s="9"/>
      <c r="N888" s="9"/>
      <c r="O888" s="9"/>
      <c r="P888" s="9"/>
      <c r="Q888" s="9"/>
      <c r="R888" s="9"/>
      <c r="S888" s="9"/>
    </row>
    <row r="889" spans="5:19" ht="15.75" customHeight="1" x14ac:dyDescent="0.3">
      <c r="E889" s="9"/>
      <c r="F889" s="9"/>
      <c r="H889" s="9"/>
      <c r="M889" s="9"/>
      <c r="N889" s="9"/>
      <c r="O889" s="9"/>
      <c r="P889" s="9"/>
      <c r="Q889" s="9"/>
      <c r="R889" s="9"/>
      <c r="S889" s="9"/>
    </row>
    <row r="890" spans="5:19" ht="15.75" customHeight="1" x14ac:dyDescent="0.3">
      <c r="E890" s="9"/>
      <c r="F890" s="9"/>
      <c r="H890" s="9"/>
      <c r="M890" s="9"/>
      <c r="N890" s="9"/>
      <c r="O890" s="9"/>
      <c r="P890" s="9"/>
      <c r="Q890" s="9"/>
      <c r="R890" s="9"/>
      <c r="S890" s="9"/>
    </row>
    <row r="891" spans="5:19" ht="15.75" customHeight="1" x14ac:dyDescent="0.3">
      <c r="E891" s="9"/>
      <c r="F891" s="9"/>
      <c r="H891" s="9"/>
      <c r="M891" s="9"/>
      <c r="N891" s="9"/>
      <c r="O891" s="9"/>
      <c r="P891" s="9"/>
      <c r="Q891" s="9"/>
      <c r="R891" s="9"/>
      <c r="S891" s="9"/>
    </row>
    <row r="892" spans="5:19" ht="15.75" customHeight="1" x14ac:dyDescent="0.3">
      <c r="E892" s="9"/>
      <c r="F892" s="9"/>
      <c r="H892" s="9"/>
      <c r="M892" s="9"/>
      <c r="N892" s="9"/>
      <c r="O892" s="9"/>
      <c r="P892" s="9"/>
      <c r="Q892" s="9"/>
      <c r="R892" s="9"/>
      <c r="S892" s="9"/>
    </row>
    <row r="893" spans="5:19" ht="15.75" customHeight="1" x14ac:dyDescent="0.3">
      <c r="E893" s="9"/>
      <c r="F893" s="9"/>
      <c r="H893" s="9"/>
      <c r="M893" s="9"/>
      <c r="N893" s="9"/>
      <c r="O893" s="9"/>
      <c r="P893" s="9"/>
      <c r="Q893" s="9"/>
      <c r="R893" s="9"/>
      <c r="S893" s="9"/>
    </row>
    <row r="894" spans="5:19" ht="15.75" customHeight="1" x14ac:dyDescent="0.3">
      <c r="E894" s="9"/>
      <c r="F894" s="9"/>
      <c r="H894" s="9"/>
      <c r="M894" s="9"/>
      <c r="N894" s="9"/>
      <c r="O894" s="9"/>
      <c r="P894" s="9"/>
      <c r="Q894" s="9"/>
      <c r="R894" s="9"/>
      <c r="S894" s="9"/>
    </row>
    <row r="895" spans="5:19" ht="15.75" customHeight="1" x14ac:dyDescent="0.3">
      <c r="E895" s="9"/>
      <c r="F895" s="9"/>
      <c r="H895" s="9"/>
      <c r="M895" s="9"/>
      <c r="N895" s="9"/>
      <c r="O895" s="9"/>
      <c r="P895" s="9"/>
      <c r="Q895" s="9"/>
      <c r="R895" s="9"/>
      <c r="S895" s="9"/>
    </row>
    <row r="896" spans="5:19" ht="15.75" customHeight="1" x14ac:dyDescent="0.3">
      <c r="E896" s="9"/>
      <c r="F896" s="9"/>
      <c r="H896" s="9"/>
      <c r="M896" s="9"/>
      <c r="N896" s="9"/>
      <c r="O896" s="9"/>
      <c r="P896" s="9"/>
      <c r="Q896" s="9"/>
      <c r="R896" s="9"/>
      <c r="S896" s="9"/>
    </row>
    <row r="897" spans="5:19" ht="15.75" customHeight="1" x14ac:dyDescent="0.3">
      <c r="E897" s="9"/>
      <c r="F897" s="9"/>
      <c r="H897" s="9"/>
      <c r="M897" s="9"/>
      <c r="N897" s="9"/>
      <c r="O897" s="9"/>
      <c r="P897" s="9"/>
      <c r="Q897" s="9"/>
      <c r="R897" s="9"/>
      <c r="S897" s="9"/>
    </row>
    <row r="898" spans="5:19" ht="15.75" customHeight="1" x14ac:dyDescent="0.3">
      <c r="E898" s="9"/>
      <c r="F898" s="9"/>
      <c r="H898" s="9"/>
      <c r="M898" s="9"/>
      <c r="N898" s="9"/>
      <c r="O898" s="9"/>
      <c r="P898" s="9"/>
      <c r="Q898" s="9"/>
      <c r="R898" s="9"/>
      <c r="S898" s="9"/>
    </row>
    <row r="899" spans="5:19" ht="15.75" customHeight="1" x14ac:dyDescent="0.3">
      <c r="E899" s="9"/>
      <c r="F899" s="9"/>
      <c r="H899" s="9"/>
      <c r="M899" s="9"/>
      <c r="N899" s="9"/>
      <c r="O899" s="9"/>
      <c r="P899" s="9"/>
      <c r="Q899" s="9"/>
      <c r="R899" s="9"/>
      <c r="S899" s="9"/>
    </row>
    <row r="900" spans="5:19" ht="15.75" customHeight="1" x14ac:dyDescent="0.3">
      <c r="E900" s="9"/>
      <c r="F900" s="9"/>
      <c r="H900" s="9"/>
      <c r="M900" s="9"/>
      <c r="N900" s="9"/>
      <c r="O900" s="9"/>
      <c r="P900" s="9"/>
      <c r="Q900" s="9"/>
      <c r="R900" s="9"/>
      <c r="S900" s="9"/>
    </row>
    <row r="901" spans="5:19" ht="15.75" customHeight="1" x14ac:dyDescent="0.3">
      <c r="E901" s="9"/>
      <c r="F901" s="9"/>
      <c r="H901" s="9"/>
      <c r="M901" s="9"/>
      <c r="N901" s="9"/>
      <c r="O901" s="9"/>
      <c r="P901" s="9"/>
      <c r="Q901" s="9"/>
      <c r="R901" s="9"/>
      <c r="S901" s="9"/>
    </row>
    <row r="902" spans="5:19" ht="15.75" customHeight="1" x14ac:dyDescent="0.3">
      <c r="E902" s="9"/>
      <c r="F902" s="9"/>
      <c r="H902" s="9"/>
      <c r="M902" s="9"/>
      <c r="N902" s="9"/>
      <c r="O902" s="9"/>
      <c r="P902" s="9"/>
      <c r="Q902" s="9"/>
      <c r="R902" s="9"/>
      <c r="S902" s="9"/>
    </row>
    <row r="903" spans="5:19" ht="15.75" customHeight="1" x14ac:dyDescent="0.3">
      <c r="E903" s="9"/>
      <c r="F903" s="9"/>
      <c r="H903" s="9"/>
      <c r="M903" s="9"/>
      <c r="N903" s="9"/>
      <c r="O903" s="9"/>
      <c r="P903" s="9"/>
      <c r="Q903" s="9"/>
      <c r="R903" s="9"/>
      <c r="S903" s="9"/>
    </row>
    <row r="904" spans="5:19" ht="15.75" customHeight="1" x14ac:dyDescent="0.3">
      <c r="E904" s="9"/>
      <c r="F904" s="9"/>
      <c r="H904" s="9"/>
      <c r="M904" s="9"/>
      <c r="N904" s="9"/>
      <c r="O904" s="9"/>
      <c r="P904" s="9"/>
      <c r="Q904" s="9"/>
      <c r="R904" s="9"/>
      <c r="S904" s="9"/>
    </row>
    <row r="905" spans="5:19" ht="15.75" customHeight="1" x14ac:dyDescent="0.3">
      <c r="E905" s="9"/>
      <c r="F905" s="9"/>
      <c r="H905" s="9"/>
      <c r="M905" s="9"/>
      <c r="N905" s="9"/>
      <c r="O905" s="9"/>
      <c r="P905" s="9"/>
      <c r="Q905" s="9"/>
      <c r="R905" s="9"/>
      <c r="S905" s="9"/>
    </row>
    <row r="906" spans="5:19" ht="15.75" customHeight="1" x14ac:dyDescent="0.3">
      <c r="E906" s="9"/>
      <c r="F906" s="9"/>
      <c r="H906" s="9"/>
      <c r="M906" s="9"/>
      <c r="N906" s="9"/>
      <c r="O906" s="9"/>
      <c r="P906" s="9"/>
      <c r="Q906" s="9"/>
      <c r="R906" s="9"/>
      <c r="S906" s="9"/>
    </row>
    <row r="907" spans="5:19" ht="15.75" customHeight="1" x14ac:dyDescent="0.3">
      <c r="E907" s="9"/>
      <c r="F907" s="9"/>
      <c r="H907" s="9"/>
      <c r="M907" s="9"/>
      <c r="N907" s="9"/>
      <c r="O907" s="9"/>
      <c r="P907" s="9"/>
      <c r="Q907" s="9"/>
      <c r="R907" s="9"/>
      <c r="S907" s="9"/>
    </row>
    <row r="908" spans="5:19" ht="15.75" customHeight="1" x14ac:dyDescent="0.3">
      <c r="E908" s="9"/>
      <c r="F908" s="9"/>
      <c r="H908" s="9"/>
      <c r="M908" s="9"/>
      <c r="N908" s="9"/>
      <c r="O908" s="9"/>
      <c r="P908" s="9"/>
      <c r="Q908" s="9"/>
      <c r="R908" s="9"/>
      <c r="S908" s="9"/>
    </row>
    <row r="909" spans="5:19" ht="15.75" customHeight="1" x14ac:dyDescent="0.3">
      <c r="E909" s="9"/>
      <c r="F909" s="9"/>
      <c r="H909" s="9"/>
      <c r="M909" s="9"/>
      <c r="N909" s="9"/>
      <c r="O909" s="9"/>
      <c r="P909" s="9"/>
      <c r="Q909" s="9"/>
      <c r="R909" s="9"/>
      <c r="S909" s="9"/>
    </row>
    <row r="910" spans="5:19" ht="15.75" customHeight="1" x14ac:dyDescent="0.3">
      <c r="E910" s="9"/>
      <c r="F910" s="9"/>
      <c r="H910" s="9"/>
      <c r="M910" s="9"/>
      <c r="N910" s="9"/>
      <c r="O910" s="9"/>
      <c r="P910" s="9"/>
      <c r="Q910" s="9"/>
      <c r="R910" s="9"/>
      <c r="S910" s="9"/>
    </row>
    <row r="911" spans="5:19" ht="15.75" customHeight="1" x14ac:dyDescent="0.3">
      <c r="E911" s="9"/>
      <c r="F911" s="9"/>
      <c r="H911" s="9"/>
      <c r="M911" s="9"/>
      <c r="N911" s="9"/>
      <c r="O911" s="9"/>
      <c r="P911" s="9"/>
      <c r="Q911" s="9"/>
      <c r="R911" s="9"/>
      <c r="S911" s="9"/>
    </row>
    <row r="912" spans="5:19" ht="15.75" customHeight="1" x14ac:dyDescent="0.3">
      <c r="E912" s="9"/>
      <c r="F912" s="9"/>
      <c r="H912" s="9"/>
      <c r="M912" s="9"/>
      <c r="N912" s="9"/>
      <c r="O912" s="9"/>
      <c r="P912" s="9"/>
      <c r="Q912" s="9"/>
      <c r="R912" s="9"/>
      <c r="S912" s="9"/>
    </row>
    <row r="913" spans="5:19" ht="15.75" customHeight="1" x14ac:dyDescent="0.3">
      <c r="E913" s="9"/>
      <c r="F913" s="9"/>
      <c r="H913" s="9"/>
      <c r="M913" s="9"/>
      <c r="N913" s="9"/>
      <c r="O913" s="9"/>
      <c r="P913" s="9"/>
      <c r="Q913" s="9"/>
      <c r="R913" s="9"/>
      <c r="S913" s="9"/>
    </row>
    <row r="914" spans="5:19" ht="15.75" customHeight="1" x14ac:dyDescent="0.3">
      <c r="E914" s="9"/>
      <c r="F914" s="9"/>
      <c r="H914" s="9"/>
      <c r="M914" s="9"/>
      <c r="N914" s="9"/>
      <c r="O914" s="9"/>
      <c r="P914" s="9"/>
      <c r="Q914" s="9"/>
      <c r="R914" s="9"/>
      <c r="S914" s="9"/>
    </row>
    <row r="915" spans="5:19" ht="15.75" customHeight="1" x14ac:dyDescent="0.3">
      <c r="E915" s="9"/>
      <c r="F915" s="9"/>
      <c r="H915" s="9"/>
      <c r="M915" s="9"/>
      <c r="N915" s="9"/>
      <c r="O915" s="9"/>
      <c r="P915" s="9"/>
      <c r="Q915" s="9"/>
      <c r="R915" s="9"/>
      <c r="S915" s="9"/>
    </row>
    <row r="916" spans="5:19" ht="15.75" customHeight="1" x14ac:dyDescent="0.3">
      <c r="E916" s="9"/>
      <c r="F916" s="9"/>
      <c r="H916" s="9"/>
      <c r="M916" s="9"/>
      <c r="N916" s="9"/>
      <c r="O916" s="9"/>
      <c r="P916" s="9"/>
      <c r="Q916" s="9"/>
      <c r="R916" s="9"/>
      <c r="S916" s="9"/>
    </row>
    <row r="917" spans="5:19" ht="15.75" customHeight="1" x14ac:dyDescent="0.3">
      <c r="E917" s="9"/>
      <c r="F917" s="9"/>
      <c r="H917" s="9"/>
      <c r="M917" s="9"/>
      <c r="N917" s="9"/>
      <c r="O917" s="9"/>
      <c r="P917" s="9"/>
      <c r="Q917" s="9"/>
      <c r="R917" s="9"/>
      <c r="S917" s="9"/>
    </row>
    <row r="918" spans="5:19" ht="15.75" customHeight="1" x14ac:dyDescent="0.3">
      <c r="E918" s="9"/>
      <c r="F918" s="9"/>
      <c r="H918" s="9"/>
      <c r="M918" s="9"/>
      <c r="N918" s="9"/>
      <c r="O918" s="9"/>
      <c r="P918" s="9"/>
      <c r="Q918" s="9"/>
      <c r="R918" s="9"/>
      <c r="S918" s="9"/>
    </row>
    <row r="919" spans="5:19" ht="15.75" customHeight="1" x14ac:dyDescent="0.3">
      <c r="E919" s="9"/>
      <c r="F919" s="9"/>
      <c r="H919" s="9"/>
      <c r="M919" s="9"/>
      <c r="N919" s="9"/>
      <c r="O919" s="9"/>
      <c r="P919" s="9"/>
      <c r="Q919" s="9"/>
      <c r="R919" s="9"/>
      <c r="S919" s="9"/>
    </row>
    <row r="920" spans="5:19" ht="15.75" customHeight="1" x14ac:dyDescent="0.3">
      <c r="E920" s="9"/>
      <c r="F920" s="9"/>
      <c r="H920" s="9"/>
      <c r="M920" s="9"/>
      <c r="N920" s="9"/>
      <c r="O920" s="9"/>
      <c r="P920" s="9"/>
      <c r="Q920" s="9"/>
      <c r="R920" s="9"/>
      <c r="S920" s="9"/>
    </row>
    <row r="921" spans="5:19" ht="15.75" customHeight="1" x14ac:dyDescent="0.3">
      <c r="E921" s="9"/>
      <c r="F921" s="9"/>
      <c r="H921" s="9"/>
      <c r="M921" s="9"/>
      <c r="N921" s="9"/>
      <c r="O921" s="9"/>
      <c r="P921" s="9"/>
      <c r="Q921" s="9"/>
      <c r="R921" s="9"/>
      <c r="S921" s="9"/>
    </row>
    <row r="922" spans="5:19" ht="15.75" customHeight="1" x14ac:dyDescent="0.3">
      <c r="E922" s="9"/>
      <c r="F922" s="9"/>
      <c r="H922" s="9"/>
      <c r="M922" s="9"/>
      <c r="N922" s="9"/>
      <c r="O922" s="9"/>
      <c r="P922" s="9"/>
      <c r="Q922" s="9"/>
      <c r="R922" s="9"/>
      <c r="S922" s="9"/>
    </row>
    <row r="923" spans="5:19" ht="15.75" customHeight="1" x14ac:dyDescent="0.3">
      <c r="E923" s="9"/>
      <c r="F923" s="9"/>
      <c r="H923" s="9"/>
      <c r="M923" s="9"/>
      <c r="N923" s="9"/>
      <c r="O923" s="9"/>
      <c r="P923" s="9"/>
      <c r="Q923" s="9"/>
      <c r="R923" s="9"/>
      <c r="S923" s="9"/>
    </row>
    <row r="924" spans="5:19" ht="15.75" customHeight="1" x14ac:dyDescent="0.3">
      <c r="E924" s="9"/>
      <c r="F924" s="9"/>
      <c r="H924" s="9"/>
      <c r="M924" s="9"/>
      <c r="N924" s="9"/>
      <c r="O924" s="9"/>
      <c r="P924" s="9"/>
      <c r="Q924" s="9"/>
      <c r="R924" s="9"/>
      <c r="S924" s="9"/>
    </row>
    <row r="925" spans="5:19" ht="15.75" customHeight="1" x14ac:dyDescent="0.3">
      <c r="E925" s="9"/>
      <c r="F925" s="9"/>
      <c r="H925" s="9"/>
      <c r="M925" s="9"/>
      <c r="N925" s="9"/>
      <c r="O925" s="9"/>
      <c r="P925" s="9"/>
      <c r="Q925" s="9"/>
      <c r="R925" s="9"/>
      <c r="S925" s="9"/>
    </row>
    <row r="926" spans="5:19" ht="15.75" customHeight="1" x14ac:dyDescent="0.3">
      <c r="E926" s="9"/>
      <c r="F926" s="9"/>
      <c r="H926" s="9"/>
      <c r="M926" s="9"/>
      <c r="N926" s="9"/>
      <c r="O926" s="9"/>
      <c r="P926" s="9"/>
      <c r="Q926" s="9"/>
      <c r="R926" s="9"/>
      <c r="S926" s="9"/>
    </row>
    <row r="927" spans="5:19" ht="15.75" customHeight="1" x14ac:dyDescent="0.3">
      <c r="E927" s="9"/>
      <c r="F927" s="9"/>
      <c r="H927" s="9"/>
      <c r="M927" s="9"/>
      <c r="N927" s="9"/>
      <c r="O927" s="9"/>
      <c r="P927" s="9"/>
      <c r="Q927" s="9"/>
      <c r="R927" s="9"/>
      <c r="S927" s="9"/>
    </row>
    <row r="928" spans="5:19" ht="15.75" customHeight="1" x14ac:dyDescent="0.3">
      <c r="E928" s="9"/>
      <c r="F928" s="9"/>
      <c r="H928" s="9"/>
      <c r="M928" s="9"/>
      <c r="N928" s="9"/>
      <c r="O928" s="9"/>
      <c r="P928" s="9"/>
      <c r="Q928" s="9"/>
      <c r="R928" s="9"/>
      <c r="S928" s="9"/>
    </row>
    <row r="929" spans="5:19" ht="15.75" customHeight="1" x14ac:dyDescent="0.3">
      <c r="E929" s="9"/>
      <c r="F929" s="9"/>
      <c r="H929" s="9"/>
      <c r="M929" s="9"/>
      <c r="N929" s="9"/>
      <c r="O929" s="9"/>
      <c r="P929" s="9"/>
      <c r="Q929" s="9"/>
      <c r="R929" s="9"/>
      <c r="S929" s="9"/>
    </row>
    <row r="930" spans="5:19" ht="15.75" customHeight="1" x14ac:dyDescent="0.3">
      <c r="E930" s="9"/>
      <c r="F930" s="9"/>
      <c r="H930" s="9"/>
      <c r="M930" s="9"/>
      <c r="N930" s="9"/>
      <c r="O930" s="9"/>
      <c r="P930" s="9"/>
      <c r="Q930" s="9"/>
      <c r="R930" s="9"/>
      <c r="S930" s="9"/>
    </row>
    <row r="931" spans="5:19" ht="15.75" customHeight="1" x14ac:dyDescent="0.3">
      <c r="E931" s="9"/>
      <c r="F931" s="9"/>
      <c r="H931" s="9"/>
      <c r="M931" s="9"/>
      <c r="N931" s="9"/>
      <c r="O931" s="9"/>
      <c r="P931" s="9"/>
      <c r="Q931" s="9"/>
      <c r="R931" s="9"/>
      <c r="S931" s="9"/>
    </row>
    <row r="932" spans="5:19" ht="15.75" customHeight="1" x14ac:dyDescent="0.3">
      <c r="E932" s="9"/>
      <c r="F932" s="9"/>
      <c r="H932" s="9"/>
      <c r="M932" s="9"/>
      <c r="N932" s="9"/>
      <c r="O932" s="9"/>
      <c r="P932" s="9"/>
      <c r="Q932" s="9"/>
      <c r="R932" s="9"/>
      <c r="S932" s="9"/>
    </row>
    <row r="933" spans="5:19" ht="15.75" customHeight="1" x14ac:dyDescent="0.3">
      <c r="E933" s="9"/>
      <c r="F933" s="9"/>
      <c r="H933" s="9"/>
      <c r="M933" s="9"/>
      <c r="N933" s="9"/>
      <c r="O933" s="9"/>
      <c r="P933" s="9"/>
      <c r="Q933" s="9"/>
      <c r="R933" s="9"/>
      <c r="S933" s="9"/>
    </row>
    <row r="934" spans="5:19" ht="15.75" customHeight="1" x14ac:dyDescent="0.3">
      <c r="E934" s="9"/>
      <c r="F934" s="9"/>
      <c r="H934" s="9"/>
      <c r="M934" s="9"/>
      <c r="N934" s="9"/>
      <c r="O934" s="9"/>
      <c r="P934" s="9"/>
      <c r="Q934" s="9"/>
      <c r="R934" s="9"/>
      <c r="S934" s="9"/>
    </row>
    <row r="935" spans="5:19" ht="15.75" customHeight="1" x14ac:dyDescent="0.3">
      <c r="E935" s="9"/>
      <c r="F935" s="9"/>
      <c r="H935" s="9"/>
      <c r="M935" s="9"/>
      <c r="N935" s="9"/>
      <c r="O935" s="9"/>
      <c r="P935" s="9"/>
      <c r="Q935" s="9"/>
      <c r="R935" s="9"/>
      <c r="S935" s="9"/>
    </row>
    <row r="936" spans="5:19" ht="15.75" customHeight="1" x14ac:dyDescent="0.3">
      <c r="E936" s="9"/>
      <c r="F936" s="9"/>
      <c r="H936" s="9"/>
      <c r="M936" s="9"/>
      <c r="N936" s="9"/>
      <c r="O936" s="9"/>
      <c r="P936" s="9"/>
      <c r="Q936" s="9"/>
      <c r="R936" s="9"/>
      <c r="S936" s="9"/>
    </row>
    <row r="937" spans="5:19" ht="15.75" customHeight="1" x14ac:dyDescent="0.3">
      <c r="E937" s="9"/>
      <c r="F937" s="9"/>
      <c r="H937" s="9"/>
      <c r="M937" s="9"/>
      <c r="N937" s="9"/>
      <c r="O937" s="9"/>
      <c r="P937" s="9"/>
      <c r="Q937" s="9"/>
      <c r="R937" s="9"/>
      <c r="S937" s="9"/>
    </row>
    <row r="938" spans="5:19" ht="15.75" customHeight="1" x14ac:dyDescent="0.3">
      <c r="E938" s="9"/>
      <c r="F938" s="9"/>
      <c r="H938" s="9"/>
      <c r="M938" s="9"/>
      <c r="N938" s="9"/>
      <c r="O938" s="9"/>
      <c r="P938" s="9"/>
      <c r="Q938" s="9"/>
      <c r="R938" s="9"/>
      <c r="S938" s="9"/>
    </row>
    <row r="939" spans="5:19" ht="15.75" customHeight="1" x14ac:dyDescent="0.3">
      <c r="E939" s="9"/>
      <c r="F939" s="9"/>
      <c r="H939" s="9"/>
      <c r="M939" s="9"/>
      <c r="N939" s="9"/>
      <c r="O939" s="9"/>
      <c r="P939" s="9"/>
      <c r="Q939" s="9"/>
      <c r="R939" s="9"/>
      <c r="S939" s="9"/>
    </row>
    <row r="940" spans="5:19" ht="15.75" customHeight="1" x14ac:dyDescent="0.3">
      <c r="E940" s="9"/>
      <c r="F940" s="9"/>
      <c r="H940" s="9"/>
      <c r="M940" s="9"/>
      <c r="N940" s="9"/>
      <c r="O940" s="9"/>
      <c r="P940" s="9"/>
      <c r="Q940" s="9"/>
      <c r="R940" s="9"/>
      <c r="S940" s="9"/>
    </row>
    <row r="941" spans="5:19" ht="15.75" customHeight="1" x14ac:dyDescent="0.3">
      <c r="E941" s="9"/>
      <c r="F941" s="9"/>
      <c r="H941" s="9"/>
      <c r="M941" s="9"/>
      <c r="N941" s="9"/>
      <c r="O941" s="9"/>
      <c r="P941" s="9"/>
      <c r="Q941" s="9"/>
      <c r="R941" s="9"/>
      <c r="S941" s="9"/>
    </row>
    <row r="942" spans="5:19" ht="15.75" customHeight="1" x14ac:dyDescent="0.3">
      <c r="E942" s="9"/>
      <c r="F942" s="9"/>
      <c r="H942" s="9"/>
      <c r="M942" s="9"/>
      <c r="N942" s="9"/>
      <c r="O942" s="9"/>
      <c r="P942" s="9"/>
      <c r="Q942" s="9"/>
      <c r="R942" s="9"/>
      <c r="S942" s="9"/>
    </row>
    <row r="943" spans="5:19" ht="15.75" customHeight="1" x14ac:dyDescent="0.3">
      <c r="E943" s="9"/>
      <c r="F943" s="9"/>
      <c r="H943" s="9"/>
      <c r="M943" s="9"/>
      <c r="N943" s="9"/>
      <c r="O943" s="9"/>
      <c r="P943" s="9"/>
      <c r="Q943" s="9"/>
      <c r="R943" s="9"/>
      <c r="S943" s="9"/>
    </row>
    <row r="944" spans="5:19" ht="15.75" customHeight="1" x14ac:dyDescent="0.3">
      <c r="E944" s="9"/>
      <c r="F944" s="9"/>
      <c r="H944" s="9"/>
      <c r="M944" s="9"/>
      <c r="N944" s="9"/>
      <c r="O944" s="9"/>
      <c r="P944" s="9"/>
      <c r="Q944" s="9"/>
      <c r="R944" s="9"/>
      <c r="S944" s="9"/>
    </row>
    <row r="945" spans="5:19" ht="15.75" customHeight="1" x14ac:dyDescent="0.3">
      <c r="E945" s="9"/>
      <c r="F945" s="9"/>
      <c r="H945" s="9"/>
      <c r="M945" s="9"/>
      <c r="N945" s="9"/>
      <c r="O945" s="9"/>
      <c r="P945" s="9"/>
      <c r="Q945" s="9"/>
      <c r="R945" s="9"/>
      <c r="S945" s="9"/>
    </row>
    <row r="946" spans="5:19" ht="15.75" customHeight="1" x14ac:dyDescent="0.3">
      <c r="E946" s="9"/>
      <c r="F946" s="9"/>
      <c r="H946" s="9"/>
      <c r="M946" s="9"/>
      <c r="N946" s="9"/>
      <c r="O946" s="9"/>
      <c r="P946" s="9"/>
      <c r="Q946" s="9"/>
      <c r="R946" s="9"/>
      <c r="S946" s="9"/>
    </row>
    <row r="947" spans="5:19" ht="15.75" customHeight="1" x14ac:dyDescent="0.3">
      <c r="E947" s="9"/>
      <c r="F947" s="9"/>
      <c r="H947" s="9"/>
      <c r="M947" s="9"/>
      <c r="N947" s="9"/>
      <c r="O947" s="9"/>
      <c r="P947" s="9"/>
      <c r="Q947" s="9"/>
      <c r="R947" s="9"/>
      <c r="S947" s="9"/>
    </row>
    <row r="948" spans="5:19" ht="15.75" customHeight="1" x14ac:dyDescent="0.3">
      <c r="E948" s="9"/>
      <c r="F948" s="9"/>
      <c r="H948" s="9"/>
      <c r="M948" s="9"/>
      <c r="N948" s="9"/>
      <c r="O948" s="9"/>
      <c r="P948" s="9"/>
      <c r="Q948" s="9"/>
      <c r="R948" s="9"/>
      <c r="S948" s="9"/>
    </row>
    <row r="949" spans="5:19" ht="15.75" customHeight="1" x14ac:dyDescent="0.3">
      <c r="E949" s="9"/>
      <c r="F949" s="9"/>
      <c r="H949" s="9"/>
      <c r="M949" s="9"/>
      <c r="N949" s="9"/>
      <c r="O949" s="9"/>
      <c r="P949" s="9"/>
      <c r="Q949" s="9"/>
      <c r="R949" s="9"/>
      <c r="S949" s="9"/>
    </row>
    <row r="950" spans="5:19" ht="15.75" customHeight="1" x14ac:dyDescent="0.3">
      <c r="E950" s="9"/>
      <c r="F950" s="9"/>
      <c r="H950" s="9"/>
      <c r="M950" s="9"/>
      <c r="N950" s="9"/>
      <c r="O950" s="9"/>
      <c r="P950" s="9"/>
      <c r="Q950" s="9"/>
      <c r="R950" s="9"/>
      <c r="S950" s="9"/>
    </row>
    <row r="951" spans="5:19" ht="15.75" customHeight="1" x14ac:dyDescent="0.3">
      <c r="E951" s="9"/>
      <c r="F951" s="9"/>
      <c r="H951" s="9"/>
      <c r="M951" s="9"/>
      <c r="N951" s="9"/>
      <c r="O951" s="9"/>
      <c r="P951" s="9"/>
      <c r="Q951" s="9"/>
      <c r="R951" s="9"/>
      <c r="S951" s="9"/>
    </row>
    <row r="952" spans="5:19" ht="15.75" customHeight="1" x14ac:dyDescent="0.3">
      <c r="E952" s="9"/>
      <c r="F952" s="9"/>
      <c r="H952" s="9"/>
      <c r="M952" s="9"/>
      <c r="N952" s="9"/>
      <c r="O952" s="9"/>
      <c r="P952" s="9"/>
      <c r="Q952" s="9"/>
      <c r="R952" s="9"/>
      <c r="S952" s="9"/>
    </row>
    <row r="953" spans="5:19" ht="15.75" customHeight="1" x14ac:dyDescent="0.3">
      <c r="E953" s="9"/>
      <c r="F953" s="9"/>
      <c r="H953" s="9"/>
      <c r="M953" s="9"/>
      <c r="N953" s="9"/>
      <c r="O953" s="9"/>
      <c r="P953" s="9"/>
      <c r="Q953" s="9"/>
      <c r="R953" s="9"/>
      <c r="S953" s="9"/>
    </row>
    <row r="954" spans="5:19" ht="15.75" customHeight="1" x14ac:dyDescent="0.3">
      <c r="E954" s="9"/>
      <c r="F954" s="9"/>
      <c r="H954" s="9"/>
      <c r="M954" s="9"/>
      <c r="N954" s="9"/>
      <c r="O954" s="9"/>
      <c r="P954" s="9"/>
      <c r="Q954" s="9"/>
      <c r="R954" s="9"/>
      <c r="S954" s="9"/>
    </row>
    <row r="955" spans="5:19" ht="15.75" customHeight="1" x14ac:dyDescent="0.3">
      <c r="E955" s="9"/>
      <c r="F955" s="9"/>
      <c r="H955" s="9"/>
      <c r="M955" s="9"/>
      <c r="N955" s="9"/>
      <c r="O955" s="9"/>
      <c r="P955" s="9"/>
      <c r="Q955" s="9"/>
      <c r="R955" s="9"/>
      <c r="S955" s="9"/>
    </row>
    <row r="956" spans="5:19" ht="15.75" customHeight="1" x14ac:dyDescent="0.3">
      <c r="E956" s="9"/>
      <c r="F956" s="9"/>
      <c r="H956" s="9"/>
      <c r="M956" s="9"/>
      <c r="N956" s="9"/>
      <c r="O956" s="9"/>
      <c r="P956" s="9"/>
      <c r="Q956" s="9"/>
      <c r="R956" s="9"/>
      <c r="S956" s="9"/>
    </row>
    <row r="957" spans="5:19" ht="15.75" customHeight="1" x14ac:dyDescent="0.3">
      <c r="E957" s="9"/>
      <c r="F957" s="9"/>
      <c r="H957" s="9"/>
      <c r="M957" s="9"/>
      <c r="N957" s="9"/>
      <c r="O957" s="9"/>
      <c r="P957" s="9"/>
      <c r="Q957" s="9"/>
      <c r="R957" s="9"/>
      <c r="S957" s="9"/>
    </row>
    <row r="958" spans="5:19" ht="15.75" customHeight="1" x14ac:dyDescent="0.3">
      <c r="E958" s="9"/>
      <c r="F958" s="9"/>
      <c r="H958" s="9"/>
      <c r="M958" s="9"/>
      <c r="N958" s="9"/>
      <c r="O958" s="9"/>
      <c r="P958" s="9"/>
      <c r="Q958" s="9"/>
      <c r="R958" s="9"/>
      <c r="S958" s="9"/>
    </row>
    <row r="959" spans="5:19" ht="15.75" customHeight="1" x14ac:dyDescent="0.3">
      <c r="E959" s="9"/>
      <c r="F959" s="9"/>
      <c r="H959" s="9"/>
      <c r="M959" s="9"/>
      <c r="N959" s="9"/>
      <c r="O959" s="9"/>
      <c r="P959" s="9"/>
      <c r="Q959" s="9"/>
      <c r="R959" s="9"/>
      <c r="S959" s="9"/>
    </row>
    <row r="960" spans="5:19" ht="15.75" customHeight="1" x14ac:dyDescent="0.3">
      <c r="E960" s="9"/>
      <c r="F960" s="9"/>
      <c r="H960" s="9"/>
      <c r="M960" s="9"/>
      <c r="N960" s="9"/>
      <c r="O960" s="9"/>
      <c r="P960" s="9"/>
      <c r="Q960" s="9"/>
      <c r="R960" s="9"/>
      <c r="S960" s="9"/>
    </row>
    <row r="961" spans="5:19" ht="15.75" customHeight="1" x14ac:dyDescent="0.3">
      <c r="E961" s="9"/>
      <c r="F961" s="9"/>
      <c r="H961" s="9"/>
      <c r="M961" s="9"/>
      <c r="N961" s="9"/>
      <c r="O961" s="9"/>
      <c r="P961" s="9"/>
      <c r="Q961" s="9"/>
      <c r="R961" s="9"/>
      <c r="S961" s="9"/>
    </row>
    <row r="962" spans="5:19" ht="15.75" customHeight="1" x14ac:dyDescent="0.3">
      <c r="E962" s="9"/>
      <c r="F962" s="9"/>
      <c r="H962" s="9"/>
      <c r="M962" s="9"/>
      <c r="N962" s="9"/>
      <c r="O962" s="9"/>
      <c r="P962" s="9"/>
      <c r="Q962" s="9"/>
      <c r="R962" s="9"/>
      <c r="S962" s="9"/>
    </row>
    <row r="963" spans="5:19" ht="15.75" customHeight="1" x14ac:dyDescent="0.3">
      <c r="E963" s="9"/>
      <c r="F963" s="9"/>
      <c r="H963" s="9"/>
      <c r="M963" s="9"/>
      <c r="N963" s="9"/>
      <c r="O963" s="9"/>
      <c r="P963" s="9"/>
      <c r="Q963" s="9"/>
      <c r="R963" s="9"/>
      <c r="S963" s="9"/>
    </row>
    <row r="964" spans="5:19" ht="15.75" customHeight="1" x14ac:dyDescent="0.3">
      <c r="E964" s="9"/>
      <c r="F964" s="9"/>
      <c r="H964" s="9"/>
      <c r="M964" s="9"/>
      <c r="N964" s="9"/>
      <c r="O964" s="9"/>
      <c r="P964" s="9"/>
      <c r="Q964" s="9"/>
      <c r="R964" s="9"/>
      <c r="S964" s="9"/>
    </row>
    <row r="965" spans="5:19" ht="15.75" customHeight="1" x14ac:dyDescent="0.3">
      <c r="E965" s="9"/>
      <c r="F965" s="9"/>
      <c r="H965" s="9"/>
      <c r="M965" s="9"/>
      <c r="N965" s="9"/>
      <c r="O965" s="9"/>
      <c r="P965" s="9"/>
      <c r="Q965" s="9"/>
      <c r="R965" s="9"/>
      <c r="S965" s="9"/>
    </row>
    <row r="966" spans="5:19" ht="15.75" customHeight="1" x14ac:dyDescent="0.3">
      <c r="E966" s="9"/>
      <c r="F966" s="9"/>
      <c r="H966" s="9"/>
      <c r="M966" s="9"/>
      <c r="N966" s="9"/>
      <c r="O966" s="9"/>
      <c r="P966" s="9"/>
      <c r="Q966" s="9"/>
      <c r="R966" s="9"/>
      <c r="S966" s="9"/>
    </row>
    <row r="967" spans="5:19" ht="15.75" customHeight="1" x14ac:dyDescent="0.3">
      <c r="E967" s="9"/>
      <c r="F967" s="9"/>
      <c r="H967" s="9"/>
      <c r="M967" s="9"/>
      <c r="N967" s="9"/>
      <c r="O967" s="9"/>
      <c r="P967" s="9"/>
      <c r="Q967" s="9"/>
      <c r="R967" s="9"/>
      <c r="S967" s="9"/>
    </row>
    <row r="968" spans="5:19" ht="15.75" customHeight="1" x14ac:dyDescent="0.3">
      <c r="E968" s="9"/>
      <c r="F968" s="9"/>
      <c r="H968" s="9"/>
      <c r="M968" s="9"/>
      <c r="N968" s="9"/>
      <c r="O968" s="9"/>
      <c r="P968" s="9"/>
      <c r="Q968" s="9"/>
      <c r="R968" s="9"/>
      <c r="S968" s="9"/>
    </row>
    <row r="969" spans="5:19" ht="15.75" customHeight="1" x14ac:dyDescent="0.3">
      <c r="E969" s="9"/>
      <c r="F969" s="9"/>
      <c r="H969" s="9"/>
      <c r="M969" s="9"/>
      <c r="N969" s="9"/>
      <c r="O969" s="9"/>
      <c r="P969" s="9"/>
      <c r="Q969" s="9"/>
      <c r="R969" s="9"/>
      <c r="S969" s="9"/>
    </row>
    <row r="970" spans="5:19" ht="15.75" customHeight="1" x14ac:dyDescent="0.3">
      <c r="E970" s="9"/>
      <c r="F970" s="9"/>
      <c r="H970" s="9"/>
      <c r="M970" s="9"/>
      <c r="N970" s="9"/>
      <c r="O970" s="9"/>
      <c r="P970" s="9"/>
      <c r="Q970" s="9"/>
      <c r="R970" s="9"/>
      <c r="S970" s="9"/>
    </row>
    <row r="971" spans="5:19" ht="15.75" customHeight="1" x14ac:dyDescent="0.3">
      <c r="E971" s="9"/>
      <c r="F971" s="9"/>
      <c r="H971" s="9"/>
      <c r="M971" s="9"/>
      <c r="N971" s="9"/>
      <c r="O971" s="9"/>
      <c r="P971" s="9"/>
      <c r="Q971" s="9"/>
      <c r="R971" s="9"/>
      <c r="S971" s="9"/>
    </row>
    <row r="972" spans="5:19" ht="15.75" customHeight="1" x14ac:dyDescent="0.3">
      <c r="E972" s="9"/>
      <c r="F972" s="9"/>
      <c r="H972" s="9"/>
      <c r="M972" s="9"/>
      <c r="N972" s="9"/>
      <c r="O972" s="9"/>
      <c r="P972" s="9"/>
      <c r="Q972" s="9"/>
      <c r="R972" s="9"/>
      <c r="S972" s="9"/>
    </row>
    <row r="973" spans="5:19" ht="15.75" customHeight="1" x14ac:dyDescent="0.3">
      <c r="E973" s="9"/>
      <c r="F973" s="9"/>
      <c r="H973" s="9"/>
      <c r="M973" s="9"/>
      <c r="N973" s="9"/>
      <c r="O973" s="9"/>
      <c r="P973" s="9"/>
      <c r="Q973" s="9"/>
      <c r="R973" s="9"/>
      <c r="S973" s="9"/>
    </row>
    <row r="974" spans="5:19" ht="15.75" customHeight="1" x14ac:dyDescent="0.3">
      <c r="E974" s="9"/>
      <c r="F974" s="9"/>
      <c r="H974" s="9"/>
      <c r="M974" s="9"/>
      <c r="N974" s="9"/>
      <c r="O974" s="9"/>
      <c r="P974" s="9"/>
      <c r="Q974" s="9"/>
      <c r="R974" s="9"/>
      <c r="S974" s="9"/>
    </row>
    <row r="975" spans="5:19" ht="15.75" customHeight="1" x14ac:dyDescent="0.3">
      <c r="E975" s="9"/>
      <c r="F975" s="9"/>
      <c r="H975" s="9"/>
      <c r="M975" s="9"/>
      <c r="N975" s="9"/>
      <c r="O975" s="9"/>
      <c r="P975" s="9"/>
      <c r="Q975" s="9"/>
      <c r="R975" s="9"/>
      <c r="S975" s="9"/>
    </row>
    <row r="976" spans="5:19" ht="15.75" customHeight="1" x14ac:dyDescent="0.3">
      <c r="E976" s="9"/>
      <c r="F976" s="9"/>
      <c r="H976" s="9"/>
      <c r="M976" s="9"/>
      <c r="N976" s="9"/>
      <c r="O976" s="9"/>
      <c r="P976" s="9"/>
      <c r="Q976" s="9"/>
      <c r="R976" s="9"/>
      <c r="S976" s="9"/>
    </row>
    <row r="977" spans="5:19" ht="15.75" customHeight="1" x14ac:dyDescent="0.3">
      <c r="E977" s="9"/>
      <c r="F977" s="9"/>
      <c r="H977" s="9"/>
      <c r="M977" s="9"/>
      <c r="N977" s="9"/>
      <c r="O977" s="9"/>
      <c r="P977" s="9"/>
      <c r="Q977" s="9"/>
      <c r="R977" s="9"/>
      <c r="S977" s="9"/>
    </row>
    <row r="978" spans="5:19" ht="15.75" customHeight="1" x14ac:dyDescent="0.3">
      <c r="E978" s="9"/>
      <c r="F978" s="9"/>
      <c r="H978" s="9"/>
      <c r="M978" s="9"/>
      <c r="N978" s="9"/>
      <c r="O978" s="9"/>
      <c r="P978" s="9"/>
      <c r="Q978" s="9"/>
      <c r="R978" s="9"/>
      <c r="S978" s="9"/>
    </row>
    <row r="979" spans="5:19" ht="15.75" customHeight="1" x14ac:dyDescent="0.3">
      <c r="E979" s="9"/>
      <c r="F979" s="9"/>
      <c r="H979" s="9"/>
      <c r="M979" s="9"/>
      <c r="N979" s="9"/>
      <c r="O979" s="9"/>
      <c r="P979" s="9"/>
      <c r="Q979" s="9"/>
      <c r="R979" s="9"/>
      <c r="S979" s="9"/>
    </row>
    <row r="980" spans="5:19" ht="15.75" customHeight="1" x14ac:dyDescent="0.3">
      <c r="E980" s="9"/>
      <c r="F980" s="9"/>
      <c r="H980" s="9"/>
      <c r="M980" s="9"/>
      <c r="N980" s="9"/>
      <c r="O980" s="9"/>
      <c r="P980" s="9"/>
      <c r="Q980" s="9"/>
      <c r="R980" s="9"/>
      <c r="S980" s="9"/>
    </row>
    <row r="981" spans="5:19" ht="15.75" customHeight="1" x14ac:dyDescent="0.3">
      <c r="E981" s="9"/>
      <c r="F981" s="9"/>
      <c r="H981" s="9"/>
      <c r="M981" s="9"/>
      <c r="N981" s="9"/>
      <c r="O981" s="9"/>
      <c r="P981" s="9"/>
      <c r="Q981" s="9"/>
      <c r="R981" s="9"/>
      <c r="S981" s="9"/>
    </row>
    <row r="982" spans="5:19" ht="15.75" customHeight="1" x14ac:dyDescent="0.3">
      <c r="E982" s="9"/>
      <c r="F982" s="9"/>
      <c r="H982" s="9"/>
      <c r="M982" s="9"/>
      <c r="N982" s="9"/>
      <c r="O982" s="9"/>
      <c r="P982" s="9"/>
      <c r="Q982" s="9"/>
      <c r="R982" s="9"/>
      <c r="S982" s="9"/>
    </row>
    <row r="983" spans="5:19" ht="15.75" customHeight="1" x14ac:dyDescent="0.3">
      <c r="E983" s="9"/>
      <c r="F983" s="9"/>
      <c r="H983" s="9"/>
      <c r="M983" s="9"/>
      <c r="N983" s="9"/>
      <c r="O983" s="9"/>
      <c r="P983" s="9"/>
      <c r="Q983" s="9"/>
      <c r="R983" s="9"/>
      <c r="S983" s="9"/>
    </row>
    <row r="984" spans="5:19" ht="15.75" customHeight="1" x14ac:dyDescent="0.3">
      <c r="E984" s="9"/>
      <c r="F984" s="9"/>
      <c r="H984" s="9"/>
      <c r="M984" s="9"/>
      <c r="N984" s="9"/>
      <c r="O984" s="9"/>
      <c r="P984" s="9"/>
      <c r="Q984" s="9"/>
      <c r="R984" s="9"/>
      <c r="S984" s="9"/>
    </row>
    <row r="985" spans="5:19" ht="15.75" customHeight="1" x14ac:dyDescent="0.3">
      <c r="E985" s="9"/>
      <c r="F985" s="9"/>
      <c r="H985" s="9"/>
      <c r="M985" s="9"/>
      <c r="N985" s="9"/>
      <c r="O985" s="9"/>
      <c r="P985" s="9"/>
      <c r="Q985" s="9"/>
      <c r="R985" s="9"/>
      <c r="S985" s="9"/>
    </row>
    <row r="986" spans="5:19" ht="15.75" customHeight="1" x14ac:dyDescent="0.3">
      <c r="E986" s="9"/>
      <c r="F986" s="9"/>
      <c r="H986" s="9"/>
      <c r="M986" s="9"/>
      <c r="N986" s="9"/>
      <c r="O986" s="9"/>
      <c r="P986" s="9"/>
      <c r="Q986" s="9"/>
      <c r="R986" s="9"/>
      <c r="S986" s="9"/>
    </row>
    <row r="987" spans="5:19" ht="15.75" customHeight="1" x14ac:dyDescent="0.3">
      <c r="E987" s="9"/>
      <c r="F987" s="9"/>
      <c r="H987" s="9"/>
      <c r="M987" s="9"/>
      <c r="N987" s="9"/>
      <c r="O987" s="9"/>
      <c r="P987" s="9"/>
      <c r="Q987" s="9"/>
      <c r="R987" s="9"/>
      <c r="S987" s="9"/>
    </row>
    <row r="988" spans="5:19" ht="15.75" customHeight="1" x14ac:dyDescent="0.3">
      <c r="E988" s="9"/>
      <c r="F988" s="9"/>
      <c r="H988" s="9"/>
      <c r="M988" s="9"/>
      <c r="N988" s="9"/>
      <c r="O988" s="9"/>
      <c r="P988" s="9"/>
      <c r="Q988" s="9"/>
      <c r="R988" s="9"/>
      <c r="S988" s="9"/>
    </row>
    <row r="989" spans="5:19" ht="15.75" customHeight="1" x14ac:dyDescent="0.3">
      <c r="E989" s="9"/>
      <c r="F989" s="9"/>
      <c r="H989" s="9"/>
      <c r="M989" s="9"/>
      <c r="N989" s="9"/>
      <c r="O989" s="9"/>
      <c r="P989" s="9"/>
      <c r="Q989" s="9"/>
      <c r="R989" s="9"/>
      <c r="S989" s="9"/>
    </row>
    <row r="990" spans="5:19" ht="15.75" customHeight="1" x14ac:dyDescent="0.3">
      <c r="E990" s="9"/>
      <c r="F990" s="9"/>
      <c r="H990" s="9"/>
      <c r="M990" s="9"/>
      <c r="N990" s="9"/>
      <c r="O990" s="9"/>
      <c r="P990" s="9"/>
      <c r="Q990" s="9"/>
      <c r="R990" s="9"/>
      <c r="S990" s="9"/>
    </row>
    <row r="991" spans="5:19" ht="15.75" customHeight="1" x14ac:dyDescent="0.3">
      <c r="E991" s="9"/>
      <c r="F991" s="9"/>
      <c r="H991" s="9"/>
      <c r="M991" s="9"/>
      <c r="N991" s="9"/>
      <c r="O991" s="9"/>
      <c r="P991" s="9"/>
      <c r="Q991" s="9"/>
      <c r="R991" s="9"/>
      <c r="S991" s="9"/>
    </row>
    <row r="992" spans="5:19" ht="15.75" customHeight="1" x14ac:dyDescent="0.3">
      <c r="E992" s="9"/>
      <c r="F992" s="9"/>
      <c r="H992" s="9"/>
      <c r="M992" s="9"/>
      <c r="N992" s="9"/>
      <c r="O992" s="9"/>
      <c r="P992" s="9"/>
      <c r="Q992" s="9"/>
      <c r="R992" s="9"/>
      <c r="S992" s="9"/>
    </row>
    <row r="993" spans="5:19" ht="15.75" customHeight="1" x14ac:dyDescent="0.3">
      <c r="E993" s="9"/>
      <c r="F993" s="9"/>
      <c r="H993" s="9"/>
      <c r="M993" s="9"/>
      <c r="N993" s="9"/>
      <c r="O993" s="9"/>
      <c r="P993" s="9"/>
      <c r="Q993" s="9"/>
      <c r="R993" s="9"/>
      <c r="S993" s="9"/>
    </row>
    <row r="994" spans="5:19" ht="15.75" customHeight="1" x14ac:dyDescent="0.3">
      <c r="E994" s="9"/>
      <c r="F994" s="9"/>
      <c r="H994" s="9"/>
      <c r="M994" s="9"/>
      <c r="N994" s="9"/>
      <c r="O994" s="9"/>
      <c r="P994" s="9"/>
      <c r="Q994" s="9"/>
      <c r="R994" s="9"/>
      <c r="S994" s="9"/>
    </row>
    <row r="995" spans="5:19" ht="15.75" customHeight="1" x14ac:dyDescent="0.3">
      <c r="E995" s="9"/>
      <c r="F995" s="9"/>
      <c r="H995" s="9"/>
      <c r="M995" s="9"/>
      <c r="N995" s="9"/>
      <c r="O995" s="9"/>
      <c r="P995" s="9"/>
      <c r="Q995" s="9"/>
      <c r="R995" s="9"/>
      <c r="S995" s="9"/>
    </row>
    <row r="996" spans="5:19" ht="15.75" customHeight="1" x14ac:dyDescent="0.3">
      <c r="E996" s="9"/>
      <c r="F996" s="9"/>
      <c r="H996" s="9"/>
      <c r="M996" s="9"/>
      <c r="N996" s="9"/>
      <c r="O996" s="9"/>
      <c r="P996" s="9"/>
      <c r="Q996" s="9"/>
      <c r="R996" s="9"/>
      <c r="S996" s="9"/>
    </row>
    <row r="997" spans="5:19" ht="15.75" customHeight="1" x14ac:dyDescent="0.3">
      <c r="E997" s="9"/>
      <c r="F997" s="9"/>
      <c r="H997" s="9"/>
      <c r="M997" s="9"/>
      <c r="N997" s="9"/>
      <c r="O997" s="9"/>
      <c r="P997" s="9"/>
      <c r="Q997" s="9"/>
      <c r="R997" s="9"/>
      <c r="S997" s="9"/>
    </row>
    <row r="998" spans="5:19" ht="15.75" customHeight="1" x14ac:dyDescent="0.3">
      <c r="E998" s="9"/>
      <c r="F998" s="9"/>
      <c r="H998" s="9"/>
      <c r="M998" s="9"/>
      <c r="N998" s="9"/>
      <c r="O998" s="9"/>
      <c r="P998" s="9"/>
      <c r="Q998" s="9"/>
      <c r="R998" s="9"/>
      <c r="S998" s="9"/>
    </row>
    <row r="999" spans="5:19" ht="15.75" customHeight="1" x14ac:dyDescent="0.3">
      <c r="E999" s="9"/>
      <c r="F999" s="9"/>
      <c r="H999" s="9"/>
      <c r="M999" s="9"/>
      <c r="N999" s="9"/>
      <c r="O999" s="9"/>
      <c r="P999" s="9"/>
      <c r="Q999" s="9"/>
      <c r="R999" s="9"/>
      <c r="S999" s="9"/>
    </row>
    <row r="1000" spans="5:19" ht="15.75" customHeight="1" x14ac:dyDescent="0.3">
      <c r="E1000" s="9"/>
      <c r="F1000" s="9"/>
      <c r="H1000" s="9"/>
      <c r="M1000" s="9"/>
      <c r="N1000" s="9"/>
      <c r="O1000" s="9"/>
      <c r="P1000" s="9"/>
      <c r="Q1000" s="9"/>
      <c r="R1000" s="9"/>
      <c r="S1000" s="9"/>
    </row>
    <row r="1001" spans="5:19" ht="15.75" customHeight="1" x14ac:dyDescent="0.3">
      <c r="E1001" s="9"/>
      <c r="F1001" s="9"/>
      <c r="H1001" s="9"/>
      <c r="M1001" s="9"/>
      <c r="N1001" s="9"/>
      <c r="O1001" s="9"/>
      <c r="P1001" s="9"/>
      <c r="Q1001" s="9"/>
      <c r="R1001" s="9"/>
      <c r="S1001" s="9"/>
    </row>
    <row r="1002" spans="5:19" ht="15.75" customHeight="1" x14ac:dyDescent="0.3">
      <c r="E1002" s="9"/>
      <c r="F1002" s="9"/>
      <c r="H1002" s="9"/>
      <c r="M1002" s="9"/>
      <c r="N1002" s="9"/>
      <c r="O1002" s="9"/>
      <c r="P1002" s="9"/>
      <c r="Q1002" s="9"/>
      <c r="R1002" s="9"/>
      <c r="S1002" s="9"/>
    </row>
    <row r="1003" spans="5:19" ht="15.75" customHeight="1" x14ac:dyDescent="0.3">
      <c r="E1003" s="9"/>
      <c r="F1003" s="9"/>
      <c r="H1003" s="9"/>
      <c r="M1003" s="9"/>
      <c r="N1003" s="9"/>
      <c r="O1003" s="9"/>
      <c r="P1003" s="9"/>
      <c r="Q1003" s="9"/>
      <c r="R1003" s="9"/>
      <c r="S1003" s="9"/>
    </row>
    <row r="1004" spans="5:19" ht="15.75" customHeight="1" x14ac:dyDescent="0.3">
      <c r="E1004" s="9"/>
      <c r="F1004" s="9"/>
      <c r="H1004" s="9"/>
      <c r="M1004" s="9"/>
      <c r="N1004" s="9"/>
      <c r="O1004" s="9"/>
      <c r="P1004" s="9"/>
      <c r="Q1004" s="9"/>
      <c r="R1004" s="9"/>
      <c r="S1004" s="9"/>
    </row>
    <row r="1005" spans="5:19" ht="15.75" customHeight="1" x14ac:dyDescent="0.3">
      <c r="E1005" s="9"/>
      <c r="F1005" s="9"/>
      <c r="H1005" s="9"/>
      <c r="M1005" s="9"/>
      <c r="N1005" s="9"/>
      <c r="O1005" s="9"/>
      <c r="P1005" s="9"/>
      <c r="Q1005" s="9"/>
      <c r="R1005" s="9"/>
      <c r="S1005" s="9"/>
    </row>
    <row r="1006" spans="5:19" ht="15.75" customHeight="1" x14ac:dyDescent="0.3">
      <c r="E1006" s="9"/>
      <c r="F1006" s="9"/>
      <c r="H1006" s="9"/>
      <c r="M1006" s="9"/>
      <c r="N1006" s="9"/>
      <c r="O1006" s="9"/>
      <c r="P1006" s="9"/>
      <c r="Q1006" s="9"/>
      <c r="R1006" s="9"/>
      <c r="S1006" s="9"/>
    </row>
    <row r="1007" spans="5:19" ht="15.75" customHeight="1" x14ac:dyDescent="0.3">
      <c r="E1007" s="9"/>
      <c r="F1007" s="9"/>
      <c r="H1007" s="9"/>
      <c r="M1007" s="9"/>
      <c r="N1007" s="9"/>
      <c r="O1007" s="9"/>
      <c r="P1007" s="9"/>
      <c r="Q1007" s="9"/>
      <c r="R1007" s="9"/>
      <c r="S1007" s="9"/>
    </row>
    <row r="1008" spans="5:19" ht="15.75" customHeight="1" x14ac:dyDescent="0.3">
      <c r="E1008" s="9"/>
      <c r="F1008" s="9"/>
      <c r="H1008" s="9"/>
      <c r="M1008" s="9"/>
      <c r="N1008" s="9"/>
      <c r="O1008" s="9"/>
      <c r="P1008" s="9"/>
      <c r="Q1008" s="9"/>
      <c r="R1008" s="9"/>
      <c r="S1008" s="9"/>
    </row>
    <row r="1009" spans="5:19" ht="15.75" customHeight="1" x14ac:dyDescent="0.3">
      <c r="E1009" s="9"/>
      <c r="F1009" s="9"/>
      <c r="H1009" s="9"/>
      <c r="M1009" s="9"/>
      <c r="N1009" s="9"/>
      <c r="O1009" s="9"/>
      <c r="P1009" s="9"/>
      <c r="Q1009" s="9"/>
      <c r="R1009" s="9"/>
      <c r="S1009" s="9"/>
    </row>
    <row r="1010" spans="5:19" ht="15.75" customHeight="1" x14ac:dyDescent="0.3">
      <c r="E1010" s="9"/>
      <c r="F1010" s="9"/>
      <c r="H1010" s="9"/>
      <c r="M1010" s="9"/>
      <c r="N1010" s="9"/>
      <c r="O1010" s="9"/>
      <c r="P1010" s="9"/>
      <c r="Q1010" s="9"/>
      <c r="R1010" s="9"/>
      <c r="S1010" s="9"/>
    </row>
    <row r="1011" spans="5:19" ht="15.75" customHeight="1" x14ac:dyDescent="0.3">
      <c r="E1011" s="9"/>
      <c r="F1011" s="9"/>
      <c r="H1011" s="9"/>
      <c r="M1011" s="9"/>
      <c r="N1011" s="9"/>
      <c r="O1011" s="9"/>
      <c r="P1011" s="9"/>
      <c r="Q1011" s="9"/>
      <c r="R1011" s="9"/>
      <c r="S1011" s="9"/>
    </row>
    <row r="1012" spans="5:19" ht="15.75" customHeight="1" x14ac:dyDescent="0.3">
      <c r="E1012" s="9"/>
      <c r="F1012" s="9"/>
      <c r="H1012" s="9"/>
      <c r="M1012" s="9"/>
      <c r="N1012" s="9"/>
      <c r="O1012" s="9"/>
      <c r="P1012" s="9"/>
      <c r="Q1012" s="9"/>
      <c r="R1012" s="9"/>
      <c r="S1012" s="9"/>
    </row>
    <row r="1013" spans="5:19" ht="15.75" customHeight="1" x14ac:dyDescent="0.3">
      <c r="E1013" s="9"/>
      <c r="F1013" s="9"/>
      <c r="H1013" s="9"/>
      <c r="M1013" s="9"/>
      <c r="N1013" s="9"/>
      <c r="O1013" s="9"/>
      <c r="P1013" s="9"/>
      <c r="Q1013" s="9"/>
      <c r="R1013" s="9"/>
      <c r="S1013" s="9"/>
    </row>
    <row r="1014" spans="5:19" ht="15.75" customHeight="1" x14ac:dyDescent="0.3">
      <c r="E1014" s="9"/>
      <c r="F1014" s="9"/>
      <c r="H1014" s="9"/>
      <c r="M1014" s="9"/>
      <c r="N1014" s="9"/>
      <c r="O1014" s="9"/>
      <c r="P1014" s="9"/>
      <c r="Q1014" s="9"/>
      <c r="R1014" s="9"/>
      <c r="S1014" s="9"/>
    </row>
    <row r="1015" spans="5:19" ht="15.75" customHeight="1" x14ac:dyDescent="0.3">
      <c r="E1015" s="9"/>
      <c r="F1015" s="9"/>
      <c r="H1015" s="9"/>
      <c r="M1015" s="9"/>
      <c r="N1015" s="9"/>
      <c r="O1015" s="9"/>
      <c r="P1015" s="9"/>
      <c r="Q1015" s="9"/>
      <c r="R1015" s="9"/>
      <c r="S1015" s="9"/>
    </row>
    <row r="1016" spans="5:19" ht="15.75" customHeight="1" x14ac:dyDescent="0.3">
      <c r="E1016" s="9"/>
      <c r="F1016" s="9"/>
      <c r="H1016" s="9"/>
      <c r="M1016" s="9"/>
      <c r="N1016" s="9"/>
      <c r="O1016" s="9"/>
      <c r="P1016" s="9"/>
      <c r="Q1016" s="9"/>
      <c r="R1016" s="9"/>
      <c r="S1016" s="9"/>
    </row>
    <row r="1017" spans="5:19" ht="15.75" customHeight="1" x14ac:dyDescent="0.3">
      <c r="E1017" s="9"/>
      <c r="F1017" s="9"/>
      <c r="H1017" s="9"/>
      <c r="M1017" s="9"/>
      <c r="N1017" s="9"/>
      <c r="O1017" s="9"/>
      <c r="P1017" s="9"/>
      <c r="Q1017" s="9"/>
      <c r="R1017" s="9"/>
      <c r="S1017" s="9"/>
    </row>
    <row r="1018" spans="5:19" ht="15.75" customHeight="1" x14ac:dyDescent="0.3">
      <c r="E1018" s="9"/>
      <c r="F1018" s="9"/>
      <c r="H1018" s="9"/>
      <c r="M1018" s="9"/>
      <c r="N1018" s="9"/>
      <c r="O1018" s="9"/>
      <c r="P1018" s="9"/>
      <c r="Q1018" s="9"/>
      <c r="R1018" s="9"/>
      <c r="S1018" s="9"/>
    </row>
    <row r="1019" spans="5:19" ht="15.75" customHeight="1" x14ac:dyDescent="0.3">
      <c r="E1019" s="9"/>
      <c r="F1019" s="9"/>
      <c r="H1019" s="9"/>
      <c r="M1019" s="9"/>
      <c r="N1019" s="9"/>
      <c r="O1019" s="9"/>
      <c r="P1019" s="9"/>
      <c r="Q1019" s="9"/>
      <c r="R1019" s="9"/>
      <c r="S1019" s="9"/>
    </row>
    <row r="1020" spans="5:19" ht="15.75" customHeight="1" x14ac:dyDescent="0.3">
      <c r="E1020" s="9"/>
      <c r="F1020" s="9"/>
      <c r="H1020" s="9"/>
      <c r="M1020" s="9"/>
      <c r="N1020" s="9"/>
      <c r="O1020" s="9"/>
      <c r="P1020" s="9"/>
      <c r="Q1020" s="9"/>
      <c r="R1020" s="9"/>
      <c r="S1020" s="9"/>
    </row>
    <row r="1021" spans="5:19" ht="15.75" customHeight="1" x14ac:dyDescent="0.3">
      <c r="E1021" s="9"/>
      <c r="F1021" s="9"/>
      <c r="H1021" s="9"/>
      <c r="M1021" s="9"/>
      <c r="N1021" s="9"/>
      <c r="O1021" s="9"/>
      <c r="P1021" s="9"/>
      <c r="Q1021" s="9"/>
      <c r="R1021" s="9"/>
      <c r="S1021" s="9"/>
    </row>
    <row r="1022" spans="5:19" ht="15.75" customHeight="1" x14ac:dyDescent="0.3">
      <c r="E1022" s="9"/>
      <c r="F1022" s="9"/>
      <c r="H1022" s="9"/>
      <c r="M1022" s="9"/>
      <c r="N1022" s="9"/>
      <c r="O1022" s="9"/>
      <c r="P1022" s="9"/>
      <c r="Q1022" s="9"/>
      <c r="R1022" s="9"/>
      <c r="S1022" s="9"/>
    </row>
    <row r="1023" spans="5:19" ht="15.75" customHeight="1" x14ac:dyDescent="0.3">
      <c r="E1023" s="9"/>
      <c r="F1023" s="9"/>
      <c r="H1023" s="9"/>
      <c r="M1023" s="9"/>
      <c r="N1023" s="9"/>
      <c r="O1023" s="9"/>
      <c r="P1023" s="9"/>
      <c r="Q1023" s="9"/>
      <c r="R1023" s="9"/>
      <c r="S1023" s="9"/>
    </row>
    <row r="1024" spans="5:19" ht="15.75" customHeight="1" x14ac:dyDescent="0.3">
      <c r="E1024" s="9"/>
      <c r="F1024" s="9"/>
      <c r="H1024" s="9"/>
      <c r="M1024" s="9"/>
      <c r="N1024" s="9"/>
      <c r="O1024" s="9"/>
      <c r="P1024" s="9"/>
      <c r="Q1024" s="9"/>
      <c r="R1024" s="9"/>
      <c r="S1024" s="9"/>
    </row>
    <row r="1025" spans="5:19" ht="15.75" customHeight="1" x14ac:dyDescent="0.3">
      <c r="E1025" s="9"/>
      <c r="F1025" s="9"/>
      <c r="H1025" s="9"/>
      <c r="M1025" s="9"/>
      <c r="N1025" s="9"/>
      <c r="O1025" s="9"/>
      <c r="P1025" s="9"/>
      <c r="Q1025" s="9"/>
      <c r="R1025" s="9"/>
      <c r="S1025" s="9"/>
    </row>
    <row r="1026" spans="5:19" ht="15.75" customHeight="1" x14ac:dyDescent="0.3">
      <c r="E1026" s="9"/>
      <c r="F1026" s="9"/>
      <c r="H1026" s="9"/>
      <c r="M1026" s="9"/>
      <c r="N1026" s="9"/>
      <c r="O1026" s="9"/>
      <c r="P1026" s="9"/>
      <c r="Q1026" s="9"/>
      <c r="R1026" s="9"/>
      <c r="S1026" s="9"/>
    </row>
    <row r="1027" spans="5:19" ht="15.75" customHeight="1" x14ac:dyDescent="0.3">
      <c r="E1027" s="9"/>
      <c r="F1027" s="9"/>
      <c r="H1027" s="9"/>
      <c r="M1027" s="9"/>
      <c r="N1027" s="9"/>
      <c r="O1027" s="9"/>
      <c r="P1027" s="9"/>
      <c r="Q1027" s="9"/>
      <c r="R1027" s="9"/>
      <c r="S1027" s="9"/>
    </row>
    <row r="1028" spans="5:19" ht="15.75" customHeight="1" x14ac:dyDescent="0.3">
      <c r="E1028" s="9"/>
      <c r="F1028" s="9"/>
      <c r="H1028" s="9"/>
      <c r="M1028" s="9"/>
      <c r="N1028" s="9"/>
      <c r="O1028" s="9"/>
      <c r="P1028" s="9"/>
      <c r="Q1028" s="9"/>
      <c r="R1028" s="9"/>
      <c r="S1028" s="9"/>
    </row>
    <row r="1029" spans="5:19" ht="15.75" customHeight="1" x14ac:dyDescent="0.3">
      <c r="E1029" s="9"/>
      <c r="F1029" s="9"/>
      <c r="H1029" s="9"/>
      <c r="M1029" s="9"/>
      <c r="N1029" s="9"/>
      <c r="O1029" s="9"/>
      <c r="P1029" s="9"/>
      <c r="Q1029" s="9"/>
      <c r="R1029" s="9"/>
      <c r="S1029" s="9"/>
    </row>
    <row r="1030" spans="5:19" ht="15.75" customHeight="1" x14ac:dyDescent="0.3">
      <c r="E1030" s="9"/>
      <c r="F1030" s="9"/>
      <c r="H1030" s="9"/>
      <c r="M1030" s="9"/>
      <c r="N1030" s="9"/>
      <c r="O1030" s="9"/>
      <c r="P1030" s="9"/>
      <c r="Q1030" s="9"/>
      <c r="R1030" s="9"/>
      <c r="S1030" s="9"/>
    </row>
    <row r="1031" spans="5:19" ht="15.75" customHeight="1" x14ac:dyDescent="0.3">
      <c r="E1031" s="9"/>
      <c r="F1031" s="9"/>
      <c r="H1031" s="9"/>
      <c r="M1031" s="9"/>
      <c r="N1031" s="9"/>
      <c r="O1031" s="9"/>
      <c r="P1031" s="9"/>
      <c r="Q1031" s="9"/>
      <c r="R1031" s="9"/>
      <c r="S1031" s="9"/>
    </row>
    <row r="1032" spans="5:19" ht="15.75" customHeight="1" x14ac:dyDescent="0.3">
      <c r="E1032" s="9"/>
      <c r="F1032" s="9"/>
      <c r="H1032" s="9"/>
      <c r="M1032" s="9"/>
      <c r="N1032" s="9"/>
      <c r="O1032" s="9"/>
      <c r="P1032" s="9"/>
      <c r="Q1032" s="9"/>
      <c r="R1032" s="9"/>
      <c r="S1032" s="9"/>
    </row>
    <row r="1033" spans="5:19" ht="15.75" customHeight="1" x14ac:dyDescent="0.3">
      <c r="E1033" s="9"/>
      <c r="F1033" s="9"/>
      <c r="H1033" s="9"/>
      <c r="M1033" s="9"/>
      <c r="N1033" s="9"/>
      <c r="O1033" s="9"/>
      <c r="P1033" s="9"/>
      <c r="Q1033" s="9"/>
      <c r="R1033" s="9"/>
      <c r="S1033" s="9"/>
    </row>
    <row r="1034" spans="5:19" ht="15.75" customHeight="1" x14ac:dyDescent="0.3">
      <c r="E1034" s="9"/>
      <c r="F1034" s="9"/>
      <c r="H1034" s="9"/>
      <c r="M1034" s="9"/>
      <c r="N1034" s="9"/>
      <c r="O1034" s="9"/>
      <c r="P1034" s="9"/>
      <c r="Q1034" s="9"/>
      <c r="R1034" s="9"/>
      <c r="S1034" s="9"/>
    </row>
    <row r="1035" spans="5:19" ht="15.75" customHeight="1" x14ac:dyDescent="0.3">
      <c r="E1035" s="9"/>
      <c r="F1035" s="9"/>
      <c r="H1035" s="9"/>
      <c r="M1035" s="9"/>
      <c r="N1035" s="9"/>
      <c r="O1035" s="9"/>
      <c r="P1035" s="9"/>
      <c r="Q1035" s="9"/>
      <c r="R1035" s="9"/>
      <c r="S1035" s="9"/>
    </row>
    <row r="1036" spans="5:19" ht="15.75" customHeight="1" x14ac:dyDescent="0.3">
      <c r="E1036" s="9"/>
      <c r="F1036" s="9"/>
      <c r="H1036" s="9"/>
      <c r="M1036" s="9"/>
      <c r="N1036" s="9"/>
      <c r="O1036" s="9"/>
      <c r="P1036" s="9"/>
      <c r="Q1036" s="9"/>
      <c r="R1036" s="9"/>
      <c r="S1036" s="9"/>
    </row>
    <row r="1037" spans="5:19" ht="15.75" customHeight="1" x14ac:dyDescent="0.3">
      <c r="E1037" s="9"/>
      <c r="F1037" s="9"/>
      <c r="H1037" s="9"/>
      <c r="M1037" s="9"/>
      <c r="N1037" s="9"/>
      <c r="O1037" s="9"/>
      <c r="P1037" s="9"/>
      <c r="Q1037" s="9"/>
      <c r="R1037" s="9"/>
      <c r="S1037" s="9"/>
    </row>
    <row r="1038" spans="5:19" ht="15.75" customHeight="1" x14ac:dyDescent="0.3">
      <c r="E1038" s="9"/>
      <c r="F1038" s="9"/>
      <c r="H1038" s="9"/>
      <c r="M1038" s="9"/>
      <c r="N1038" s="9"/>
      <c r="O1038" s="9"/>
      <c r="P1038" s="9"/>
      <c r="Q1038" s="9"/>
      <c r="R1038" s="9"/>
      <c r="S1038" s="9"/>
    </row>
    <row r="1039" spans="5:19" ht="15.75" customHeight="1" x14ac:dyDescent="0.3">
      <c r="E1039" s="9"/>
      <c r="F1039" s="9"/>
      <c r="H1039" s="9"/>
      <c r="M1039" s="9"/>
      <c r="N1039" s="9"/>
      <c r="O1039" s="9"/>
      <c r="P1039" s="9"/>
      <c r="Q1039" s="9"/>
      <c r="R1039" s="9"/>
      <c r="S1039" s="9"/>
    </row>
    <row r="1040" spans="5:19" ht="15.75" customHeight="1" x14ac:dyDescent="0.3">
      <c r="E1040" s="9"/>
      <c r="F1040" s="9"/>
      <c r="H1040" s="9"/>
      <c r="M1040" s="9"/>
      <c r="N1040" s="9"/>
      <c r="O1040" s="9"/>
      <c r="P1040" s="9"/>
      <c r="Q1040" s="9"/>
      <c r="R1040" s="9"/>
      <c r="S1040" s="9"/>
    </row>
    <row r="1041" spans="5:19" ht="15.75" customHeight="1" x14ac:dyDescent="0.3">
      <c r="E1041" s="9"/>
      <c r="F1041" s="9"/>
      <c r="H1041" s="9"/>
      <c r="M1041" s="9"/>
      <c r="N1041" s="9"/>
      <c r="O1041" s="9"/>
      <c r="P1041" s="9"/>
      <c r="Q1041" s="9"/>
      <c r="R1041" s="9"/>
      <c r="S1041" s="9"/>
    </row>
    <row r="1042" spans="5:19" ht="15.75" customHeight="1" x14ac:dyDescent="0.3">
      <c r="E1042" s="9"/>
      <c r="F1042" s="9"/>
      <c r="H1042" s="9"/>
      <c r="M1042" s="9"/>
      <c r="N1042" s="9"/>
      <c r="O1042" s="9"/>
      <c r="P1042" s="9"/>
      <c r="Q1042" s="9"/>
      <c r="R1042" s="9"/>
      <c r="S1042" s="9"/>
    </row>
    <row r="1043" spans="5:19" ht="15.75" customHeight="1" x14ac:dyDescent="0.3">
      <c r="E1043" s="9"/>
      <c r="F1043" s="9"/>
      <c r="H1043" s="9"/>
      <c r="M1043" s="9"/>
      <c r="N1043" s="9"/>
      <c r="O1043" s="9"/>
      <c r="P1043" s="9"/>
      <c r="Q1043" s="9"/>
      <c r="R1043" s="9"/>
      <c r="S1043" s="9"/>
    </row>
    <row r="1044" spans="5:19" ht="15.75" customHeight="1" x14ac:dyDescent="0.3">
      <c r="E1044" s="9"/>
      <c r="F1044" s="9"/>
      <c r="H1044" s="9"/>
      <c r="M1044" s="9"/>
      <c r="N1044" s="9"/>
      <c r="O1044" s="9"/>
      <c r="P1044" s="9"/>
      <c r="Q1044" s="9"/>
      <c r="R1044" s="9"/>
      <c r="S1044" s="9"/>
    </row>
    <row r="1045" spans="5:19" ht="15.75" customHeight="1" x14ac:dyDescent="0.3">
      <c r="E1045" s="9"/>
      <c r="F1045" s="9"/>
      <c r="H1045" s="9"/>
      <c r="M1045" s="9"/>
      <c r="N1045" s="9"/>
      <c r="O1045" s="9"/>
      <c r="P1045" s="9"/>
      <c r="Q1045" s="9"/>
      <c r="R1045" s="9"/>
      <c r="S1045" s="9"/>
    </row>
    <row r="1046" spans="5:19" ht="15.75" customHeight="1" x14ac:dyDescent="0.3">
      <c r="E1046" s="9"/>
      <c r="F1046" s="9"/>
      <c r="H1046" s="9"/>
      <c r="M1046" s="9"/>
      <c r="N1046" s="9"/>
      <c r="O1046" s="9"/>
      <c r="P1046" s="9"/>
      <c r="Q1046" s="9"/>
      <c r="R1046" s="9"/>
      <c r="S1046" s="9"/>
    </row>
    <row r="1047" spans="5:19" ht="15.75" customHeight="1" x14ac:dyDescent="0.3">
      <c r="E1047" s="9"/>
      <c r="F1047" s="9"/>
      <c r="H1047" s="9"/>
      <c r="M1047" s="9"/>
      <c r="N1047" s="9"/>
      <c r="O1047" s="9"/>
      <c r="P1047" s="9"/>
      <c r="Q1047" s="9"/>
      <c r="R1047" s="9"/>
      <c r="S1047" s="9"/>
    </row>
    <row r="1048" spans="5:19" ht="15.75" customHeight="1" x14ac:dyDescent="0.3">
      <c r="E1048" s="9"/>
      <c r="F1048" s="9"/>
      <c r="H1048" s="9"/>
      <c r="M1048" s="9"/>
      <c r="N1048" s="9"/>
      <c r="O1048" s="9"/>
      <c r="P1048" s="9"/>
      <c r="Q1048" s="9"/>
      <c r="R1048" s="9"/>
      <c r="S1048" s="9"/>
    </row>
    <row r="1049" spans="5:19" ht="15.75" customHeight="1" x14ac:dyDescent="0.3">
      <c r="E1049" s="9"/>
      <c r="F1049" s="9"/>
      <c r="H1049" s="9"/>
      <c r="M1049" s="9"/>
      <c r="N1049" s="9"/>
      <c r="O1049" s="9"/>
      <c r="P1049" s="9"/>
      <c r="Q1049" s="9"/>
      <c r="R1049" s="9"/>
      <c r="S1049" s="9"/>
    </row>
    <row r="1050" spans="5:19" ht="15.75" customHeight="1" x14ac:dyDescent="0.3">
      <c r="E1050" s="9"/>
      <c r="F1050" s="9"/>
      <c r="H1050" s="9"/>
      <c r="M1050" s="9"/>
      <c r="N1050" s="9"/>
      <c r="O1050" s="9"/>
      <c r="P1050" s="9"/>
      <c r="Q1050" s="9"/>
      <c r="R1050" s="9"/>
      <c r="S1050" s="9"/>
    </row>
    <row r="1051" spans="5:19" ht="15.75" customHeight="1" x14ac:dyDescent="0.3">
      <c r="E1051" s="9"/>
      <c r="F1051" s="9"/>
      <c r="H1051" s="9"/>
      <c r="M1051" s="9"/>
      <c r="N1051" s="9"/>
      <c r="O1051" s="9"/>
      <c r="P1051" s="9"/>
      <c r="Q1051" s="9"/>
      <c r="R1051" s="9"/>
      <c r="S1051" s="9"/>
    </row>
    <row r="1052" spans="5:19" ht="15.75" customHeight="1" x14ac:dyDescent="0.3">
      <c r="E1052" s="9"/>
      <c r="F1052" s="9"/>
      <c r="H1052" s="9"/>
      <c r="M1052" s="9"/>
      <c r="N1052" s="9"/>
      <c r="O1052" s="9"/>
      <c r="P1052" s="9"/>
      <c r="Q1052" s="9"/>
      <c r="R1052" s="9"/>
      <c r="S1052" s="9"/>
    </row>
    <row r="1053" spans="5:19" ht="15.75" customHeight="1" x14ac:dyDescent="0.3">
      <c r="E1053" s="9"/>
      <c r="F1053" s="9"/>
      <c r="H1053" s="9"/>
      <c r="M1053" s="9"/>
      <c r="N1053" s="9"/>
      <c r="O1053" s="9"/>
      <c r="P1053" s="9"/>
      <c r="Q1053" s="9"/>
      <c r="R1053" s="9"/>
      <c r="S1053" s="9"/>
    </row>
    <row r="1054" spans="5:19" ht="15.75" customHeight="1" x14ac:dyDescent="0.3">
      <c r="E1054" s="9"/>
      <c r="F1054" s="9"/>
      <c r="H1054" s="9"/>
      <c r="M1054" s="9"/>
      <c r="N1054" s="9"/>
      <c r="O1054" s="9"/>
      <c r="P1054" s="9"/>
      <c r="Q1054" s="9"/>
      <c r="R1054" s="9"/>
      <c r="S1054" s="9"/>
    </row>
    <row r="1055" spans="5:19" ht="15.75" customHeight="1" x14ac:dyDescent="0.3">
      <c r="E1055" s="9"/>
      <c r="F1055" s="9"/>
      <c r="H1055" s="9"/>
      <c r="M1055" s="9"/>
      <c r="N1055" s="9"/>
      <c r="O1055" s="9"/>
      <c r="P1055" s="9"/>
      <c r="Q1055" s="9"/>
      <c r="R1055" s="9"/>
      <c r="S1055" s="9"/>
    </row>
    <row r="1056" spans="5:19" ht="15.75" customHeight="1" x14ac:dyDescent="0.3">
      <c r="E1056" s="9"/>
      <c r="F1056" s="9"/>
      <c r="H1056" s="9"/>
      <c r="M1056" s="9"/>
      <c r="N1056" s="9"/>
      <c r="O1056" s="9"/>
      <c r="P1056" s="9"/>
      <c r="Q1056" s="9"/>
      <c r="R1056" s="9"/>
      <c r="S1056" s="9"/>
    </row>
    <row r="1057" spans="5:19" ht="15.75" customHeight="1" x14ac:dyDescent="0.3">
      <c r="E1057" s="9"/>
      <c r="F1057" s="9"/>
      <c r="H1057" s="9"/>
      <c r="M1057" s="9"/>
      <c r="N1057" s="9"/>
      <c r="O1057" s="9"/>
      <c r="P1057" s="9"/>
      <c r="Q1057" s="9"/>
      <c r="R1057" s="9"/>
      <c r="S1057" s="9"/>
    </row>
    <row r="1058" spans="5:19" ht="15.75" customHeight="1" x14ac:dyDescent="0.3">
      <c r="E1058" s="9"/>
      <c r="F1058" s="9"/>
      <c r="H1058" s="9"/>
      <c r="M1058" s="9"/>
      <c r="N1058" s="9"/>
      <c r="O1058" s="9"/>
      <c r="P1058" s="9"/>
      <c r="Q1058" s="9"/>
      <c r="R1058" s="9"/>
      <c r="S1058" s="9"/>
    </row>
    <row r="1059" spans="5:19" ht="15.75" customHeight="1" x14ac:dyDescent="0.3">
      <c r="E1059" s="9"/>
      <c r="F1059" s="9"/>
      <c r="H1059" s="9"/>
      <c r="M1059" s="9"/>
      <c r="N1059" s="9"/>
      <c r="O1059" s="9"/>
      <c r="P1059" s="9"/>
      <c r="Q1059" s="9"/>
      <c r="R1059" s="9"/>
      <c r="S1059" s="9"/>
    </row>
    <row r="1060" spans="5:19" ht="15.75" customHeight="1" x14ac:dyDescent="0.3">
      <c r="E1060" s="9"/>
      <c r="F1060" s="9"/>
      <c r="H1060" s="9"/>
      <c r="M1060" s="9"/>
      <c r="N1060" s="9"/>
      <c r="O1060" s="9"/>
      <c r="P1060" s="9"/>
      <c r="Q1060" s="9"/>
      <c r="R1060" s="9"/>
      <c r="S1060" s="9"/>
    </row>
  </sheetData>
  <autoFilter ref="A1:Z91" xr:uid="{00000000-0009-0000-0000-000003000000}"/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.44140625" customWidth="1"/>
    <col min="2" max="2" width="59.109375" customWidth="1"/>
    <col min="3" max="3" width="20.33203125" customWidth="1"/>
    <col min="4" max="4" width="15.44140625" customWidth="1"/>
    <col min="5" max="5" width="15.6640625" customWidth="1"/>
    <col min="6" max="6" width="14.6640625" customWidth="1"/>
    <col min="7" max="7" width="18.44140625" customWidth="1"/>
    <col min="8" max="8" width="19.109375" customWidth="1"/>
    <col min="9" max="9" width="19.44140625" customWidth="1"/>
    <col min="10" max="10" width="17.109375" customWidth="1"/>
    <col min="11" max="11" width="15.44140625" customWidth="1"/>
    <col min="12" max="12" width="11.88671875" customWidth="1"/>
    <col min="13" max="13" width="15.88671875" customWidth="1"/>
    <col min="14" max="14" width="13.88671875" customWidth="1"/>
    <col min="15" max="15" width="14.44140625" customWidth="1"/>
    <col min="16" max="16" width="15" customWidth="1"/>
    <col min="17" max="17" width="15.88671875" customWidth="1"/>
    <col min="18" max="18" width="15" customWidth="1"/>
    <col min="19" max="19" width="16.109375" customWidth="1"/>
    <col min="20" max="20" width="13.88671875" customWidth="1"/>
    <col min="21" max="26" width="8.88671875" customWidth="1"/>
  </cols>
  <sheetData>
    <row r="1" spans="1:26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405</v>
      </c>
      <c r="S1" s="4" t="s">
        <v>17</v>
      </c>
      <c r="T1" s="3"/>
      <c r="U1" s="3"/>
      <c r="V1" s="3"/>
      <c r="W1" s="3"/>
      <c r="X1" s="3"/>
      <c r="Y1" s="3"/>
      <c r="Z1" s="3"/>
    </row>
    <row r="2" spans="1:26" ht="14.4" x14ac:dyDescent="0.3">
      <c r="A2" s="10">
        <v>44927</v>
      </c>
      <c r="B2" s="2" t="s">
        <v>677</v>
      </c>
      <c r="C2" s="7" t="s">
        <v>20</v>
      </c>
      <c r="D2" s="43" t="s">
        <v>678</v>
      </c>
      <c r="E2" s="9">
        <v>100000</v>
      </c>
      <c r="F2" s="10">
        <v>44931</v>
      </c>
      <c r="G2" s="10">
        <v>45026</v>
      </c>
      <c r="H2" s="9">
        <v>100000</v>
      </c>
      <c r="I2" s="9">
        <f t="shared" ref="I2:I95" si="0">E2-H2</f>
        <v>0</v>
      </c>
      <c r="J2" s="2" t="s">
        <v>679</v>
      </c>
      <c r="K2" s="2" t="s">
        <v>22</v>
      </c>
      <c r="L2" s="11">
        <v>44927</v>
      </c>
      <c r="M2" s="9">
        <v>100000</v>
      </c>
      <c r="N2" s="9">
        <v>100000</v>
      </c>
      <c r="O2" s="9"/>
      <c r="P2" s="9"/>
      <c r="Q2" s="9"/>
      <c r="R2" s="9"/>
      <c r="S2" s="9"/>
      <c r="T2" s="9">
        <f t="shared" ref="T2:T95" si="1">M2-N2-O2-P2-Q2-R2-S2</f>
        <v>0</v>
      </c>
    </row>
    <row r="3" spans="1:26" ht="14.4" x14ac:dyDescent="0.3">
      <c r="A3" s="10">
        <v>44927</v>
      </c>
      <c r="B3" s="2" t="s">
        <v>680</v>
      </c>
      <c r="C3" s="7" t="s">
        <v>24</v>
      </c>
      <c r="D3" s="43" t="s">
        <v>681</v>
      </c>
      <c r="E3" s="9">
        <v>21000</v>
      </c>
      <c r="F3" s="10">
        <v>44931</v>
      </c>
      <c r="G3" s="10">
        <v>44957</v>
      </c>
      <c r="H3" s="9">
        <v>21000</v>
      </c>
      <c r="I3" s="9">
        <f t="shared" si="0"/>
        <v>0</v>
      </c>
      <c r="J3" s="2" t="s">
        <v>682</v>
      </c>
      <c r="K3" s="2" t="s">
        <v>27</v>
      </c>
      <c r="L3" s="11">
        <v>44927</v>
      </c>
      <c r="M3" s="9"/>
      <c r="N3" s="9"/>
      <c r="O3" s="9"/>
      <c r="P3" s="9"/>
      <c r="Q3" s="9"/>
      <c r="R3" s="9"/>
      <c r="S3" s="9"/>
      <c r="T3" s="9">
        <f t="shared" si="1"/>
        <v>0</v>
      </c>
    </row>
    <row r="4" spans="1:26" ht="14.4" x14ac:dyDescent="0.3">
      <c r="A4" s="10">
        <v>44930</v>
      </c>
      <c r="B4" s="7" t="s">
        <v>683</v>
      </c>
      <c r="C4" s="7" t="s">
        <v>684</v>
      </c>
      <c r="D4" s="43" t="s">
        <v>685</v>
      </c>
      <c r="E4" s="9">
        <v>130000</v>
      </c>
      <c r="F4" s="10">
        <v>44931</v>
      </c>
      <c r="G4" s="10">
        <v>44930</v>
      </c>
      <c r="H4" s="9">
        <v>130000</v>
      </c>
      <c r="I4" s="9">
        <f t="shared" si="0"/>
        <v>0</v>
      </c>
      <c r="J4" s="2" t="s">
        <v>686</v>
      </c>
      <c r="K4" s="2" t="s">
        <v>32</v>
      </c>
      <c r="L4" s="11">
        <v>44927</v>
      </c>
      <c r="M4" s="9">
        <v>130000</v>
      </c>
      <c r="N4" s="9"/>
      <c r="O4" s="9">
        <v>130000</v>
      </c>
      <c r="P4" s="9"/>
      <c r="Q4" s="9"/>
      <c r="R4" s="9"/>
      <c r="S4" s="9"/>
      <c r="T4" s="9">
        <f t="shared" si="1"/>
        <v>0</v>
      </c>
    </row>
    <row r="5" spans="1:26" ht="14.4" x14ac:dyDescent="0.3">
      <c r="A5" s="10">
        <v>44931</v>
      </c>
      <c r="B5" s="7" t="s">
        <v>687</v>
      </c>
      <c r="C5" s="7" t="s">
        <v>688</v>
      </c>
      <c r="D5" s="43" t="s">
        <v>689</v>
      </c>
      <c r="E5" s="9">
        <v>85000</v>
      </c>
      <c r="F5" s="10">
        <v>44931</v>
      </c>
      <c r="G5" s="10">
        <v>44936</v>
      </c>
      <c r="H5" s="9">
        <v>85000</v>
      </c>
      <c r="I5" s="9">
        <f t="shared" si="0"/>
        <v>0</v>
      </c>
      <c r="J5" s="2" t="s">
        <v>690</v>
      </c>
      <c r="K5" s="2" t="s">
        <v>32</v>
      </c>
      <c r="L5" s="11">
        <v>44927</v>
      </c>
      <c r="M5" s="9">
        <v>85000</v>
      </c>
      <c r="N5" s="9"/>
      <c r="O5" s="9"/>
      <c r="P5" s="9"/>
      <c r="Q5" s="9">
        <v>85000</v>
      </c>
      <c r="R5" s="9"/>
      <c r="S5" s="9"/>
      <c r="T5" s="9">
        <f t="shared" si="1"/>
        <v>0</v>
      </c>
    </row>
    <row r="6" spans="1:26" ht="14.4" x14ac:dyDescent="0.3">
      <c r="A6" s="10">
        <v>44935</v>
      </c>
      <c r="B6" s="7" t="s">
        <v>691</v>
      </c>
      <c r="C6" s="7" t="s">
        <v>692</v>
      </c>
      <c r="D6" s="43" t="s">
        <v>693</v>
      </c>
      <c r="E6" s="9">
        <v>100000</v>
      </c>
      <c r="F6" s="10">
        <v>44935</v>
      </c>
      <c r="G6" s="10">
        <v>44940</v>
      </c>
      <c r="H6" s="9">
        <v>100000</v>
      </c>
      <c r="I6" s="9">
        <f t="shared" si="0"/>
        <v>0</v>
      </c>
      <c r="J6" s="2" t="s">
        <v>694</v>
      </c>
      <c r="K6" s="2" t="s">
        <v>32</v>
      </c>
      <c r="L6" s="11">
        <v>44927</v>
      </c>
      <c r="M6" s="9">
        <v>100000</v>
      </c>
      <c r="N6" s="9"/>
      <c r="O6" s="9"/>
      <c r="P6" s="49">
        <v>100000</v>
      </c>
      <c r="Q6" s="9"/>
      <c r="R6" s="9"/>
      <c r="S6" s="9"/>
      <c r="T6" s="9">
        <f t="shared" si="1"/>
        <v>0</v>
      </c>
    </row>
    <row r="7" spans="1:26" ht="14.4" x14ac:dyDescent="0.3">
      <c r="A7" s="10">
        <v>44942</v>
      </c>
      <c r="B7" s="7" t="s">
        <v>695</v>
      </c>
      <c r="C7" s="7" t="s">
        <v>696</v>
      </c>
      <c r="D7" s="43" t="s">
        <v>697</v>
      </c>
      <c r="E7" s="9">
        <v>180000</v>
      </c>
      <c r="F7" s="10">
        <v>44942</v>
      </c>
      <c r="G7" s="10">
        <v>44945</v>
      </c>
      <c r="H7" s="9">
        <v>180000</v>
      </c>
      <c r="I7" s="9">
        <f t="shared" si="0"/>
        <v>0</v>
      </c>
      <c r="J7" s="2" t="s">
        <v>698</v>
      </c>
      <c r="K7" s="2" t="s">
        <v>32</v>
      </c>
      <c r="L7" s="11">
        <v>44927</v>
      </c>
      <c r="M7" s="9">
        <v>180000</v>
      </c>
      <c r="N7" s="9"/>
      <c r="O7" s="9"/>
      <c r="P7" s="9"/>
      <c r="Q7" s="9"/>
      <c r="R7" s="9">
        <v>90000</v>
      </c>
      <c r="S7" s="9">
        <v>90000</v>
      </c>
      <c r="T7" s="9">
        <f t="shared" si="1"/>
        <v>0</v>
      </c>
    </row>
    <row r="8" spans="1:26" ht="14.4" x14ac:dyDescent="0.3">
      <c r="A8" s="10">
        <v>44951</v>
      </c>
      <c r="B8" s="7" t="s">
        <v>699</v>
      </c>
      <c r="C8" s="7" t="s">
        <v>700</v>
      </c>
      <c r="D8" s="43" t="s">
        <v>701</v>
      </c>
      <c r="E8" s="9">
        <v>600000</v>
      </c>
      <c r="F8" s="10">
        <v>44963</v>
      </c>
      <c r="G8" s="10">
        <v>44951</v>
      </c>
      <c r="H8" s="9">
        <f>200000+200000+200000</f>
        <v>600000</v>
      </c>
      <c r="I8" s="9">
        <f t="shared" si="0"/>
        <v>0</v>
      </c>
      <c r="J8" s="2" t="s">
        <v>702</v>
      </c>
      <c r="K8" s="2" t="s">
        <v>32</v>
      </c>
      <c r="L8" s="11">
        <v>44927</v>
      </c>
      <c r="M8" s="9">
        <v>600000</v>
      </c>
      <c r="N8" s="9"/>
      <c r="O8" s="9"/>
      <c r="P8" s="49">
        <v>600000</v>
      </c>
      <c r="Q8" s="9"/>
      <c r="R8" s="9"/>
      <c r="S8" s="9"/>
      <c r="T8" s="9">
        <f t="shared" si="1"/>
        <v>0</v>
      </c>
    </row>
    <row r="9" spans="1:26" ht="14.4" x14ac:dyDescent="0.3">
      <c r="A9" s="10">
        <v>44957</v>
      </c>
      <c r="B9" s="2" t="s">
        <v>703</v>
      </c>
      <c r="C9" s="7" t="s">
        <v>198</v>
      </c>
      <c r="D9" s="43" t="s">
        <v>704</v>
      </c>
      <c r="E9" s="9">
        <v>5000</v>
      </c>
      <c r="F9" s="10">
        <v>44963</v>
      </c>
      <c r="G9" s="10">
        <v>44957</v>
      </c>
      <c r="H9" s="9">
        <v>5000</v>
      </c>
      <c r="I9" s="9">
        <f t="shared" si="0"/>
        <v>0</v>
      </c>
      <c r="J9" s="2" t="s">
        <v>705</v>
      </c>
      <c r="K9" s="7" t="s">
        <v>27</v>
      </c>
      <c r="L9" s="11">
        <v>44927</v>
      </c>
      <c r="M9" s="9"/>
      <c r="N9" s="9"/>
      <c r="O9" s="9"/>
      <c r="P9" s="9"/>
      <c r="Q9" s="9"/>
      <c r="R9" s="9"/>
      <c r="S9" s="9"/>
      <c r="T9" s="9">
        <f t="shared" si="1"/>
        <v>0</v>
      </c>
    </row>
    <row r="10" spans="1:26" ht="14.4" x14ac:dyDescent="0.3">
      <c r="A10" s="10">
        <v>44958</v>
      </c>
      <c r="B10" s="7" t="s">
        <v>706</v>
      </c>
      <c r="C10" s="7" t="s">
        <v>707</v>
      </c>
      <c r="D10" s="43" t="s">
        <v>708</v>
      </c>
      <c r="E10" s="9">
        <v>7000</v>
      </c>
      <c r="F10" s="10">
        <v>44963</v>
      </c>
      <c r="G10" s="10">
        <v>44965</v>
      </c>
      <c r="H10" s="9">
        <v>7000</v>
      </c>
      <c r="I10" s="9">
        <f t="shared" si="0"/>
        <v>0</v>
      </c>
      <c r="J10" s="2" t="s">
        <v>709</v>
      </c>
      <c r="K10" s="2" t="s">
        <v>22</v>
      </c>
      <c r="L10" s="11">
        <v>44958</v>
      </c>
      <c r="M10" s="9">
        <v>7000</v>
      </c>
      <c r="N10" s="9"/>
      <c r="O10" s="9">
        <v>7000</v>
      </c>
      <c r="P10" s="9"/>
      <c r="Q10" s="9"/>
      <c r="R10" s="9"/>
      <c r="S10" s="9"/>
      <c r="T10" s="9">
        <f t="shared" si="1"/>
        <v>0</v>
      </c>
    </row>
    <row r="11" spans="1:26" ht="14.4" x14ac:dyDescent="0.3">
      <c r="A11" s="10">
        <v>44958</v>
      </c>
      <c r="B11" s="2" t="s">
        <v>710</v>
      </c>
      <c r="C11" s="7" t="s">
        <v>20</v>
      </c>
      <c r="D11" s="43" t="s">
        <v>711</v>
      </c>
      <c r="E11" s="9">
        <v>100000</v>
      </c>
      <c r="F11" s="10">
        <v>44963</v>
      </c>
      <c r="G11" s="10">
        <v>45026</v>
      </c>
      <c r="H11" s="9">
        <v>100000</v>
      </c>
      <c r="I11" s="9">
        <f t="shared" si="0"/>
        <v>0</v>
      </c>
      <c r="J11" s="2" t="s">
        <v>679</v>
      </c>
      <c r="K11" s="2" t="s">
        <v>22</v>
      </c>
      <c r="L11" s="11">
        <v>44958</v>
      </c>
      <c r="M11" s="9">
        <v>100000</v>
      </c>
      <c r="N11" s="9">
        <v>100000</v>
      </c>
      <c r="O11" s="9"/>
      <c r="P11" s="9"/>
      <c r="Q11" s="9"/>
      <c r="R11" s="9"/>
      <c r="S11" s="9"/>
      <c r="T11" s="9">
        <f t="shared" si="1"/>
        <v>0</v>
      </c>
    </row>
    <row r="12" spans="1:26" ht="14.4" x14ac:dyDescent="0.3">
      <c r="A12" s="10">
        <v>44958</v>
      </c>
      <c r="B12" s="2" t="s">
        <v>712</v>
      </c>
      <c r="C12" s="7" t="s">
        <v>24</v>
      </c>
      <c r="D12" s="43" t="s">
        <v>713</v>
      </c>
      <c r="E12" s="9">
        <v>21000</v>
      </c>
      <c r="F12" s="10">
        <v>44963</v>
      </c>
      <c r="G12" s="10">
        <v>45013</v>
      </c>
      <c r="H12" s="9">
        <v>21000</v>
      </c>
      <c r="I12" s="9">
        <f t="shared" si="0"/>
        <v>0</v>
      </c>
      <c r="J12" s="2" t="s">
        <v>714</v>
      </c>
      <c r="K12" s="7" t="s">
        <v>27</v>
      </c>
      <c r="L12" s="11">
        <v>44958</v>
      </c>
      <c r="M12" s="9"/>
      <c r="N12" s="9"/>
      <c r="O12" s="9"/>
      <c r="P12" s="9"/>
      <c r="Q12" s="9"/>
      <c r="R12" s="9"/>
      <c r="S12" s="9"/>
      <c r="T12" s="9">
        <f t="shared" si="1"/>
        <v>0</v>
      </c>
    </row>
    <row r="13" spans="1:26" ht="14.4" x14ac:dyDescent="0.3">
      <c r="A13" s="10">
        <v>44963</v>
      </c>
      <c r="B13" s="7" t="s">
        <v>715</v>
      </c>
      <c r="C13" s="7" t="s">
        <v>716</v>
      </c>
      <c r="D13" s="43" t="s">
        <v>717</v>
      </c>
      <c r="E13" s="9">
        <v>110000</v>
      </c>
      <c r="F13" s="10">
        <v>44963</v>
      </c>
      <c r="G13" s="10">
        <v>44963</v>
      </c>
      <c r="H13" s="9">
        <v>110000</v>
      </c>
      <c r="I13" s="9">
        <f t="shared" si="0"/>
        <v>0</v>
      </c>
      <c r="J13" s="2" t="s">
        <v>718</v>
      </c>
      <c r="K13" s="2" t="s">
        <v>32</v>
      </c>
      <c r="L13" s="11">
        <v>44927</v>
      </c>
      <c r="M13" s="9">
        <v>110000</v>
      </c>
      <c r="N13" s="9"/>
      <c r="O13" s="9"/>
      <c r="P13" s="49">
        <v>110000</v>
      </c>
      <c r="Q13" s="9"/>
      <c r="R13" s="9"/>
      <c r="S13" s="9"/>
      <c r="T13" s="9">
        <f t="shared" si="1"/>
        <v>0</v>
      </c>
    </row>
    <row r="14" spans="1:26" ht="14.4" x14ac:dyDescent="0.3">
      <c r="A14" s="10">
        <v>44967</v>
      </c>
      <c r="B14" s="2" t="s">
        <v>719</v>
      </c>
      <c r="C14" s="7" t="s">
        <v>720</v>
      </c>
      <c r="D14" s="43" t="s">
        <v>721</v>
      </c>
      <c r="E14" s="9">
        <v>225000</v>
      </c>
      <c r="F14" s="10">
        <v>44970</v>
      </c>
      <c r="G14" s="10">
        <v>44971</v>
      </c>
      <c r="H14" s="9">
        <v>225000</v>
      </c>
      <c r="I14" s="9">
        <f t="shared" si="0"/>
        <v>0</v>
      </c>
      <c r="J14" s="2" t="s">
        <v>722</v>
      </c>
      <c r="K14" s="2" t="s">
        <v>32</v>
      </c>
      <c r="L14" s="11">
        <v>44958</v>
      </c>
      <c r="M14" s="9">
        <v>225000</v>
      </c>
      <c r="N14" s="9"/>
      <c r="O14" s="9"/>
      <c r="P14" s="9"/>
      <c r="Q14" s="9"/>
      <c r="R14" s="9">
        <v>225000</v>
      </c>
      <c r="S14" s="9"/>
      <c r="T14" s="9">
        <f t="shared" si="1"/>
        <v>0</v>
      </c>
    </row>
    <row r="15" spans="1:26" ht="14.4" x14ac:dyDescent="0.3">
      <c r="A15" s="44">
        <v>44965</v>
      </c>
      <c r="B15" s="18" t="s">
        <v>723</v>
      </c>
      <c r="C15" s="18" t="s">
        <v>724</v>
      </c>
      <c r="D15" s="45" t="s">
        <v>725</v>
      </c>
      <c r="E15" s="23"/>
      <c r="F15" s="44">
        <v>44965</v>
      </c>
      <c r="G15" s="44"/>
      <c r="H15" s="23"/>
      <c r="I15" s="23">
        <f t="shared" si="0"/>
        <v>0</v>
      </c>
      <c r="J15" s="18"/>
      <c r="K15" s="18" t="s">
        <v>32</v>
      </c>
      <c r="L15" s="46">
        <v>44958</v>
      </c>
      <c r="M15" s="23"/>
      <c r="N15" s="23"/>
      <c r="O15" s="23"/>
      <c r="P15" s="23"/>
      <c r="Q15" s="23"/>
      <c r="R15" s="23"/>
      <c r="S15" s="23"/>
      <c r="T15" s="23">
        <f t="shared" si="1"/>
        <v>0</v>
      </c>
      <c r="U15" s="18"/>
      <c r="V15" s="18"/>
      <c r="W15" s="18"/>
      <c r="X15" s="18"/>
      <c r="Y15" s="18"/>
      <c r="Z15" s="18"/>
    </row>
    <row r="16" spans="1:26" ht="14.4" x14ac:dyDescent="0.3">
      <c r="A16" s="10">
        <v>44972</v>
      </c>
      <c r="B16" s="2" t="s">
        <v>726</v>
      </c>
      <c r="C16" s="2" t="s">
        <v>727</v>
      </c>
      <c r="D16" s="43" t="s">
        <v>728</v>
      </c>
      <c r="E16" s="9">
        <v>270000</v>
      </c>
      <c r="F16" s="10">
        <v>44972</v>
      </c>
      <c r="G16" s="10">
        <v>44980</v>
      </c>
      <c r="H16" s="9">
        <v>200000</v>
      </c>
      <c r="I16" s="23">
        <f t="shared" si="0"/>
        <v>70000</v>
      </c>
      <c r="J16" s="2" t="s">
        <v>729</v>
      </c>
      <c r="K16" s="2" t="s">
        <v>32</v>
      </c>
      <c r="L16" s="11">
        <v>44958</v>
      </c>
      <c r="M16" s="9">
        <v>200000</v>
      </c>
      <c r="N16" s="9"/>
      <c r="O16" s="9"/>
      <c r="P16" s="9">
        <v>100000</v>
      </c>
      <c r="Q16" s="9">
        <v>100000</v>
      </c>
      <c r="R16" s="9"/>
      <c r="S16" s="9"/>
      <c r="T16" s="9">
        <f t="shared" si="1"/>
        <v>0</v>
      </c>
    </row>
    <row r="17" spans="1:20" ht="14.4" x14ac:dyDescent="0.3">
      <c r="A17" s="10">
        <v>44985</v>
      </c>
      <c r="B17" s="2" t="s">
        <v>730</v>
      </c>
      <c r="C17" s="7" t="s">
        <v>198</v>
      </c>
      <c r="D17" s="43" t="s">
        <v>731</v>
      </c>
      <c r="E17" s="9">
        <v>5000</v>
      </c>
      <c r="F17" s="10">
        <v>44985</v>
      </c>
      <c r="G17" s="10">
        <v>44987</v>
      </c>
      <c r="H17" s="9">
        <v>5000</v>
      </c>
      <c r="I17" s="9">
        <f t="shared" si="0"/>
        <v>0</v>
      </c>
      <c r="J17" s="2" t="s">
        <v>732</v>
      </c>
      <c r="K17" s="7" t="s">
        <v>27</v>
      </c>
      <c r="L17" s="11">
        <v>44958</v>
      </c>
      <c r="M17" s="9"/>
      <c r="N17" s="9"/>
      <c r="O17" s="9"/>
      <c r="P17" s="9"/>
      <c r="Q17" s="9"/>
      <c r="R17" s="9"/>
      <c r="S17" s="9"/>
      <c r="T17" s="9">
        <f t="shared" si="1"/>
        <v>0</v>
      </c>
    </row>
    <row r="18" spans="1:20" ht="14.4" x14ac:dyDescent="0.3">
      <c r="A18" s="10">
        <v>44985</v>
      </c>
      <c r="B18" s="7" t="s">
        <v>733</v>
      </c>
      <c r="C18" s="7" t="s">
        <v>734</v>
      </c>
      <c r="D18" s="43" t="s">
        <v>735</v>
      </c>
      <c r="E18" s="9">
        <v>222000</v>
      </c>
      <c r="F18" s="10">
        <v>44985</v>
      </c>
      <c r="G18" s="10">
        <v>44996</v>
      </c>
      <c r="H18" s="9">
        <v>222000</v>
      </c>
      <c r="I18" s="9">
        <f t="shared" si="0"/>
        <v>0</v>
      </c>
      <c r="J18" s="2" t="s">
        <v>736</v>
      </c>
      <c r="K18" s="2" t="s">
        <v>22</v>
      </c>
      <c r="L18" s="11">
        <v>44958</v>
      </c>
      <c r="M18" s="9">
        <v>222000</v>
      </c>
      <c r="N18" s="9">
        <v>222000</v>
      </c>
      <c r="O18" s="9"/>
      <c r="P18" s="9"/>
      <c r="Q18" s="9"/>
      <c r="R18" s="9"/>
      <c r="S18" s="9"/>
      <c r="T18" s="9">
        <f t="shared" si="1"/>
        <v>0</v>
      </c>
    </row>
    <row r="19" spans="1:20" ht="14.4" x14ac:dyDescent="0.3">
      <c r="A19" s="10">
        <v>44986</v>
      </c>
      <c r="B19" s="2" t="s">
        <v>737</v>
      </c>
      <c r="C19" s="7" t="s">
        <v>20</v>
      </c>
      <c r="D19" s="43" t="s">
        <v>738</v>
      </c>
      <c r="E19" s="9">
        <v>100000</v>
      </c>
      <c r="F19" s="10">
        <v>44996</v>
      </c>
      <c r="G19" s="10">
        <v>45026</v>
      </c>
      <c r="H19" s="9">
        <v>100000</v>
      </c>
      <c r="I19" s="9">
        <f t="shared" si="0"/>
        <v>0</v>
      </c>
      <c r="J19" s="2" t="s">
        <v>679</v>
      </c>
      <c r="K19" s="2" t="s">
        <v>22</v>
      </c>
      <c r="L19" s="11">
        <v>44986</v>
      </c>
      <c r="M19" s="9">
        <v>100000</v>
      </c>
      <c r="N19" s="9">
        <v>100000</v>
      </c>
      <c r="O19" s="9"/>
      <c r="P19" s="9"/>
      <c r="Q19" s="9"/>
      <c r="R19" s="9"/>
      <c r="S19" s="9"/>
      <c r="T19" s="9">
        <f t="shared" si="1"/>
        <v>0</v>
      </c>
    </row>
    <row r="20" spans="1:20" ht="14.4" x14ac:dyDescent="0.3">
      <c r="A20" s="10">
        <v>44986</v>
      </c>
      <c r="B20" s="2" t="s">
        <v>739</v>
      </c>
      <c r="C20" s="7" t="s">
        <v>24</v>
      </c>
      <c r="D20" s="43" t="s">
        <v>740</v>
      </c>
      <c r="E20" s="9">
        <v>21000</v>
      </c>
      <c r="F20" s="10">
        <v>44996</v>
      </c>
      <c r="G20" s="10">
        <v>45027</v>
      </c>
      <c r="H20" s="9">
        <v>21000</v>
      </c>
      <c r="I20" s="9">
        <f t="shared" si="0"/>
        <v>0</v>
      </c>
      <c r="J20" s="2" t="s">
        <v>741</v>
      </c>
      <c r="K20" s="7" t="s">
        <v>27</v>
      </c>
      <c r="L20" s="11">
        <v>44986</v>
      </c>
      <c r="M20" s="9"/>
      <c r="N20" s="9"/>
      <c r="O20" s="9"/>
      <c r="P20" s="9"/>
      <c r="Q20" s="9"/>
      <c r="R20" s="9"/>
      <c r="S20" s="9"/>
      <c r="T20" s="9">
        <f t="shared" si="1"/>
        <v>0</v>
      </c>
    </row>
    <row r="21" spans="1:20" ht="15.75" customHeight="1" x14ac:dyDescent="0.3">
      <c r="A21" s="10">
        <v>44995</v>
      </c>
      <c r="B21" s="7" t="s">
        <v>742</v>
      </c>
      <c r="C21" s="7" t="s">
        <v>743</v>
      </c>
      <c r="D21" s="43" t="s">
        <v>744</v>
      </c>
      <c r="E21" s="9">
        <v>212100</v>
      </c>
      <c r="F21" s="10">
        <v>44995</v>
      </c>
      <c r="G21" s="10">
        <v>45058</v>
      </c>
      <c r="H21" s="9">
        <f>107000+105100</f>
        <v>212100</v>
      </c>
      <c r="I21" s="9">
        <f t="shared" si="0"/>
        <v>0</v>
      </c>
      <c r="J21" s="2" t="s">
        <v>745</v>
      </c>
      <c r="K21" s="2" t="s">
        <v>32</v>
      </c>
      <c r="L21" s="50">
        <v>45108</v>
      </c>
      <c r="M21" s="9">
        <v>212100</v>
      </c>
      <c r="N21" s="9"/>
      <c r="O21" s="9"/>
      <c r="P21" s="9"/>
      <c r="Q21" s="49">
        <f>107000+105100</f>
        <v>212100</v>
      </c>
      <c r="R21" s="9"/>
      <c r="S21" s="9"/>
      <c r="T21" s="9">
        <f t="shared" si="1"/>
        <v>0</v>
      </c>
    </row>
    <row r="22" spans="1:20" ht="15.75" customHeight="1" x14ac:dyDescent="0.3">
      <c r="A22" s="10">
        <v>45001</v>
      </c>
      <c r="B22" s="7" t="s">
        <v>746</v>
      </c>
      <c r="C22" s="7" t="s">
        <v>747</v>
      </c>
      <c r="D22" s="43" t="s">
        <v>748</v>
      </c>
      <c r="E22" s="9">
        <v>140000</v>
      </c>
      <c r="F22" s="10">
        <v>45010</v>
      </c>
      <c r="G22" s="10">
        <v>45001</v>
      </c>
      <c r="H22" s="9">
        <v>140000</v>
      </c>
      <c r="I22" s="9">
        <f t="shared" si="0"/>
        <v>0</v>
      </c>
      <c r="J22" s="2" t="s">
        <v>749</v>
      </c>
      <c r="K22" s="2" t="s">
        <v>32</v>
      </c>
      <c r="L22" s="11">
        <v>44986</v>
      </c>
      <c r="M22" s="9">
        <v>140000</v>
      </c>
      <c r="N22" s="9"/>
      <c r="O22" s="9"/>
      <c r="P22" s="9"/>
      <c r="Q22" s="9"/>
      <c r="R22" s="9">
        <v>140000</v>
      </c>
      <c r="S22" s="9"/>
      <c r="T22" s="9">
        <f t="shared" si="1"/>
        <v>0</v>
      </c>
    </row>
    <row r="23" spans="1:20" ht="15.75" customHeight="1" x14ac:dyDescent="0.3">
      <c r="A23" s="10">
        <v>45010</v>
      </c>
      <c r="B23" s="7" t="s">
        <v>750</v>
      </c>
      <c r="C23" s="7" t="s">
        <v>751</v>
      </c>
      <c r="D23" s="43" t="s">
        <v>752</v>
      </c>
      <c r="E23" s="9">
        <v>975000</v>
      </c>
      <c r="F23" s="10">
        <v>45010</v>
      </c>
      <c r="G23" s="10">
        <v>45022</v>
      </c>
      <c r="H23" s="9">
        <f>200000+200000+150000+150000</f>
        <v>700000</v>
      </c>
      <c r="I23" s="23">
        <f t="shared" si="0"/>
        <v>275000</v>
      </c>
      <c r="J23" s="2" t="s">
        <v>753</v>
      </c>
      <c r="K23" s="2" t="s">
        <v>32</v>
      </c>
      <c r="L23" s="50">
        <v>45047</v>
      </c>
      <c r="M23" s="9">
        <v>700000</v>
      </c>
      <c r="N23" s="9"/>
      <c r="O23" s="9"/>
      <c r="P23" s="9"/>
      <c r="Q23" s="9"/>
      <c r="R23" s="49">
        <f>200000+200000+150000+150000</f>
        <v>700000</v>
      </c>
      <c r="S23" s="9"/>
      <c r="T23" s="9">
        <f t="shared" si="1"/>
        <v>0</v>
      </c>
    </row>
    <row r="24" spans="1:20" ht="15.75" customHeight="1" x14ac:dyDescent="0.3">
      <c r="A24" s="10">
        <v>45015</v>
      </c>
      <c r="B24" s="2" t="s">
        <v>754</v>
      </c>
      <c r="C24" s="7" t="s">
        <v>198</v>
      </c>
      <c r="D24" s="43" t="s">
        <v>755</v>
      </c>
      <c r="E24" s="9">
        <v>5000</v>
      </c>
      <c r="F24" s="10">
        <v>45026</v>
      </c>
      <c r="G24" s="10">
        <v>45015</v>
      </c>
      <c r="H24" s="9">
        <v>5000</v>
      </c>
      <c r="I24" s="9">
        <f t="shared" si="0"/>
        <v>0</v>
      </c>
      <c r="J24" s="2" t="s">
        <v>756</v>
      </c>
      <c r="K24" s="7" t="s">
        <v>27</v>
      </c>
      <c r="L24" s="11">
        <v>44986</v>
      </c>
      <c r="M24" s="9"/>
      <c r="N24" s="9"/>
      <c r="O24" s="9"/>
      <c r="P24" s="9"/>
      <c r="Q24" s="9"/>
      <c r="R24" s="9"/>
      <c r="S24" s="9"/>
      <c r="T24" s="9">
        <f t="shared" si="1"/>
        <v>0</v>
      </c>
    </row>
    <row r="25" spans="1:20" ht="15.75" customHeight="1" x14ac:dyDescent="0.3">
      <c r="A25" s="10">
        <v>45026</v>
      </c>
      <c r="B25" s="2" t="s">
        <v>757</v>
      </c>
      <c r="C25" s="7" t="s">
        <v>20</v>
      </c>
      <c r="D25" s="43" t="s">
        <v>758</v>
      </c>
      <c r="E25" s="9">
        <v>100000</v>
      </c>
      <c r="F25" s="10">
        <v>45026</v>
      </c>
      <c r="G25" s="10">
        <v>45265</v>
      </c>
      <c r="H25" s="9">
        <v>100000</v>
      </c>
      <c r="I25" s="9">
        <f t="shared" si="0"/>
        <v>0</v>
      </c>
      <c r="J25" s="2" t="s">
        <v>759</v>
      </c>
      <c r="K25" s="2" t="s">
        <v>22</v>
      </c>
      <c r="L25" s="11">
        <v>45017</v>
      </c>
      <c r="M25" s="9">
        <v>100000</v>
      </c>
      <c r="N25" s="9">
        <v>100000</v>
      </c>
      <c r="O25" s="9"/>
      <c r="P25" s="9"/>
      <c r="Q25" s="9"/>
      <c r="R25" s="9"/>
      <c r="S25" s="9"/>
      <c r="T25" s="9">
        <f t="shared" si="1"/>
        <v>0</v>
      </c>
    </row>
    <row r="26" spans="1:20" ht="15.75" customHeight="1" x14ac:dyDescent="0.3">
      <c r="A26" s="10">
        <v>45026</v>
      </c>
      <c r="B26" s="2" t="s">
        <v>760</v>
      </c>
      <c r="C26" s="7" t="s">
        <v>24</v>
      </c>
      <c r="D26" s="43" t="s">
        <v>761</v>
      </c>
      <c r="E26" s="9">
        <v>21000</v>
      </c>
      <c r="F26" s="10">
        <v>45026</v>
      </c>
      <c r="G26" s="10">
        <v>45048</v>
      </c>
      <c r="H26" s="9">
        <v>21000</v>
      </c>
      <c r="I26" s="9">
        <f t="shared" si="0"/>
        <v>0</v>
      </c>
      <c r="J26" s="2" t="s">
        <v>762</v>
      </c>
      <c r="K26" s="7" t="s">
        <v>27</v>
      </c>
      <c r="L26" s="11">
        <v>45017</v>
      </c>
      <c r="M26" s="9"/>
      <c r="N26" s="9"/>
      <c r="O26" s="9"/>
      <c r="P26" s="9"/>
      <c r="Q26" s="9"/>
      <c r="R26" s="9"/>
      <c r="S26" s="9"/>
      <c r="T26" s="9">
        <f t="shared" si="1"/>
        <v>0</v>
      </c>
    </row>
    <row r="27" spans="1:20" ht="15.75" customHeight="1" x14ac:dyDescent="0.3">
      <c r="A27" s="10">
        <v>45026</v>
      </c>
      <c r="B27" s="7" t="s">
        <v>763</v>
      </c>
      <c r="C27" s="7" t="s">
        <v>20</v>
      </c>
      <c r="D27" s="43" t="s">
        <v>764</v>
      </c>
      <c r="E27" s="9">
        <v>43293</v>
      </c>
      <c r="F27" s="10">
        <v>45026</v>
      </c>
      <c r="G27" s="10">
        <v>45026</v>
      </c>
      <c r="H27" s="9">
        <v>43293</v>
      </c>
      <c r="I27" s="9">
        <f t="shared" si="0"/>
        <v>0</v>
      </c>
      <c r="J27" s="2" t="s">
        <v>679</v>
      </c>
      <c r="K27" s="2" t="s">
        <v>22</v>
      </c>
      <c r="L27" s="11">
        <v>45017</v>
      </c>
      <c r="M27" s="51">
        <v>43293</v>
      </c>
      <c r="N27" s="51">
        <v>43293</v>
      </c>
      <c r="O27" s="9"/>
      <c r="P27" s="9"/>
      <c r="Q27" s="9"/>
      <c r="R27" s="9"/>
      <c r="S27" s="9"/>
      <c r="T27" s="9">
        <f t="shared" si="1"/>
        <v>0</v>
      </c>
    </row>
    <row r="28" spans="1:20" ht="15.75" customHeight="1" x14ac:dyDescent="0.3">
      <c r="A28" s="10">
        <v>45043</v>
      </c>
      <c r="B28" s="7" t="s">
        <v>765</v>
      </c>
      <c r="C28" s="7" t="s">
        <v>766</v>
      </c>
      <c r="D28" s="43" t="s">
        <v>767</v>
      </c>
      <c r="E28" s="9">
        <v>130000</v>
      </c>
      <c r="F28" s="10">
        <v>45043</v>
      </c>
      <c r="G28" s="10">
        <v>45043</v>
      </c>
      <c r="H28" s="9">
        <v>130000</v>
      </c>
      <c r="I28" s="9">
        <f t="shared" si="0"/>
        <v>0</v>
      </c>
      <c r="J28" s="2" t="s">
        <v>768</v>
      </c>
      <c r="K28" s="2" t="s">
        <v>32</v>
      </c>
      <c r="L28" s="11">
        <v>45017</v>
      </c>
      <c r="M28" s="9">
        <v>130000</v>
      </c>
      <c r="N28" s="9"/>
      <c r="O28" s="9"/>
      <c r="P28" s="9"/>
      <c r="Q28" s="9">
        <v>130000</v>
      </c>
      <c r="R28" s="9"/>
      <c r="S28" s="9"/>
      <c r="T28" s="9">
        <f t="shared" si="1"/>
        <v>0</v>
      </c>
    </row>
    <row r="29" spans="1:20" ht="15.75" customHeight="1" x14ac:dyDescent="0.3">
      <c r="A29" s="10">
        <v>45046</v>
      </c>
      <c r="B29" s="2" t="s">
        <v>769</v>
      </c>
      <c r="C29" s="7" t="s">
        <v>198</v>
      </c>
      <c r="D29" s="43" t="s">
        <v>770</v>
      </c>
      <c r="E29" s="9">
        <v>5000</v>
      </c>
      <c r="F29" s="10">
        <v>45048</v>
      </c>
      <c r="G29" s="10">
        <v>45044</v>
      </c>
      <c r="H29" s="9">
        <v>5000</v>
      </c>
      <c r="I29" s="9">
        <f t="shared" si="0"/>
        <v>0</v>
      </c>
      <c r="J29" s="2" t="s">
        <v>771</v>
      </c>
      <c r="K29" s="7" t="s">
        <v>27</v>
      </c>
      <c r="L29" s="11">
        <v>45017</v>
      </c>
      <c r="M29" s="9"/>
      <c r="N29" s="9"/>
      <c r="O29" s="9"/>
      <c r="P29" s="9"/>
      <c r="Q29" s="9"/>
      <c r="R29" s="9"/>
      <c r="S29" s="9"/>
      <c r="T29" s="9">
        <f t="shared" si="1"/>
        <v>0</v>
      </c>
    </row>
    <row r="30" spans="1:20" ht="15.75" customHeight="1" x14ac:dyDescent="0.3">
      <c r="A30" s="10">
        <v>45047</v>
      </c>
      <c r="B30" s="2" t="s">
        <v>772</v>
      </c>
      <c r="C30" s="7" t="s">
        <v>20</v>
      </c>
      <c r="D30" s="43" t="s">
        <v>773</v>
      </c>
      <c r="E30" s="9">
        <v>100000</v>
      </c>
      <c r="F30" s="10">
        <v>45048</v>
      </c>
      <c r="G30" s="10">
        <v>45265</v>
      </c>
      <c r="H30" s="9">
        <v>100000</v>
      </c>
      <c r="I30" s="9">
        <f t="shared" si="0"/>
        <v>0</v>
      </c>
      <c r="J30" s="2" t="s">
        <v>759</v>
      </c>
      <c r="K30" s="2" t="s">
        <v>22</v>
      </c>
      <c r="L30" s="11">
        <v>45047</v>
      </c>
      <c r="M30" s="9">
        <v>100000</v>
      </c>
      <c r="N30" s="9">
        <v>100000</v>
      </c>
      <c r="O30" s="9"/>
      <c r="P30" s="9"/>
      <c r="Q30" s="9"/>
      <c r="R30" s="9"/>
      <c r="S30" s="9"/>
      <c r="T30" s="9">
        <f t="shared" si="1"/>
        <v>0</v>
      </c>
    </row>
    <row r="31" spans="1:20" ht="15.75" customHeight="1" x14ac:dyDescent="0.3">
      <c r="A31" s="10">
        <v>45047</v>
      </c>
      <c r="B31" s="2" t="s">
        <v>774</v>
      </c>
      <c r="C31" s="7" t="s">
        <v>24</v>
      </c>
      <c r="D31" s="43" t="s">
        <v>775</v>
      </c>
      <c r="E31" s="9">
        <v>21000</v>
      </c>
      <c r="F31" s="10">
        <v>45048</v>
      </c>
      <c r="G31" s="10">
        <v>45083</v>
      </c>
      <c r="H31" s="9">
        <v>21000</v>
      </c>
      <c r="I31" s="9">
        <f t="shared" si="0"/>
        <v>0</v>
      </c>
      <c r="J31" s="2" t="s">
        <v>776</v>
      </c>
      <c r="K31" s="7" t="s">
        <v>27</v>
      </c>
      <c r="L31" s="11">
        <v>45047</v>
      </c>
      <c r="M31" s="9"/>
      <c r="N31" s="9"/>
      <c r="O31" s="9"/>
      <c r="P31" s="9"/>
      <c r="Q31" s="9"/>
      <c r="R31" s="9"/>
      <c r="S31" s="9"/>
      <c r="T31" s="9">
        <f t="shared" si="1"/>
        <v>0</v>
      </c>
    </row>
    <row r="32" spans="1:20" ht="15.75" customHeight="1" x14ac:dyDescent="0.3">
      <c r="A32" s="10">
        <v>45049</v>
      </c>
      <c r="B32" s="2" t="s">
        <v>777</v>
      </c>
      <c r="C32" s="7" t="s">
        <v>429</v>
      </c>
      <c r="D32" s="43" t="s">
        <v>778</v>
      </c>
      <c r="E32" s="9">
        <v>7500</v>
      </c>
      <c r="F32" s="10">
        <v>45049</v>
      </c>
      <c r="G32" s="10">
        <v>45058</v>
      </c>
      <c r="H32" s="9">
        <v>7500</v>
      </c>
      <c r="I32" s="9">
        <f t="shared" si="0"/>
        <v>0</v>
      </c>
      <c r="J32" s="2" t="s">
        <v>779</v>
      </c>
      <c r="K32" s="7" t="s">
        <v>27</v>
      </c>
      <c r="L32" s="11">
        <v>45047</v>
      </c>
      <c r="M32" s="9"/>
      <c r="N32" s="9"/>
      <c r="O32" s="9"/>
      <c r="P32" s="9"/>
      <c r="Q32" s="9"/>
      <c r="R32" s="9"/>
      <c r="S32" s="9"/>
      <c r="T32" s="9">
        <f t="shared" si="1"/>
        <v>0</v>
      </c>
    </row>
    <row r="33" spans="1:20" ht="15.75" customHeight="1" x14ac:dyDescent="0.3">
      <c r="A33" s="10">
        <v>45050</v>
      </c>
      <c r="B33" s="2" t="s">
        <v>780</v>
      </c>
      <c r="C33" s="7" t="s">
        <v>781</v>
      </c>
      <c r="D33" s="43" t="s">
        <v>782</v>
      </c>
      <c r="E33" s="9">
        <v>115000</v>
      </c>
      <c r="F33" s="10">
        <v>45050</v>
      </c>
      <c r="G33" s="10">
        <v>45050</v>
      </c>
      <c r="H33" s="9">
        <v>115000</v>
      </c>
      <c r="I33" s="9">
        <f t="shared" si="0"/>
        <v>0</v>
      </c>
      <c r="J33" s="2" t="s">
        <v>783</v>
      </c>
      <c r="K33" s="2" t="s">
        <v>32</v>
      </c>
      <c r="L33" s="11">
        <v>45047</v>
      </c>
      <c r="M33" s="9">
        <v>115000</v>
      </c>
      <c r="N33" s="9"/>
      <c r="O33" s="9"/>
      <c r="P33" s="9"/>
      <c r="Q33" s="9"/>
      <c r="R33" s="9"/>
      <c r="S33" s="49">
        <v>115000</v>
      </c>
      <c r="T33" s="9">
        <f t="shared" si="1"/>
        <v>0</v>
      </c>
    </row>
    <row r="34" spans="1:20" ht="15.75" customHeight="1" x14ac:dyDescent="0.3">
      <c r="A34" s="10">
        <v>45055</v>
      </c>
      <c r="B34" s="2" t="s">
        <v>780</v>
      </c>
      <c r="C34" s="7" t="s">
        <v>784</v>
      </c>
      <c r="D34" s="43" t="s">
        <v>785</v>
      </c>
      <c r="E34" s="9">
        <v>150000</v>
      </c>
      <c r="F34" s="10">
        <v>45050</v>
      </c>
      <c r="G34" s="10">
        <v>45056</v>
      </c>
      <c r="H34" s="9">
        <v>150000</v>
      </c>
      <c r="I34" s="9">
        <f t="shared" si="0"/>
        <v>0</v>
      </c>
      <c r="J34" s="2" t="s">
        <v>786</v>
      </c>
      <c r="K34" s="2" t="s">
        <v>32</v>
      </c>
      <c r="L34" s="11">
        <v>45047</v>
      </c>
      <c r="M34" s="9">
        <v>75000</v>
      </c>
      <c r="N34" s="9"/>
      <c r="O34" s="9"/>
      <c r="P34" s="9"/>
      <c r="Q34" s="9"/>
      <c r="R34" s="49">
        <v>37500</v>
      </c>
      <c r="S34" s="49">
        <v>37500</v>
      </c>
      <c r="T34" s="9">
        <f t="shared" si="1"/>
        <v>0</v>
      </c>
    </row>
    <row r="35" spans="1:20" ht="15.75" customHeight="1" x14ac:dyDescent="0.3">
      <c r="A35" s="10">
        <v>45071</v>
      </c>
      <c r="B35" s="2" t="s">
        <v>787</v>
      </c>
      <c r="C35" s="7" t="s">
        <v>788</v>
      </c>
      <c r="D35" s="43" t="s">
        <v>789</v>
      </c>
      <c r="E35" s="9">
        <v>285000</v>
      </c>
      <c r="F35" s="10">
        <v>45071</v>
      </c>
      <c r="G35" s="10">
        <v>45071</v>
      </c>
      <c r="H35" s="9">
        <v>285000</v>
      </c>
      <c r="I35" s="9">
        <f t="shared" si="0"/>
        <v>0</v>
      </c>
      <c r="J35" s="2" t="s">
        <v>790</v>
      </c>
      <c r="K35" s="2" t="s">
        <v>32</v>
      </c>
      <c r="L35" s="11">
        <v>45047</v>
      </c>
      <c r="M35" s="9">
        <v>285000</v>
      </c>
      <c r="N35" s="9"/>
      <c r="O35" s="9"/>
      <c r="P35" s="9"/>
      <c r="Q35" s="9"/>
      <c r="R35" s="9"/>
      <c r="S35" s="49">
        <v>285000</v>
      </c>
      <c r="T35" s="9">
        <f t="shared" si="1"/>
        <v>0</v>
      </c>
    </row>
    <row r="36" spans="1:20" ht="15.75" customHeight="1" x14ac:dyDescent="0.3">
      <c r="A36" s="10">
        <v>45077</v>
      </c>
      <c r="B36" s="2" t="s">
        <v>791</v>
      </c>
      <c r="C36" s="7" t="s">
        <v>792</v>
      </c>
      <c r="D36" s="43" t="s">
        <v>793</v>
      </c>
      <c r="E36" s="9">
        <v>90000</v>
      </c>
      <c r="F36" s="10">
        <v>45077</v>
      </c>
      <c r="G36" s="10">
        <v>45082</v>
      </c>
      <c r="H36" s="9">
        <v>45000</v>
      </c>
      <c r="I36" s="23">
        <f t="shared" si="0"/>
        <v>45000</v>
      </c>
      <c r="J36" s="2" t="s">
        <v>794</v>
      </c>
      <c r="K36" s="2" t="s">
        <v>32</v>
      </c>
      <c r="L36" s="50">
        <v>45108</v>
      </c>
      <c r="M36" s="9">
        <v>90000</v>
      </c>
      <c r="N36" s="9"/>
      <c r="O36" s="9"/>
      <c r="P36" s="9"/>
      <c r="Q36" s="9"/>
      <c r="R36" s="9"/>
      <c r="S36" s="9">
        <v>45000</v>
      </c>
      <c r="T36" s="9">
        <f t="shared" si="1"/>
        <v>45000</v>
      </c>
    </row>
    <row r="37" spans="1:20" ht="15.75" customHeight="1" x14ac:dyDescent="0.3">
      <c r="A37" s="10">
        <v>45084</v>
      </c>
      <c r="B37" s="2" t="s">
        <v>795</v>
      </c>
      <c r="C37" s="7" t="s">
        <v>796</v>
      </c>
      <c r="D37" s="43" t="s">
        <v>797</v>
      </c>
      <c r="E37" s="9">
        <v>150000</v>
      </c>
      <c r="F37" s="10">
        <v>45084</v>
      </c>
      <c r="G37" s="10">
        <v>45100</v>
      </c>
      <c r="H37" s="9">
        <f>80000+50000</f>
        <v>130000</v>
      </c>
      <c r="I37" s="23">
        <f t="shared" si="0"/>
        <v>20000</v>
      </c>
      <c r="J37" s="2" t="s">
        <v>798</v>
      </c>
      <c r="K37" s="2" t="s">
        <v>32</v>
      </c>
      <c r="L37" s="11">
        <v>45078</v>
      </c>
      <c r="M37" s="9">
        <v>130000</v>
      </c>
      <c r="N37" s="9"/>
      <c r="O37" s="9"/>
      <c r="P37" s="9"/>
      <c r="Q37" s="9"/>
      <c r="R37" s="9"/>
      <c r="S37" s="49">
        <v>130000</v>
      </c>
      <c r="T37" s="9">
        <f t="shared" si="1"/>
        <v>0</v>
      </c>
    </row>
    <row r="38" spans="1:20" ht="15.75" customHeight="1" x14ac:dyDescent="0.3">
      <c r="A38" s="10">
        <v>45077</v>
      </c>
      <c r="B38" s="2" t="s">
        <v>799</v>
      </c>
      <c r="C38" s="7" t="s">
        <v>198</v>
      </c>
      <c r="D38" s="43" t="s">
        <v>800</v>
      </c>
      <c r="E38" s="9">
        <v>5000</v>
      </c>
      <c r="F38" s="10">
        <v>45086</v>
      </c>
      <c r="G38" s="10">
        <v>45077</v>
      </c>
      <c r="H38" s="9">
        <v>5000</v>
      </c>
      <c r="I38" s="9">
        <f t="shared" si="0"/>
        <v>0</v>
      </c>
      <c r="J38" s="2" t="s">
        <v>801</v>
      </c>
      <c r="K38" s="7" t="s">
        <v>27</v>
      </c>
      <c r="L38" s="11">
        <v>45047</v>
      </c>
      <c r="M38" s="9"/>
      <c r="N38" s="9"/>
      <c r="O38" s="9"/>
      <c r="P38" s="9"/>
      <c r="Q38" s="9"/>
      <c r="R38" s="9"/>
      <c r="S38" s="9"/>
      <c r="T38" s="9">
        <f t="shared" si="1"/>
        <v>0</v>
      </c>
    </row>
    <row r="39" spans="1:20" ht="15.75" customHeight="1" x14ac:dyDescent="0.3">
      <c r="A39" s="10">
        <v>45086</v>
      </c>
      <c r="B39" s="2" t="s">
        <v>802</v>
      </c>
      <c r="C39" s="7" t="s">
        <v>803</v>
      </c>
      <c r="D39" s="43" t="s">
        <v>804</v>
      </c>
      <c r="E39" s="9">
        <v>200000</v>
      </c>
      <c r="F39" s="10">
        <v>45086</v>
      </c>
      <c r="G39" s="10">
        <v>45096</v>
      </c>
      <c r="H39" s="9">
        <v>200000</v>
      </c>
      <c r="I39" s="9">
        <f t="shared" si="0"/>
        <v>0</v>
      </c>
      <c r="J39" s="2" t="s">
        <v>805</v>
      </c>
      <c r="K39" s="2" t="s">
        <v>32</v>
      </c>
      <c r="L39" s="11">
        <v>45078</v>
      </c>
      <c r="M39" s="9">
        <v>200000</v>
      </c>
      <c r="N39" s="9"/>
      <c r="O39" s="9"/>
      <c r="P39" s="9"/>
      <c r="Q39" s="9"/>
      <c r="R39" s="9"/>
      <c r="S39" s="49">
        <v>200000</v>
      </c>
      <c r="T39" s="9">
        <f t="shared" si="1"/>
        <v>0</v>
      </c>
    </row>
    <row r="40" spans="1:20" ht="15.75" customHeight="1" x14ac:dyDescent="0.3">
      <c r="A40" s="10">
        <v>45087</v>
      </c>
      <c r="B40" s="2" t="s">
        <v>806</v>
      </c>
      <c r="C40" s="7" t="s">
        <v>20</v>
      </c>
      <c r="D40" s="43" t="s">
        <v>807</v>
      </c>
      <c r="E40" s="9">
        <v>100000</v>
      </c>
      <c r="F40" s="10">
        <v>45089</v>
      </c>
      <c r="G40" s="10">
        <v>45265</v>
      </c>
      <c r="H40" s="9">
        <v>100000</v>
      </c>
      <c r="I40" s="9">
        <f t="shared" si="0"/>
        <v>0</v>
      </c>
      <c r="J40" s="2" t="s">
        <v>759</v>
      </c>
      <c r="K40" s="2" t="s">
        <v>22</v>
      </c>
      <c r="L40" s="11">
        <v>45078</v>
      </c>
      <c r="M40" s="9">
        <v>100000</v>
      </c>
      <c r="N40" s="9">
        <v>100000</v>
      </c>
      <c r="O40" s="9"/>
      <c r="P40" s="9"/>
      <c r="Q40" s="9"/>
      <c r="R40" s="9"/>
      <c r="S40" s="9"/>
      <c r="T40" s="9">
        <f t="shared" si="1"/>
        <v>0</v>
      </c>
    </row>
    <row r="41" spans="1:20" ht="15.75" customHeight="1" x14ac:dyDescent="0.3">
      <c r="A41" s="10">
        <v>45087</v>
      </c>
      <c r="B41" s="2" t="s">
        <v>808</v>
      </c>
      <c r="C41" s="7" t="s">
        <v>24</v>
      </c>
      <c r="D41" s="43" t="s">
        <v>809</v>
      </c>
      <c r="E41" s="9">
        <v>7000</v>
      </c>
      <c r="F41" s="10">
        <v>45089</v>
      </c>
      <c r="G41" s="10">
        <v>45113</v>
      </c>
      <c r="H41" s="9">
        <v>7000</v>
      </c>
      <c r="I41" s="9">
        <f t="shared" si="0"/>
        <v>0</v>
      </c>
      <c r="J41" s="2" t="s">
        <v>810</v>
      </c>
      <c r="K41" s="7" t="s">
        <v>27</v>
      </c>
      <c r="L41" s="11">
        <v>45078</v>
      </c>
      <c r="M41" s="9"/>
      <c r="N41" s="9"/>
      <c r="O41" s="9"/>
      <c r="P41" s="9"/>
      <c r="Q41" s="9"/>
      <c r="R41" s="9"/>
      <c r="S41" s="9"/>
      <c r="T41" s="9">
        <f t="shared" si="1"/>
        <v>0</v>
      </c>
    </row>
    <row r="42" spans="1:20" ht="15.75" customHeight="1" x14ac:dyDescent="0.3">
      <c r="A42" s="10">
        <v>45087</v>
      </c>
      <c r="B42" s="2" t="s">
        <v>811</v>
      </c>
      <c r="C42" s="7" t="s">
        <v>429</v>
      </c>
      <c r="D42" s="43" t="s">
        <v>812</v>
      </c>
      <c r="E42" s="9">
        <v>18930</v>
      </c>
      <c r="F42" s="10">
        <v>45089</v>
      </c>
      <c r="G42" s="10">
        <v>45090</v>
      </c>
      <c r="H42" s="9">
        <v>18930</v>
      </c>
      <c r="I42" s="9">
        <f t="shared" si="0"/>
        <v>0</v>
      </c>
      <c r="J42" s="2" t="s">
        <v>813</v>
      </c>
      <c r="K42" s="7" t="s">
        <v>27</v>
      </c>
      <c r="L42" s="11">
        <v>45078</v>
      </c>
      <c r="M42" s="9"/>
      <c r="N42" s="9"/>
      <c r="O42" s="9"/>
      <c r="P42" s="9"/>
      <c r="Q42" s="9"/>
      <c r="R42" s="9"/>
      <c r="S42" s="9"/>
      <c r="T42" s="9">
        <f t="shared" si="1"/>
        <v>0</v>
      </c>
    </row>
    <row r="43" spans="1:20" ht="15.75" customHeight="1" x14ac:dyDescent="0.3">
      <c r="A43" s="10">
        <v>45087</v>
      </c>
      <c r="B43" s="2" t="s">
        <v>814</v>
      </c>
      <c r="C43" s="7" t="s">
        <v>24</v>
      </c>
      <c r="D43" s="43" t="s">
        <v>815</v>
      </c>
      <c r="E43" s="9">
        <v>28000</v>
      </c>
      <c r="F43" s="10">
        <v>45089</v>
      </c>
      <c r="G43" s="10">
        <v>45113</v>
      </c>
      <c r="H43" s="9">
        <v>28000</v>
      </c>
      <c r="I43" s="9">
        <f t="shared" si="0"/>
        <v>0</v>
      </c>
      <c r="J43" s="2" t="s">
        <v>810</v>
      </c>
      <c r="K43" s="7" t="s">
        <v>27</v>
      </c>
      <c r="L43" s="11">
        <v>45078</v>
      </c>
      <c r="M43" s="9"/>
      <c r="N43" s="9"/>
      <c r="O43" s="9"/>
      <c r="P43" s="9"/>
      <c r="Q43" s="9"/>
      <c r="R43" s="9"/>
      <c r="S43" s="9"/>
      <c r="T43" s="9">
        <f t="shared" si="1"/>
        <v>0</v>
      </c>
    </row>
    <row r="44" spans="1:20" ht="15.75" customHeight="1" x14ac:dyDescent="0.3">
      <c r="A44" s="10">
        <v>45089</v>
      </c>
      <c r="B44" s="2" t="s">
        <v>816</v>
      </c>
      <c r="C44" s="7" t="s">
        <v>817</v>
      </c>
      <c r="D44" s="43" t="s">
        <v>818</v>
      </c>
      <c r="E44" s="9">
        <v>1000000</v>
      </c>
      <c r="F44" s="10">
        <v>45089</v>
      </c>
      <c r="G44" s="10">
        <v>45089</v>
      </c>
      <c r="H44" s="9">
        <v>1000000</v>
      </c>
      <c r="I44" s="9">
        <f t="shared" si="0"/>
        <v>0</v>
      </c>
      <c r="J44" s="2" t="s">
        <v>819</v>
      </c>
      <c r="K44" s="2" t="s">
        <v>32</v>
      </c>
      <c r="L44" s="11">
        <v>45078</v>
      </c>
      <c r="M44" s="9">
        <v>500000</v>
      </c>
      <c r="N44" s="9"/>
      <c r="O44" s="9"/>
      <c r="P44" s="9"/>
      <c r="Q44" s="49">
        <v>500000</v>
      </c>
      <c r="R44" s="9"/>
      <c r="S44" s="9"/>
      <c r="T44" s="9">
        <f t="shared" si="1"/>
        <v>0</v>
      </c>
    </row>
    <row r="45" spans="1:20" ht="15.75" customHeight="1" x14ac:dyDescent="0.3">
      <c r="A45" s="10">
        <v>45091</v>
      </c>
      <c r="B45" s="2" t="s">
        <v>820</v>
      </c>
      <c r="C45" s="7" t="s">
        <v>821</v>
      </c>
      <c r="D45" s="43" t="s">
        <v>822</v>
      </c>
      <c r="E45" s="9">
        <v>47500</v>
      </c>
      <c r="F45" s="10">
        <v>45091</v>
      </c>
      <c r="G45" s="10">
        <v>45091</v>
      </c>
      <c r="H45" s="9">
        <v>47500</v>
      </c>
      <c r="I45" s="9">
        <f t="shared" si="0"/>
        <v>0</v>
      </c>
      <c r="J45" s="2" t="s">
        <v>823</v>
      </c>
      <c r="K45" s="2" t="s">
        <v>32</v>
      </c>
      <c r="L45" s="11">
        <v>45078</v>
      </c>
      <c r="M45" s="9">
        <v>47500</v>
      </c>
      <c r="N45" s="9"/>
      <c r="O45" s="9"/>
      <c r="P45" s="9"/>
      <c r="Q45" s="49">
        <v>47500</v>
      </c>
      <c r="R45" s="9"/>
      <c r="S45" s="9"/>
      <c r="T45" s="9">
        <f t="shared" si="1"/>
        <v>0</v>
      </c>
    </row>
    <row r="46" spans="1:20" ht="15.75" customHeight="1" x14ac:dyDescent="0.3">
      <c r="A46" s="10">
        <v>45092</v>
      </c>
      <c r="B46" s="2" t="s">
        <v>824</v>
      </c>
      <c r="C46" s="7" t="s">
        <v>825</v>
      </c>
      <c r="D46" s="43" t="s">
        <v>826</v>
      </c>
      <c r="E46" s="9">
        <v>2225000</v>
      </c>
      <c r="F46" s="10">
        <v>45092</v>
      </c>
      <c r="G46" s="10">
        <v>45121</v>
      </c>
      <c r="H46" s="9">
        <v>2225000</v>
      </c>
      <c r="I46" s="9">
        <f t="shared" si="0"/>
        <v>0</v>
      </c>
      <c r="J46" s="2" t="s">
        <v>827</v>
      </c>
      <c r="K46" s="2" t="s">
        <v>32</v>
      </c>
      <c r="L46" s="50">
        <v>45108</v>
      </c>
      <c r="M46" s="9">
        <v>2225000</v>
      </c>
      <c r="N46" s="9"/>
      <c r="O46" s="9"/>
      <c r="P46" s="49">
        <v>1900000</v>
      </c>
      <c r="Q46" s="9"/>
      <c r="R46" s="49">
        <v>325000</v>
      </c>
      <c r="S46" s="9"/>
      <c r="T46" s="9">
        <f t="shared" si="1"/>
        <v>0</v>
      </c>
    </row>
    <row r="47" spans="1:20" ht="15.75" customHeight="1" x14ac:dyDescent="0.3">
      <c r="A47" s="10">
        <v>45092</v>
      </c>
      <c r="B47" s="2" t="s">
        <v>824</v>
      </c>
      <c r="C47" s="7" t="s">
        <v>828</v>
      </c>
      <c r="D47" s="43" t="s">
        <v>829</v>
      </c>
      <c r="E47" s="9">
        <v>531250</v>
      </c>
      <c r="F47" s="10">
        <v>45092</v>
      </c>
      <c r="G47" s="10">
        <v>45121</v>
      </c>
      <c r="H47" s="9">
        <v>531250</v>
      </c>
      <c r="I47" s="9">
        <f t="shared" si="0"/>
        <v>0</v>
      </c>
      <c r="J47" s="2" t="s">
        <v>827</v>
      </c>
      <c r="K47" s="2" t="s">
        <v>32</v>
      </c>
      <c r="L47" s="50">
        <v>45108</v>
      </c>
      <c r="M47" s="9">
        <v>531250</v>
      </c>
      <c r="N47" s="9"/>
      <c r="O47" s="9"/>
      <c r="P47" s="9"/>
      <c r="Q47" s="9"/>
      <c r="R47" s="49">
        <v>531250</v>
      </c>
      <c r="S47" s="9"/>
      <c r="T47" s="9">
        <f t="shared" si="1"/>
        <v>0</v>
      </c>
    </row>
    <row r="48" spans="1:20" ht="15.75" customHeight="1" x14ac:dyDescent="0.3">
      <c r="A48" s="10">
        <v>45107</v>
      </c>
      <c r="B48" s="2" t="s">
        <v>830</v>
      </c>
      <c r="C48" s="7" t="s">
        <v>198</v>
      </c>
      <c r="D48" s="43" t="s">
        <v>831</v>
      </c>
      <c r="E48" s="9">
        <v>5000</v>
      </c>
      <c r="F48" s="10">
        <v>45111</v>
      </c>
      <c r="G48" s="10">
        <v>45111</v>
      </c>
      <c r="H48" s="9">
        <v>5000</v>
      </c>
      <c r="I48" s="9">
        <f t="shared" si="0"/>
        <v>0</v>
      </c>
      <c r="J48" s="2" t="s">
        <v>832</v>
      </c>
      <c r="K48" s="7" t="s">
        <v>27</v>
      </c>
      <c r="L48" s="11">
        <v>45078</v>
      </c>
      <c r="M48" s="9"/>
      <c r="N48" s="9"/>
      <c r="O48" s="9"/>
      <c r="P48" s="9"/>
      <c r="Q48" s="9"/>
      <c r="R48" s="9"/>
      <c r="S48" s="9"/>
      <c r="T48" s="9">
        <f t="shared" si="1"/>
        <v>0</v>
      </c>
    </row>
    <row r="49" spans="1:20" ht="15.75" customHeight="1" x14ac:dyDescent="0.3">
      <c r="A49" s="10">
        <v>45107</v>
      </c>
      <c r="B49" s="2" t="s">
        <v>833</v>
      </c>
      <c r="C49" s="7" t="s">
        <v>429</v>
      </c>
      <c r="D49" s="43" t="s">
        <v>834</v>
      </c>
      <c r="E49" s="9">
        <f>53*370</f>
        <v>19610</v>
      </c>
      <c r="F49" s="10">
        <v>45111</v>
      </c>
      <c r="G49" s="10">
        <v>45120</v>
      </c>
      <c r="H49" s="51">
        <v>19610</v>
      </c>
      <c r="I49" s="9">
        <f t="shared" si="0"/>
        <v>0</v>
      </c>
      <c r="J49" s="2" t="s">
        <v>835</v>
      </c>
      <c r="K49" s="7" t="s">
        <v>27</v>
      </c>
      <c r="L49" s="11">
        <v>45078</v>
      </c>
      <c r="M49" s="9"/>
      <c r="N49" s="9"/>
      <c r="O49" s="9"/>
      <c r="P49" s="9"/>
      <c r="Q49" s="9"/>
      <c r="R49" s="9"/>
      <c r="S49" s="9"/>
      <c r="T49" s="9">
        <f t="shared" si="1"/>
        <v>0</v>
      </c>
    </row>
    <row r="50" spans="1:20" ht="15.75" customHeight="1" x14ac:dyDescent="0.3">
      <c r="A50" s="10">
        <v>45110</v>
      </c>
      <c r="B50" s="2" t="s">
        <v>836</v>
      </c>
      <c r="C50" s="7" t="s">
        <v>20</v>
      </c>
      <c r="D50" s="43" t="s">
        <v>837</v>
      </c>
      <c r="E50" s="9">
        <v>100000</v>
      </c>
      <c r="F50" s="10">
        <v>45111</v>
      </c>
      <c r="G50" s="10">
        <v>45265</v>
      </c>
      <c r="H50" s="9">
        <v>100000</v>
      </c>
      <c r="I50" s="9">
        <f t="shared" si="0"/>
        <v>0</v>
      </c>
      <c r="J50" s="2" t="s">
        <v>759</v>
      </c>
      <c r="K50" s="2" t="s">
        <v>22</v>
      </c>
      <c r="L50" s="11">
        <v>45108</v>
      </c>
      <c r="M50" s="9">
        <v>100000</v>
      </c>
      <c r="N50" s="9">
        <v>100000</v>
      </c>
      <c r="O50" s="9"/>
      <c r="P50" s="9"/>
      <c r="Q50" s="9"/>
      <c r="R50" s="9"/>
      <c r="S50" s="9"/>
      <c r="T50" s="9">
        <f t="shared" si="1"/>
        <v>0</v>
      </c>
    </row>
    <row r="51" spans="1:20" ht="15.75" customHeight="1" x14ac:dyDescent="0.3">
      <c r="A51" s="10">
        <v>45110</v>
      </c>
      <c r="B51" s="2" t="s">
        <v>838</v>
      </c>
      <c r="C51" s="7" t="s">
        <v>24</v>
      </c>
      <c r="D51" s="43" t="s">
        <v>839</v>
      </c>
      <c r="E51" s="9">
        <v>28000</v>
      </c>
      <c r="F51" s="10">
        <v>45111</v>
      </c>
      <c r="G51" s="10">
        <v>45162</v>
      </c>
      <c r="H51" s="9">
        <v>28000</v>
      </c>
      <c r="I51" s="9">
        <f t="shared" si="0"/>
        <v>0</v>
      </c>
      <c r="J51" s="2" t="s">
        <v>840</v>
      </c>
      <c r="K51" s="7" t="s">
        <v>27</v>
      </c>
      <c r="L51" s="11">
        <v>45108</v>
      </c>
      <c r="M51" s="9"/>
      <c r="N51" s="9"/>
      <c r="O51" s="9"/>
      <c r="P51" s="9"/>
      <c r="Q51" s="9"/>
      <c r="R51" s="9"/>
      <c r="S51" s="9"/>
      <c r="T51" s="9">
        <f t="shared" si="1"/>
        <v>0</v>
      </c>
    </row>
    <row r="52" spans="1:20" ht="15.75" customHeight="1" x14ac:dyDescent="0.3">
      <c r="A52" s="10">
        <v>45133</v>
      </c>
      <c r="B52" s="2" t="s">
        <v>841</v>
      </c>
      <c r="C52" s="7" t="s">
        <v>842</v>
      </c>
      <c r="D52" s="43" t="s">
        <v>843</v>
      </c>
      <c r="E52" s="9">
        <v>65000</v>
      </c>
      <c r="F52" s="10">
        <v>45133</v>
      </c>
      <c r="G52" s="10">
        <v>45141</v>
      </c>
      <c r="H52" s="9">
        <v>65000</v>
      </c>
      <c r="I52" s="9">
        <f t="shared" si="0"/>
        <v>0</v>
      </c>
      <c r="J52" s="2" t="s">
        <v>844</v>
      </c>
      <c r="K52" s="2" t="s">
        <v>32</v>
      </c>
      <c r="L52" s="11">
        <v>45108</v>
      </c>
      <c r="M52" s="9">
        <v>65000</v>
      </c>
      <c r="N52" s="9"/>
      <c r="O52" s="9"/>
      <c r="P52" s="9"/>
      <c r="Q52" s="49">
        <v>65000</v>
      </c>
      <c r="R52" s="9"/>
      <c r="S52" s="9"/>
      <c r="T52" s="9">
        <f t="shared" si="1"/>
        <v>0</v>
      </c>
    </row>
    <row r="53" spans="1:20" ht="15.75" customHeight="1" x14ac:dyDescent="0.3">
      <c r="A53" s="10">
        <v>45134</v>
      </c>
      <c r="B53" s="2" t="s">
        <v>845</v>
      </c>
      <c r="C53" s="7" t="s">
        <v>724</v>
      </c>
      <c r="D53" s="43" t="s">
        <v>846</v>
      </c>
      <c r="E53" s="9">
        <v>100000</v>
      </c>
      <c r="F53" s="10">
        <v>45134</v>
      </c>
      <c r="G53" s="10">
        <v>45138</v>
      </c>
      <c r="H53" s="9">
        <v>100000</v>
      </c>
      <c r="I53" s="9">
        <f t="shared" si="0"/>
        <v>0</v>
      </c>
      <c r="J53" s="2" t="s">
        <v>847</v>
      </c>
      <c r="K53" s="2" t="s">
        <v>32</v>
      </c>
      <c r="L53" s="11">
        <v>45108</v>
      </c>
      <c r="M53" s="9">
        <v>100000</v>
      </c>
      <c r="N53" s="9"/>
      <c r="O53" s="9"/>
      <c r="P53" s="9"/>
      <c r="Q53" s="49">
        <v>100000</v>
      </c>
      <c r="R53" s="9"/>
      <c r="S53" s="9"/>
      <c r="T53" s="9">
        <f t="shared" si="1"/>
        <v>0</v>
      </c>
    </row>
    <row r="54" spans="1:20" ht="15.75" customHeight="1" x14ac:dyDescent="0.3">
      <c r="A54" s="10">
        <v>45134</v>
      </c>
      <c r="B54" s="2" t="s">
        <v>848</v>
      </c>
      <c r="C54" s="7" t="s">
        <v>198</v>
      </c>
      <c r="D54" s="43" t="s">
        <v>849</v>
      </c>
      <c r="E54" s="9">
        <v>5000</v>
      </c>
      <c r="F54" s="10">
        <v>45140</v>
      </c>
      <c r="G54" s="10">
        <v>45140</v>
      </c>
      <c r="H54" s="9">
        <v>5000</v>
      </c>
      <c r="I54" s="9">
        <f t="shared" si="0"/>
        <v>0</v>
      </c>
      <c r="J54" s="2" t="s">
        <v>850</v>
      </c>
      <c r="K54" s="7" t="s">
        <v>27</v>
      </c>
      <c r="L54" s="11">
        <v>45139</v>
      </c>
      <c r="M54" s="9"/>
      <c r="N54" s="9"/>
      <c r="O54" s="9"/>
      <c r="P54" s="9"/>
      <c r="Q54" s="9"/>
      <c r="R54" s="9"/>
      <c r="S54" s="9"/>
      <c r="T54" s="9">
        <f t="shared" si="1"/>
        <v>0</v>
      </c>
    </row>
    <row r="55" spans="1:20" ht="15.75" customHeight="1" x14ac:dyDescent="0.3">
      <c r="A55" s="10">
        <v>45134</v>
      </c>
      <c r="B55" s="2" t="s">
        <v>851</v>
      </c>
      <c r="C55" s="7" t="s">
        <v>429</v>
      </c>
      <c r="D55" s="43" t="s">
        <v>852</v>
      </c>
      <c r="E55" s="9">
        <f>31*370</f>
        <v>11470</v>
      </c>
      <c r="F55" s="10">
        <v>45142</v>
      </c>
      <c r="G55" s="10">
        <v>45149</v>
      </c>
      <c r="H55" s="9">
        <v>11470</v>
      </c>
      <c r="I55" s="9">
        <f t="shared" si="0"/>
        <v>0</v>
      </c>
      <c r="J55" s="2" t="s">
        <v>853</v>
      </c>
      <c r="K55" s="7" t="s">
        <v>27</v>
      </c>
      <c r="L55" s="11">
        <v>45139</v>
      </c>
      <c r="M55" s="9"/>
      <c r="N55" s="9"/>
      <c r="O55" s="9"/>
      <c r="P55" s="9"/>
      <c r="Q55" s="9"/>
      <c r="R55" s="9"/>
      <c r="S55" s="9"/>
      <c r="T55" s="9">
        <f t="shared" si="1"/>
        <v>0</v>
      </c>
    </row>
    <row r="56" spans="1:20" ht="15.75" customHeight="1" x14ac:dyDescent="0.3">
      <c r="A56" s="10">
        <v>45140</v>
      </c>
      <c r="B56" s="2" t="s">
        <v>854</v>
      </c>
      <c r="C56" s="7" t="s">
        <v>20</v>
      </c>
      <c r="D56" s="43" t="s">
        <v>855</v>
      </c>
      <c r="E56" s="9">
        <v>100000</v>
      </c>
      <c r="F56" s="10">
        <v>45140</v>
      </c>
      <c r="G56" s="10">
        <v>45265</v>
      </c>
      <c r="H56" s="9">
        <v>100000</v>
      </c>
      <c r="I56" s="9">
        <f t="shared" si="0"/>
        <v>0</v>
      </c>
      <c r="J56" s="2" t="s">
        <v>759</v>
      </c>
      <c r="K56" s="2" t="s">
        <v>22</v>
      </c>
      <c r="L56" s="11">
        <v>45139</v>
      </c>
      <c r="M56" s="9">
        <v>100000</v>
      </c>
      <c r="N56" s="9">
        <v>100000</v>
      </c>
      <c r="O56" s="9"/>
      <c r="P56" s="9"/>
      <c r="Q56" s="9"/>
      <c r="R56" s="9"/>
      <c r="S56" s="9"/>
      <c r="T56" s="9">
        <f t="shared" si="1"/>
        <v>0</v>
      </c>
    </row>
    <row r="57" spans="1:20" ht="15.75" customHeight="1" x14ac:dyDescent="0.3">
      <c r="A57" s="10">
        <v>45140</v>
      </c>
      <c r="B57" s="2" t="s">
        <v>856</v>
      </c>
      <c r="C57" s="7" t="s">
        <v>24</v>
      </c>
      <c r="D57" s="43" t="s">
        <v>857</v>
      </c>
      <c r="E57" s="9">
        <v>21000</v>
      </c>
      <c r="F57" s="10">
        <v>45140</v>
      </c>
      <c r="G57" s="10">
        <v>45170</v>
      </c>
      <c r="H57" s="9">
        <v>21000</v>
      </c>
      <c r="I57" s="9">
        <f t="shared" si="0"/>
        <v>0</v>
      </c>
      <c r="J57" s="2" t="s">
        <v>858</v>
      </c>
      <c r="K57" s="7" t="s">
        <v>27</v>
      </c>
      <c r="L57" s="11">
        <v>45139</v>
      </c>
      <c r="M57" s="9"/>
      <c r="N57" s="9"/>
      <c r="O57" s="9"/>
      <c r="P57" s="9"/>
      <c r="Q57" s="9"/>
      <c r="R57" s="9"/>
      <c r="S57" s="9"/>
      <c r="T57" s="9">
        <f t="shared" si="1"/>
        <v>0</v>
      </c>
    </row>
    <row r="58" spans="1:20" ht="15.75" customHeight="1" x14ac:dyDescent="0.3">
      <c r="A58" s="10">
        <v>45140</v>
      </c>
      <c r="B58" s="2" t="s">
        <v>859</v>
      </c>
      <c r="C58" s="7"/>
      <c r="D58" s="43" t="s">
        <v>860</v>
      </c>
      <c r="E58" s="9">
        <v>125000</v>
      </c>
      <c r="F58" s="10">
        <v>45140</v>
      </c>
      <c r="G58" s="10">
        <v>45141</v>
      </c>
      <c r="H58" s="9">
        <f>120000+5000</f>
        <v>125000</v>
      </c>
      <c r="I58" s="9">
        <f t="shared" si="0"/>
        <v>0</v>
      </c>
      <c r="J58" s="2" t="s">
        <v>861</v>
      </c>
      <c r="K58" s="2" t="s">
        <v>32</v>
      </c>
      <c r="L58" s="11">
        <v>45108</v>
      </c>
      <c r="M58" s="9">
        <v>125000</v>
      </c>
      <c r="N58" s="9"/>
      <c r="O58" s="9"/>
      <c r="P58" s="49">
        <v>125000</v>
      </c>
      <c r="Q58" s="9"/>
      <c r="R58" s="9"/>
      <c r="S58" s="9"/>
      <c r="T58" s="9">
        <f t="shared" si="1"/>
        <v>0</v>
      </c>
    </row>
    <row r="59" spans="1:20" ht="15.75" customHeight="1" x14ac:dyDescent="0.3">
      <c r="A59" s="10">
        <v>45148</v>
      </c>
      <c r="B59" s="2" t="s">
        <v>862</v>
      </c>
      <c r="C59" s="7" t="s">
        <v>863</v>
      </c>
      <c r="D59" s="43" t="s">
        <v>864</v>
      </c>
      <c r="E59" s="9">
        <v>540000</v>
      </c>
      <c r="F59" s="10">
        <v>45148</v>
      </c>
      <c r="G59" s="10">
        <v>45149</v>
      </c>
      <c r="H59" s="9">
        <v>540000</v>
      </c>
      <c r="I59" s="9">
        <f t="shared" si="0"/>
        <v>0</v>
      </c>
      <c r="J59" s="2" t="s">
        <v>865</v>
      </c>
      <c r="K59" s="2" t="s">
        <v>32</v>
      </c>
      <c r="L59" s="11">
        <v>45139</v>
      </c>
      <c r="M59" s="9">
        <v>270000</v>
      </c>
      <c r="N59" s="9"/>
      <c r="O59" s="9"/>
      <c r="P59" s="9"/>
      <c r="Q59" s="49">
        <v>270000</v>
      </c>
      <c r="R59" s="9"/>
      <c r="S59" s="9"/>
      <c r="T59" s="9">
        <f t="shared" si="1"/>
        <v>0</v>
      </c>
    </row>
    <row r="60" spans="1:20" ht="15.75" customHeight="1" x14ac:dyDescent="0.3">
      <c r="A60" s="10">
        <v>45153</v>
      </c>
      <c r="B60" s="2" t="s">
        <v>866</v>
      </c>
      <c r="C60" s="7" t="s">
        <v>867</v>
      </c>
      <c r="D60" s="43" t="s">
        <v>868</v>
      </c>
      <c r="E60" s="9">
        <v>42500</v>
      </c>
      <c r="F60" s="10">
        <v>45163</v>
      </c>
      <c r="G60" s="10">
        <v>45153</v>
      </c>
      <c r="H60" s="9">
        <v>42500</v>
      </c>
      <c r="I60" s="9">
        <f t="shared" si="0"/>
        <v>0</v>
      </c>
      <c r="J60" s="2" t="s">
        <v>869</v>
      </c>
      <c r="K60" s="2" t="s">
        <v>32</v>
      </c>
      <c r="L60" s="11">
        <v>45139</v>
      </c>
      <c r="M60" s="9">
        <v>42500</v>
      </c>
      <c r="N60" s="9"/>
      <c r="O60" s="9">
        <v>42500</v>
      </c>
      <c r="P60" s="9"/>
      <c r="Q60" s="9"/>
      <c r="R60" s="9"/>
      <c r="S60" s="9"/>
      <c r="T60" s="9">
        <f t="shared" si="1"/>
        <v>0</v>
      </c>
    </row>
    <row r="61" spans="1:20" ht="15.75" customHeight="1" x14ac:dyDescent="0.3">
      <c r="A61" s="10">
        <v>45156</v>
      </c>
      <c r="B61" s="2" t="s">
        <v>870</v>
      </c>
      <c r="C61" s="7" t="s">
        <v>871</v>
      </c>
      <c r="D61" s="43" t="s">
        <v>872</v>
      </c>
      <c r="E61" s="9">
        <v>30000</v>
      </c>
      <c r="F61" s="10">
        <v>45163</v>
      </c>
      <c r="G61" s="10">
        <v>45156</v>
      </c>
      <c r="H61" s="9">
        <v>30000</v>
      </c>
      <c r="I61" s="9">
        <f t="shared" si="0"/>
        <v>0</v>
      </c>
      <c r="J61" s="2" t="s">
        <v>873</v>
      </c>
      <c r="K61" s="2" t="s">
        <v>32</v>
      </c>
      <c r="L61" s="11">
        <v>45139</v>
      </c>
      <c r="M61" s="9">
        <v>30000</v>
      </c>
      <c r="N61" s="9"/>
      <c r="O61" s="9"/>
      <c r="P61" s="9"/>
      <c r="Q61" s="49">
        <v>30000</v>
      </c>
      <c r="R61" s="9"/>
      <c r="S61" s="9"/>
      <c r="T61" s="9">
        <f t="shared" si="1"/>
        <v>0</v>
      </c>
    </row>
    <row r="62" spans="1:20" ht="15.75" customHeight="1" x14ac:dyDescent="0.3">
      <c r="A62" s="10">
        <v>45157</v>
      </c>
      <c r="B62" s="2" t="s">
        <v>870</v>
      </c>
      <c r="C62" s="7" t="s">
        <v>874</v>
      </c>
      <c r="D62" s="43" t="s">
        <v>875</v>
      </c>
      <c r="E62" s="9">
        <v>30000</v>
      </c>
      <c r="F62" s="10">
        <v>45163</v>
      </c>
      <c r="G62" s="10">
        <v>45157</v>
      </c>
      <c r="H62" s="9">
        <v>30000</v>
      </c>
      <c r="I62" s="9">
        <f t="shared" si="0"/>
        <v>0</v>
      </c>
      <c r="J62" s="2" t="s">
        <v>876</v>
      </c>
      <c r="K62" s="2" t="s">
        <v>32</v>
      </c>
      <c r="L62" s="11">
        <v>45139</v>
      </c>
      <c r="M62" s="9">
        <v>30000</v>
      </c>
      <c r="N62" s="9"/>
      <c r="O62" s="9"/>
      <c r="P62" s="9"/>
      <c r="Q62" s="49">
        <v>30000</v>
      </c>
      <c r="R62" s="9"/>
      <c r="S62" s="9"/>
      <c r="T62" s="9">
        <f t="shared" si="1"/>
        <v>0</v>
      </c>
    </row>
    <row r="63" spans="1:20" ht="15.75" customHeight="1" x14ac:dyDescent="0.3">
      <c r="A63" s="10">
        <v>45161</v>
      </c>
      <c r="B63" s="2" t="s">
        <v>877</v>
      </c>
      <c r="C63" s="7" t="s">
        <v>878</v>
      </c>
      <c r="D63" s="43" t="s">
        <v>879</v>
      </c>
      <c r="E63" s="9">
        <v>65000</v>
      </c>
      <c r="F63" s="10">
        <v>45161</v>
      </c>
      <c r="G63" s="10">
        <v>45161</v>
      </c>
      <c r="H63" s="9">
        <v>65000</v>
      </c>
      <c r="I63" s="9">
        <f t="shared" si="0"/>
        <v>0</v>
      </c>
      <c r="J63" s="2" t="s">
        <v>880</v>
      </c>
      <c r="K63" s="2" t="s">
        <v>32</v>
      </c>
      <c r="L63" s="11">
        <v>45139</v>
      </c>
      <c r="M63" s="9">
        <v>65000</v>
      </c>
      <c r="N63" s="9"/>
      <c r="O63" s="9"/>
      <c r="P63" s="9"/>
      <c r="Q63" s="49">
        <v>65000</v>
      </c>
      <c r="R63" s="9"/>
      <c r="S63" s="9"/>
      <c r="T63" s="9">
        <f t="shared" si="1"/>
        <v>0</v>
      </c>
    </row>
    <row r="64" spans="1:20" ht="15.75" customHeight="1" x14ac:dyDescent="0.3">
      <c r="A64" s="10">
        <v>45169</v>
      </c>
      <c r="B64" s="2" t="s">
        <v>881</v>
      </c>
      <c r="C64" s="7" t="s">
        <v>198</v>
      </c>
      <c r="D64" s="43" t="s">
        <v>882</v>
      </c>
      <c r="E64" s="9">
        <v>5000</v>
      </c>
      <c r="F64" s="10">
        <v>45174</v>
      </c>
      <c r="G64" s="10">
        <v>45170</v>
      </c>
      <c r="H64" s="9">
        <v>5000</v>
      </c>
      <c r="I64" s="9">
        <f t="shared" si="0"/>
        <v>0</v>
      </c>
      <c r="J64" s="2" t="s">
        <v>883</v>
      </c>
      <c r="K64" s="7" t="s">
        <v>27</v>
      </c>
      <c r="L64" s="11">
        <v>45139</v>
      </c>
      <c r="M64" s="9"/>
      <c r="N64" s="9"/>
      <c r="O64" s="9"/>
      <c r="P64" s="9"/>
      <c r="Q64" s="9"/>
      <c r="R64" s="9"/>
      <c r="S64" s="9"/>
      <c r="T64" s="9">
        <f t="shared" si="1"/>
        <v>0</v>
      </c>
    </row>
    <row r="65" spans="1:20" ht="15.75" customHeight="1" x14ac:dyDescent="0.3">
      <c r="A65" s="10">
        <v>45169</v>
      </c>
      <c r="B65" s="2" t="s">
        <v>884</v>
      </c>
      <c r="C65" s="7" t="s">
        <v>429</v>
      </c>
      <c r="D65" s="43" t="s">
        <v>885</v>
      </c>
      <c r="E65" s="9">
        <f>36*370</f>
        <v>13320</v>
      </c>
      <c r="F65" s="10">
        <v>45174</v>
      </c>
      <c r="G65" s="10">
        <v>45184</v>
      </c>
      <c r="H65" s="9">
        <v>13320</v>
      </c>
      <c r="I65" s="9">
        <f t="shared" si="0"/>
        <v>0</v>
      </c>
      <c r="J65" s="2" t="s">
        <v>886</v>
      </c>
      <c r="K65" s="7" t="s">
        <v>27</v>
      </c>
      <c r="L65" s="11">
        <v>45139</v>
      </c>
      <c r="M65" s="9"/>
      <c r="N65" s="9"/>
      <c r="O65" s="9"/>
      <c r="P65" s="9"/>
      <c r="Q65" s="9"/>
      <c r="R65" s="9"/>
      <c r="S65" s="9"/>
      <c r="T65" s="9">
        <f t="shared" si="1"/>
        <v>0</v>
      </c>
    </row>
    <row r="66" spans="1:20" ht="15.75" customHeight="1" x14ac:dyDescent="0.3">
      <c r="A66" s="10">
        <v>45170</v>
      </c>
      <c r="B66" s="2" t="s">
        <v>887</v>
      </c>
      <c r="C66" s="7" t="s">
        <v>20</v>
      </c>
      <c r="D66" s="43" t="s">
        <v>888</v>
      </c>
      <c r="E66" s="9">
        <v>100000</v>
      </c>
      <c r="F66" s="10">
        <v>45176</v>
      </c>
      <c r="G66" s="10">
        <v>45265</v>
      </c>
      <c r="H66" s="9">
        <v>100000</v>
      </c>
      <c r="I66" s="9">
        <f t="shared" si="0"/>
        <v>0</v>
      </c>
      <c r="J66" s="2" t="s">
        <v>759</v>
      </c>
      <c r="K66" s="2" t="s">
        <v>22</v>
      </c>
      <c r="L66" s="11">
        <v>45170</v>
      </c>
      <c r="M66" s="9">
        <v>100000</v>
      </c>
      <c r="N66" s="9">
        <v>100000</v>
      </c>
      <c r="O66" s="9"/>
      <c r="P66" s="9"/>
      <c r="Q66" s="9"/>
      <c r="R66" s="9"/>
      <c r="S66" s="9"/>
      <c r="T66" s="9">
        <f t="shared" si="1"/>
        <v>0</v>
      </c>
    </row>
    <row r="67" spans="1:20" ht="15.75" customHeight="1" x14ac:dyDescent="0.3">
      <c r="A67" s="10">
        <v>45170</v>
      </c>
      <c r="B67" s="2" t="s">
        <v>889</v>
      </c>
      <c r="C67" s="7" t="s">
        <v>24</v>
      </c>
      <c r="D67" s="43" t="s">
        <v>890</v>
      </c>
      <c r="E67" s="9">
        <v>21000</v>
      </c>
      <c r="F67" s="10">
        <v>45176</v>
      </c>
      <c r="G67" s="10">
        <v>45190</v>
      </c>
      <c r="H67" s="9">
        <v>21000</v>
      </c>
      <c r="I67" s="9">
        <f t="shared" si="0"/>
        <v>0</v>
      </c>
      <c r="J67" s="2" t="s">
        <v>891</v>
      </c>
      <c r="K67" s="7" t="s">
        <v>27</v>
      </c>
      <c r="L67" s="11">
        <v>45170</v>
      </c>
      <c r="M67" s="9"/>
      <c r="N67" s="9"/>
      <c r="O67" s="9"/>
      <c r="P67" s="9"/>
      <c r="Q67" s="9"/>
      <c r="R67" s="9"/>
      <c r="S67" s="9"/>
      <c r="T67" s="9">
        <f t="shared" si="1"/>
        <v>0</v>
      </c>
    </row>
    <row r="68" spans="1:20" ht="15.75" customHeight="1" x14ac:dyDescent="0.3">
      <c r="A68" s="10">
        <v>45173</v>
      </c>
      <c r="B68" s="2" t="s">
        <v>892</v>
      </c>
      <c r="C68" s="7" t="s">
        <v>893</v>
      </c>
      <c r="D68" s="43" t="s">
        <v>894</v>
      </c>
      <c r="E68" s="9">
        <v>120000</v>
      </c>
      <c r="F68" s="10">
        <v>45176</v>
      </c>
      <c r="G68" s="10">
        <v>45196</v>
      </c>
      <c r="H68" s="9">
        <v>120000</v>
      </c>
      <c r="I68" s="9">
        <f t="shared" si="0"/>
        <v>0</v>
      </c>
      <c r="J68" s="2" t="s">
        <v>895</v>
      </c>
      <c r="K68" s="2" t="s">
        <v>32</v>
      </c>
      <c r="L68" s="11">
        <v>45170</v>
      </c>
      <c r="M68" s="9">
        <v>120000</v>
      </c>
      <c r="N68" s="9"/>
      <c r="O68" s="9"/>
      <c r="P68" s="9"/>
      <c r="Q68" s="9"/>
      <c r="R68" s="9"/>
      <c r="S68" s="9">
        <v>120000</v>
      </c>
      <c r="T68" s="9">
        <f t="shared" si="1"/>
        <v>0</v>
      </c>
    </row>
    <row r="69" spans="1:20" ht="15.75" customHeight="1" x14ac:dyDescent="0.3">
      <c r="A69" s="10">
        <v>45196</v>
      </c>
      <c r="B69" s="2" t="s">
        <v>896</v>
      </c>
      <c r="C69" s="7" t="s">
        <v>897</v>
      </c>
      <c r="D69" s="43" t="s">
        <v>898</v>
      </c>
      <c r="E69" s="9">
        <v>792000</v>
      </c>
      <c r="F69" s="10">
        <v>45196</v>
      </c>
      <c r="G69" s="10">
        <v>45225</v>
      </c>
      <c r="H69" s="9">
        <v>792000</v>
      </c>
      <c r="I69" s="9">
        <f t="shared" si="0"/>
        <v>0</v>
      </c>
      <c r="J69" s="2" t="s">
        <v>899</v>
      </c>
      <c r="K69" s="2" t="s">
        <v>32</v>
      </c>
      <c r="L69" s="50">
        <v>45200</v>
      </c>
      <c r="M69" s="9">
        <v>396000</v>
      </c>
      <c r="N69" s="9"/>
      <c r="O69" s="9"/>
      <c r="P69" s="9"/>
      <c r="Q69" s="49">
        <v>396000</v>
      </c>
      <c r="R69" s="9"/>
      <c r="S69" s="9"/>
      <c r="T69" s="9">
        <f t="shared" si="1"/>
        <v>0</v>
      </c>
    </row>
    <row r="70" spans="1:20" ht="15.75" customHeight="1" x14ac:dyDescent="0.3">
      <c r="A70" s="10">
        <v>45199</v>
      </c>
      <c r="B70" s="2" t="s">
        <v>900</v>
      </c>
      <c r="C70" s="7" t="s">
        <v>198</v>
      </c>
      <c r="D70" s="43" t="s">
        <v>901</v>
      </c>
      <c r="E70" s="9">
        <v>5000</v>
      </c>
      <c r="F70" s="10">
        <v>45208</v>
      </c>
      <c r="G70" s="10">
        <v>45201</v>
      </c>
      <c r="H70" s="9">
        <v>5000</v>
      </c>
      <c r="I70" s="9">
        <f t="shared" si="0"/>
        <v>0</v>
      </c>
      <c r="J70" s="2" t="s">
        <v>902</v>
      </c>
      <c r="K70" s="7" t="s">
        <v>27</v>
      </c>
      <c r="L70" s="11">
        <v>45170</v>
      </c>
      <c r="M70" s="9"/>
      <c r="N70" s="9"/>
      <c r="O70" s="9"/>
      <c r="P70" s="9"/>
      <c r="Q70" s="9"/>
      <c r="R70" s="9"/>
      <c r="S70" s="9"/>
      <c r="T70" s="9">
        <f t="shared" si="1"/>
        <v>0</v>
      </c>
    </row>
    <row r="71" spans="1:20" ht="15.75" customHeight="1" x14ac:dyDescent="0.3">
      <c r="A71" s="10">
        <v>45199</v>
      </c>
      <c r="B71" s="2" t="s">
        <v>903</v>
      </c>
      <c r="C71" s="7" t="s">
        <v>429</v>
      </c>
      <c r="D71" s="43" t="s">
        <v>904</v>
      </c>
      <c r="E71" s="9">
        <v>7500</v>
      </c>
      <c r="F71" s="10">
        <v>45208</v>
      </c>
      <c r="G71" s="10">
        <v>45208</v>
      </c>
      <c r="H71" s="9">
        <v>7500</v>
      </c>
      <c r="I71" s="9">
        <f t="shared" si="0"/>
        <v>0</v>
      </c>
      <c r="J71" s="2" t="s">
        <v>905</v>
      </c>
      <c r="K71" s="7" t="s">
        <v>27</v>
      </c>
      <c r="L71" s="11">
        <v>45170</v>
      </c>
      <c r="M71" s="9"/>
      <c r="N71" s="9"/>
      <c r="O71" s="9"/>
      <c r="P71" s="9"/>
      <c r="Q71" s="9"/>
      <c r="R71" s="9"/>
      <c r="S71" s="9"/>
      <c r="T71" s="9">
        <f t="shared" si="1"/>
        <v>0</v>
      </c>
    </row>
    <row r="72" spans="1:20" ht="15.75" customHeight="1" x14ac:dyDescent="0.3">
      <c r="A72" s="10">
        <v>45200</v>
      </c>
      <c r="B72" s="2" t="s">
        <v>906</v>
      </c>
      <c r="C72" s="7" t="s">
        <v>20</v>
      </c>
      <c r="D72" s="43" t="s">
        <v>907</v>
      </c>
      <c r="E72" s="9">
        <v>100000</v>
      </c>
      <c r="F72" s="10">
        <v>45208</v>
      </c>
      <c r="G72" s="10">
        <v>45265</v>
      </c>
      <c r="H72" s="9">
        <v>100000</v>
      </c>
      <c r="I72" s="9">
        <f t="shared" si="0"/>
        <v>0</v>
      </c>
      <c r="J72" s="2" t="s">
        <v>759</v>
      </c>
      <c r="K72" s="2" t="s">
        <v>22</v>
      </c>
      <c r="L72" s="11">
        <v>45200</v>
      </c>
      <c r="M72" s="9">
        <v>100000</v>
      </c>
      <c r="N72" s="9">
        <v>100000</v>
      </c>
      <c r="O72" s="9"/>
      <c r="P72" s="9"/>
      <c r="Q72" s="9"/>
      <c r="R72" s="9"/>
      <c r="S72" s="9"/>
      <c r="T72" s="9">
        <f t="shared" si="1"/>
        <v>0</v>
      </c>
    </row>
    <row r="73" spans="1:20" ht="15.75" customHeight="1" x14ac:dyDescent="0.3">
      <c r="A73" s="10">
        <v>45200</v>
      </c>
      <c r="B73" s="2" t="s">
        <v>908</v>
      </c>
      <c r="C73" s="7" t="s">
        <v>24</v>
      </c>
      <c r="D73" s="43" t="s">
        <v>909</v>
      </c>
      <c r="E73" s="9">
        <v>21000</v>
      </c>
      <c r="F73" s="10">
        <v>45208</v>
      </c>
      <c r="G73" s="10">
        <v>45218</v>
      </c>
      <c r="H73" s="9">
        <v>21000</v>
      </c>
      <c r="I73" s="9">
        <f t="shared" si="0"/>
        <v>0</v>
      </c>
      <c r="J73" s="2" t="s">
        <v>910</v>
      </c>
      <c r="K73" s="7" t="s">
        <v>27</v>
      </c>
      <c r="L73" s="11">
        <v>45200</v>
      </c>
      <c r="M73" s="9"/>
      <c r="N73" s="9"/>
      <c r="O73" s="9"/>
      <c r="P73" s="9"/>
      <c r="Q73" s="9"/>
      <c r="R73" s="9"/>
      <c r="S73" s="9"/>
      <c r="T73" s="9">
        <f t="shared" si="1"/>
        <v>0</v>
      </c>
    </row>
    <row r="74" spans="1:20" ht="15.75" customHeight="1" x14ac:dyDescent="0.3">
      <c r="A74" s="10">
        <v>45200</v>
      </c>
      <c r="B74" s="2" t="s">
        <v>911</v>
      </c>
      <c r="C74" s="7" t="s">
        <v>912</v>
      </c>
      <c r="D74" s="43" t="s">
        <v>913</v>
      </c>
      <c r="E74" s="9">
        <v>40000</v>
      </c>
      <c r="F74" s="10">
        <v>45210</v>
      </c>
      <c r="G74" s="10">
        <v>45196</v>
      </c>
      <c r="H74" s="9">
        <v>40000</v>
      </c>
      <c r="I74" s="9">
        <f t="shared" si="0"/>
        <v>0</v>
      </c>
      <c r="J74" s="2" t="s">
        <v>914</v>
      </c>
      <c r="K74" s="2" t="s">
        <v>32</v>
      </c>
      <c r="L74" s="11">
        <v>45170</v>
      </c>
      <c r="M74" s="9">
        <v>40000</v>
      </c>
      <c r="N74" s="9"/>
      <c r="O74" s="9"/>
      <c r="P74" s="9"/>
      <c r="Q74" s="9"/>
      <c r="R74" s="9"/>
      <c r="S74" s="9">
        <v>40000</v>
      </c>
      <c r="T74" s="9">
        <f t="shared" si="1"/>
        <v>0</v>
      </c>
    </row>
    <row r="75" spans="1:20" ht="15.75" customHeight="1" x14ac:dyDescent="0.3">
      <c r="A75" s="10">
        <v>45216</v>
      </c>
      <c r="B75" s="2" t="s">
        <v>915</v>
      </c>
      <c r="C75" s="7" t="s">
        <v>916</v>
      </c>
      <c r="D75" s="43" t="s">
        <v>917</v>
      </c>
      <c r="E75" s="9">
        <v>400000</v>
      </c>
      <c r="F75" s="10">
        <v>45216</v>
      </c>
      <c r="G75" s="10">
        <v>45222</v>
      </c>
      <c r="H75" s="9">
        <v>400000</v>
      </c>
      <c r="I75" s="9">
        <f t="shared" si="0"/>
        <v>0</v>
      </c>
      <c r="J75" s="2" t="s">
        <v>918</v>
      </c>
      <c r="K75" s="2" t="s">
        <v>32</v>
      </c>
      <c r="L75" s="11">
        <v>45200</v>
      </c>
      <c r="M75" s="9">
        <v>400000</v>
      </c>
      <c r="N75" s="9"/>
      <c r="O75" s="9"/>
      <c r="P75" s="9"/>
      <c r="Q75" s="49">
        <v>400000</v>
      </c>
      <c r="R75" s="9"/>
      <c r="S75" s="9"/>
      <c r="T75" s="9">
        <f t="shared" si="1"/>
        <v>0</v>
      </c>
    </row>
    <row r="76" spans="1:20" ht="15.75" customHeight="1" x14ac:dyDescent="0.3">
      <c r="A76" s="10">
        <v>45230</v>
      </c>
      <c r="B76" s="2" t="s">
        <v>919</v>
      </c>
      <c r="C76" s="7" t="s">
        <v>429</v>
      </c>
      <c r="D76" s="43" t="s">
        <v>920</v>
      </c>
      <c r="E76" s="9">
        <v>7770</v>
      </c>
      <c r="F76" s="10">
        <v>45240</v>
      </c>
      <c r="G76" s="10">
        <v>45241</v>
      </c>
      <c r="H76" s="9">
        <v>7770</v>
      </c>
      <c r="I76" s="9">
        <f t="shared" si="0"/>
        <v>0</v>
      </c>
      <c r="J76" s="2" t="s">
        <v>921</v>
      </c>
      <c r="K76" s="7" t="s">
        <v>27</v>
      </c>
      <c r="L76" s="11">
        <v>45200</v>
      </c>
      <c r="M76" s="9"/>
      <c r="N76" s="9"/>
      <c r="O76" s="9"/>
      <c r="P76" s="9"/>
      <c r="Q76" s="9"/>
      <c r="R76" s="9"/>
      <c r="S76" s="9"/>
      <c r="T76" s="9">
        <f t="shared" si="1"/>
        <v>0</v>
      </c>
    </row>
    <row r="77" spans="1:20" ht="15.75" customHeight="1" x14ac:dyDescent="0.3">
      <c r="A77" s="10">
        <v>45231</v>
      </c>
      <c r="B77" s="2" t="s">
        <v>922</v>
      </c>
      <c r="C77" s="7" t="s">
        <v>20</v>
      </c>
      <c r="D77" s="43" t="s">
        <v>923</v>
      </c>
      <c r="E77" s="9">
        <v>100000</v>
      </c>
      <c r="F77" s="10">
        <v>45231</v>
      </c>
      <c r="G77" s="10">
        <v>45265</v>
      </c>
      <c r="H77" s="9">
        <v>100000</v>
      </c>
      <c r="I77" s="9">
        <f t="shared" si="0"/>
        <v>0</v>
      </c>
      <c r="J77" s="2" t="s">
        <v>759</v>
      </c>
      <c r="K77" s="2" t="s">
        <v>22</v>
      </c>
      <c r="L77" s="11">
        <v>45231</v>
      </c>
      <c r="M77" s="9">
        <v>100000</v>
      </c>
      <c r="N77" s="9">
        <v>100000</v>
      </c>
      <c r="O77" s="9"/>
      <c r="P77" s="9"/>
      <c r="Q77" s="9"/>
      <c r="R77" s="9"/>
      <c r="S77" s="9"/>
      <c r="T77" s="9">
        <f t="shared" si="1"/>
        <v>0</v>
      </c>
    </row>
    <row r="78" spans="1:20" ht="15.75" customHeight="1" x14ac:dyDescent="0.3">
      <c r="A78" s="10">
        <v>45231</v>
      </c>
      <c r="B78" s="2" t="s">
        <v>924</v>
      </c>
      <c r="C78" s="7" t="s">
        <v>24</v>
      </c>
      <c r="D78" s="43" t="s">
        <v>925</v>
      </c>
      <c r="E78" s="9">
        <v>21000</v>
      </c>
      <c r="F78" s="10">
        <v>45231</v>
      </c>
      <c r="G78" s="10">
        <v>45250</v>
      </c>
      <c r="H78" s="9">
        <v>21000</v>
      </c>
      <c r="I78" s="9">
        <f t="shared" si="0"/>
        <v>0</v>
      </c>
      <c r="J78" s="2" t="s">
        <v>926</v>
      </c>
      <c r="K78" s="7" t="s">
        <v>27</v>
      </c>
      <c r="L78" s="11">
        <v>45231</v>
      </c>
      <c r="M78" s="9"/>
      <c r="N78" s="9"/>
      <c r="O78" s="9"/>
      <c r="P78" s="9"/>
      <c r="Q78" s="9"/>
      <c r="R78" s="9"/>
      <c r="S78" s="9"/>
      <c r="T78" s="9">
        <f t="shared" si="1"/>
        <v>0</v>
      </c>
    </row>
    <row r="79" spans="1:20" ht="15.75" customHeight="1" x14ac:dyDescent="0.3">
      <c r="A79" s="10">
        <v>45230</v>
      </c>
      <c r="B79" s="2" t="s">
        <v>927</v>
      </c>
      <c r="C79" s="7" t="s">
        <v>198</v>
      </c>
      <c r="D79" s="43" t="s">
        <v>928</v>
      </c>
      <c r="E79" s="9">
        <v>5000</v>
      </c>
      <c r="F79" s="10">
        <v>45231</v>
      </c>
      <c r="G79" s="10">
        <v>45231</v>
      </c>
      <c r="H79" s="9">
        <v>5000</v>
      </c>
      <c r="I79" s="9">
        <f t="shared" si="0"/>
        <v>0</v>
      </c>
      <c r="J79" s="2" t="s">
        <v>929</v>
      </c>
      <c r="K79" s="7" t="s">
        <v>27</v>
      </c>
      <c r="L79" s="11">
        <v>45200</v>
      </c>
      <c r="M79" s="9"/>
      <c r="N79" s="9"/>
      <c r="O79" s="9"/>
      <c r="P79" s="9"/>
      <c r="Q79" s="9"/>
      <c r="R79" s="9"/>
      <c r="S79" s="9"/>
      <c r="T79" s="9">
        <f t="shared" si="1"/>
        <v>0</v>
      </c>
    </row>
    <row r="80" spans="1:20" ht="15.75" customHeight="1" x14ac:dyDescent="0.3">
      <c r="A80" s="10">
        <v>45238</v>
      </c>
      <c r="B80" s="2" t="s">
        <v>930</v>
      </c>
      <c r="C80" s="7" t="s">
        <v>931</v>
      </c>
      <c r="D80" s="43" t="s">
        <v>932</v>
      </c>
      <c r="E80" s="9">
        <v>80000</v>
      </c>
      <c r="F80" s="10">
        <v>45238</v>
      </c>
      <c r="G80" s="10">
        <v>45240</v>
      </c>
      <c r="H80" s="9">
        <v>80000</v>
      </c>
      <c r="I80" s="9">
        <f t="shared" si="0"/>
        <v>0</v>
      </c>
      <c r="J80" s="2" t="s">
        <v>933</v>
      </c>
      <c r="K80" s="2" t="s">
        <v>32</v>
      </c>
      <c r="L80" s="11">
        <v>45231</v>
      </c>
      <c r="M80" s="9">
        <v>80000</v>
      </c>
      <c r="N80" s="9"/>
      <c r="O80" s="9"/>
      <c r="P80" s="9"/>
      <c r="Q80" s="9"/>
      <c r="R80" s="9"/>
      <c r="S80" s="9">
        <v>80000</v>
      </c>
      <c r="T80" s="9">
        <f t="shared" si="1"/>
        <v>0</v>
      </c>
    </row>
    <row r="81" spans="1:20" ht="15.75" customHeight="1" x14ac:dyDescent="0.3">
      <c r="A81" s="10">
        <v>45246</v>
      </c>
      <c r="B81" s="7" t="s">
        <v>934</v>
      </c>
      <c r="C81" s="7" t="s">
        <v>935</v>
      </c>
      <c r="D81" s="43" t="s">
        <v>936</v>
      </c>
      <c r="E81" s="9">
        <v>25000</v>
      </c>
      <c r="F81" s="10">
        <v>45246</v>
      </c>
      <c r="G81" s="10">
        <v>45246</v>
      </c>
      <c r="H81" s="9">
        <v>25000</v>
      </c>
      <c r="I81" s="9">
        <f t="shared" si="0"/>
        <v>0</v>
      </c>
      <c r="J81" s="2" t="s">
        <v>937</v>
      </c>
      <c r="K81" s="2" t="s">
        <v>32</v>
      </c>
      <c r="L81" s="11">
        <v>45231</v>
      </c>
      <c r="M81" s="9">
        <v>25000</v>
      </c>
      <c r="N81" s="9"/>
      <c r="O81" s="9"/>
      <c r="P81" s="9"/>
      <c r="Q81" s="9"/>
      <c r="R81" s="9"/>
      <c r="S81" s="9">
        <v>25000</v>
      </c>
      <c r="T81" s="9">
        <f t="shared" si="1"/>
        <v>0</v>
      </c>
    </row>
    <row r="82" spans="1:20" ht="15.75" customHeight="1" x14ac:dyDescent="0.3">
      <c r="A82" s="10">
        <v>45250</v>
      </c>
      <c r="B82" s="7" t="s">
        <v>938</v>
      </c>
      <c r="C82" s="7" t="s">
        <v>939</v>
      </c>
      <c r="D82" s="43" t="s">
        <v>940</v>
      </c>
      <c r="E82" s="9">
        <v>1080000</v>
      </c>
      <c r="F82" s="10">
        <v>45250</v>
      </c>
      <c r="G82" s="10">
        <v>45251</v>
      </c>
      <c r="H82" s="9">
        <v>1080000</v>
      </c>
      <c r="I82" s="9">
        <f t="shared" si="0"/>
        <v>0</v>
      </c>
      <c r="J82" s="2" t="s">
        <v>941</v>
      </c>
      <c r="K82" s="2" t="s">
        <v>32</v>
      </c>
      <c r="L82" s="11">
        <v>45231</v>
      </c>
      <c r="M82" s="9">
        <v>1080000</v>
      </c>
      <c r="N82" s="9"/>
      <c r="O82" s="9"/>
      <c r="P82" s="49">
        <v>1080000</v>
      </c>
      <c r="Q82" s="9"/>
      <c r="R82" s="9"/>
      <c r="S82" s="9"/>
      <c r="T82" s="9">
        <f t="shared" si="1"/>
        <v>0</v>
      </c>
    </row>
    <row r="83" spans="1:20" ht="15.75" customHeight="1" x14ac:dyDescent="0.3">
      <c r="A83" s="10">
        <v>45253</v>
      </c>
      <c r="B83" s="7" t="s">
        <v>942</v>
      </c>
      <c r="C83" s="7" t="s">
        <v>943</v>
      </c>
      <c r="D83" s="43" t="s">
        <v>944</v>
      </c>
      <c r="E83" s="9">
        <v>1050</v>
      </c>
      <c r="F83" s="10">
        <v>45253</v>
      </c>
      <c r="G83" s="10">
        <v>45310</v>
      </c>
      <c r="H83" s="9">
        <v>1050</v>
      </c>
      <c r="I83" s="9">
        <f t="shared" si="0"/>
        <v>0</v>
      </c>
      <c r="J83" s="2" t="s">
        <v>945</v>
      </c>
      <c r="K83" s="7" t="s">
        <v>27</v>
      </c>
      <c r="L83" s="11">
        <v>45231</v>
      </c>
      <c r="M83" s="9"/>
      <c r="N83" s="9"/>
      <c r="O83" s="9"/>
      <c r="P83" s="9"/>
      <c r="Q83" s="9"/>
      <c r="R83" s="9"/>
      <c r="S83" s="9"/>
      <c r="T83" s="9">
        <f t="shared" si="1"/>
        <v>0</v>
      </c>
    </row>
    <row r="84" spans="1:20" ht="15.75" customHeight="1" x14ac:dyDescent="0.3">
      <c r="A84" s="10">
        <v>45253</v>
      </c>
      <c r="B84" s="7" t="s">
        <v>946</v>
      </c>
      <c r="C84" s="7" t="s">
        <v>943</v>
      </c>
      <c r="D84" s="43" t="s">
        <v>947</v>
      </c>
      <c r="E84" s="9">
        <v>10850</v>
      </c>
      <c r="F84" s="10">
        <v>45253</v>
      </c>
      <c r="G84" s="10">
        <v>45268</v>
      </c>
      <c r="H84" s="9">
        <v>10850</v>
      </c>
      <c r="I84" s="9">
        <f t="shared" si="0"/>
        <v>0</v>
      </c>
      <c r="J84" s="2" t="s">
        <v>948</v>
      </c>
      <c r="K84" s="7" t="s">
        <v>27</v>
      </c>
      <c r="L84" s="11">
        <v>45231</v>
      </c>
      <c r="M84" s="9"/>
      <c r="N84" s="9"/>
      <c r="O84" s="9"/>
      <c r="P84" s="9"/>
      <c r="Q84" s="9"/>
      <c r="R84" s="9"/>
      <c r="S84" s="9"/>
      <c r="T84" s="9">
        <f t="shared" si="1"/>
        <v>0</v>
      </c>
    </row>
    <row r="85" spans="1:20" ht="15.75" customHeight="1" x14ac:dyDescent="0.3">
      <c r="A85" s="10">
        <v>45255</v>
      </c>
      <c r="B85" s="7" t="s">
        <v>949</v>
      </c>
      <c r="C85" s="7" t="s">
        <v>950</v>
      </c>
      <c r="D85" s="43" t="s">
        <v>951</v>
      </c>
      <c r="E85" s="9">
        <f>1140000/2</f>
        <v>570000</v>
      </c>
      <c r="F85" s="10">
        <v>45255</v>
      </c>
      <c r="G85" s="10">
        <v>45276</v>
      </c>
      <c r="H85" s="9">
        <v>350000</v>
      </c>
      <c r="I85" s="9">
        <f t="shared" si="0"/>
        <v>220000</v>
      </c>
      <c r="K85" s="2" t="s">
        <v>32</v>
      </c>
      <c r="L85" s="11">
        <v>45231</v>
      </c>
      <c r="M85" s="9">
        <v>570000</v>
      </c>
      <c r="N85" s="9"/>
      <c r="O85" s="9"/>
      <c r="P85" s="9"/>
      <c r="Q85" s="9"/>
      <c r="R85" s="9"/>
      <c r="S85" s="9"/>
      <c r="T85" s="9">
        <f t="shared" si="1"/>
        <v>570000</v>
      </c>
    </row>
    <row r="86" spans="1:20" ht="15.75" customHeight="1" x14ac:dyDescent="0.3">
      <c r="A86" s="10">
        <v>45260</v>
      </c>
      <c r="B86" s="2" t="s">
        <v>952</v>
      </c>
      <c r="C86" s="7" t="s">
        <v>198</v>
      </c>
      <c r="D86" s="43" t="s">
        <v>953</v>
      </c>
      <c r="E86" s="9">
        <v>5000</v>
      </c>
      <c r="F86" s="10">
        <v>45265</v>
      </c>
      <c r="G86" s="10">
        <v>45266</v>
      </c>
      <c r="H86" s="9">
        <v>5000</v>
      </c>
      <c r="I86" s="9">
        <f t="shared" si="0"/>
        <v>0</v>
      </c>
      <c r="J86" s="2" t="s">
        <v>954</v>
      </c>
      <c r="K86" s="7" t="s">
        <v>27</v>
      </c>
      <c r="L86" s="11">
        <v>45231</v>
      </c>
      <c r="M86" s="9"/>
      <c r="N86" s="9"/>
      <c r="O86" s="9"/>
      <c r="P86" s="9"/>
      <c r="Q86" s="9"/>
      <c r="R86" s="9"/>
      <c r="S86" s="9"/>
      <c r="T86" s="9">
        <f t="shared" si="1"/>
        <v>0</v>
      </c>
    </row>
    <row r="87" spans="1:20" ht="15.75" customHeight="1" x14ac:dyDescent="0.3">
      <c r="A87" s="10">
        <v>45260</v>
      </c>
      <c r="B87" s="2" t="s">
        <v>955</v>
      </c>
      <c r="C87" s="7" t="s">
        <v>429</v>
      </c>
      <c r="D87" s="43" t="s">
        <v>956</v>
      </c>
      <c r="E87" s="9">
        <v>9720</v>
      </c>
      <c r="F87" s="10">
        <v>45267</v>
      </c>
      <c r="G87" s="10">
        <v>45272</v>
      </c>
      <c r="H87" s="9">
        <v>9720</v>
      </c>
      <c r="I87" s="9">
        <f t="shared" si="0"/>
        <v>0</v>
      </c>
      <c r="J87" s="2" t="s">
        <v>957</v>
      </c>
      <c r="K87" s="7" t="s">
        <v>27</v>
      </c>
      <c r="L87" s="11">
        <v>45231</v>
      </c>
      <c r="M87" s="9"/>
      <c r="N87" s="9"/>
      <c r="O87" s="9"/>
      <c r="P87" s="9"/>
      <c r="Q87" s="9"/>
      <c r="R87" s="9"/>
      <c r="S87" s="9"/>
      <c r="T87" s="9">
        <f t="shared" si="1"/>
        <v>0</v>
      </c>
    </row>
    <row r="88" spans="1:20" ht="15.75" customHeight="1" x14ac:dyDescent="0.3">
      <c r="A88" s="10">
        <v>45261</v>
      </c>
      <c r="B88" s="2" t="s">
        <v>958</v>
      </c>
      <c r="C88" s="7" t="s">
        <v>20</v>
      </c>
      <c r="D88" s="43" t="s">
        <v>959</v>
      </c>
      <c r="E88" s="9">
        <v>100000</v>
      </c>
      <c r="F88" s="10">
        <v>45267</v>
      </c>
      <c r="G88" s="10">
        <v>45398</v>
      </c>
      <c r="H88" s="9">
        <v>100000</v>
      </c>
      <c r="I88" s="9">
        <f t="shared" si="0"/>
        <v>0</v>
      </c>
      <c r="J88" s="2" t="s">
        <v>408</v>
      </c>
      <c r="K88" s="2" t="s">
        <v>22</v>
      </c>
      <c r="L88" s="11">
        <v>45261</v>
      </c>
      <c r="M88" s="9">
        <v>100000</v>
      </c>
      <c r="N88" s="9">
        <v>100000</v>
      </c>
      <c r="O88" s="9"/>
      <c r="P88" s="9"/>
      <c r="Q88" s="9"/>
      <c r="R88" s="9"/>
      <c r="S88" s="9"/>
      <c r="T88" s="9">
        <f t="shared" si="1"/>
        <v>0</v>
      </c>
    </row>
    <row r="89" spans="1:20" ht="15.75" customHeight="1" x14ac:dyDescent="0.3">
      <c r="A89" s="10">
        <v>45261</v>
      </c>
      <c r="B89" s="2" t="s">
        <v>960</v>
      </c>
      <c r="C89" s="7" t="s">
        <v>24</v>
      </c>
      <c r="D89" s="43" t="s">
        <v>961</v>
      </c>
      <c r="E89" s="9">
        <v>32900</v>
      </c>
      <c r="F89" s="10">
        <v>45267</v>
      </c>
      <c r="G89" s="10">
        <v>45300</v>
      </c>
      <c r="H89" s="9">
        <v>32900</v>
      </c>
      <c r="I89" s="9">
        <f t="shared" si="0"/>
        <v>0</v>
      </c>
      <c r="J89" s="2" t="s">
        <v>962</v>
      </c>
      <c r="K89" s="7" t="s">
        <v>27</v>
      </c>
      <c r="L89" s="11">
        <v>45261</v>
      </c>
      <c r="M89" s="9"/>
      <c r="N89" s="9"/>
      <c r="O89" s="9"/>
      <c r="P89" s="9"/>
      <c r="Q89" s="9"/>
      <c r="R89" s="9"/>
      <c r="S89" s="9"/>
      <c r="T89" s="9">
        <f t="shared" si="1"/>
        <v>0</v>
      </c>
    </row>
    <row r="90" spans="1:20" ht="15.75" customHeight="1" x14ac:dyDescent="0.3">
      <c r="A90" s="10">
        <v>45271</v>
      </c>
      <c r="B90" s="7" t="s">
        <v>963</v>
      </c>
      <c r="C90" s="7" t="s">
        <v>964</v>
      </c>
      <c r="D90" s="43" t="s">
        <v>965</v>
      </c>
      <c r="E90" s="9">
        <v>825000</v>
      </c>
      <c r="F90" s="10">
        <v>45287</v>
      </c>
      <c r="G90" s="10">
        <v>45272</v>
      </c>
      <c r="H90" s="9">
        <v>825000</v>
      </c>
      <c r="I90" s="9">
        <f t="shared" si="0"/>
        <v>0</v>
      </c>
      <c r="J90" s="2" t="s">
        <v>966</v>
      </c>
      <c r="K90" s="2" t="s">
        <v>32</v>
      </c>
      <c r="L90" s="11">
        <v>45261</v>
      </c>
      <c r="M90" s="9">
        <v>825000</v>
      </c>
      <c r="N90" s="9"/>
      <c r="O90" s="9"/>
      <c r="P90" s="49">
        <v>825000</v>
      </c>
      <c r="Q90" s="9"/>
      <c r="R90" s="9"/>
      <c r="S90" s="9"/>
      <c r="T90" s="9">
        <f t="shared" si="1"/>
        <v>0</v>
      </c>
    </row>
    <row r="91" spans="1:20" ht="15.75" customHeight="1" x14ac:dyDescent="0.3">
      <c r="A91" s="10">
        <v>45291</v>
      </c>
      <c r="B91" s="2" t="s">
        <v>967</v>
      </c>
      <c r="C91" s="7" t="s">
        <v>198</v>
      </c>
      <c r="D91" s="43" t="s">
        <v>968</v>
      </c>
      <c r="E91" s="9">
        <v>5000</v>
      </c>
      <c r="F91" s="10">
        <v>45295</v>
      </c>
      <c r="G91" s="10">
        <v>45292</v>
      </c>
      <c r="H91" s="9">
        <v>5000</v>
      </c>
      <c r="I91" s="9">
        <f t="shared" si="0"/>
        <v>0</v>
      </c>
      <c r="J91" s="2" t="s">
        <v>969</v>
      </c>
      <c r="K91" s="7" t="s">
        <v>27</v>
      </c>
      <c r="L91" s="11">
        <v>45261</v>
      </c>
      <c r="M91" s="9"/>
      <c r="N91" s="9"/>
      <c r="O91" s="9"/>
      <c r="P91" s="9"/>
      <c r="Q91" s="9"/>
      <c r="R91" s="9"/>
      <c r="S91" s="9"/>
      <c r="T91" s="9">
        <f t="shared" si="1"/>
        <v>0</v>
      </c>
    </row>
    <row r="92" spans="1:20" ht="15.75" customHeight="1" x14ac:dyDescent="0.3">
      <c r="A92" s="10">
        <v>45291</v>
      </c>
      <c r="B92" s="2" t="s">
        <v>970</v>
      </c>
      <c r="C92" s="7" t="s">
        <v>429</v>
      </c>
      <c r="D92" s="43" t="s">
        <v>971</v>
      </c>
      <c r="E92" s="9">
        <v>7500</v>
      </c>
      <c r="F92" s="10">
        <v>45295</v>
      </c>
      <c r="G92" s="10">
        <v>45296</v>
      </c>
      <c r="H92" s="9">
        <v>7500</v>
      </c>
      <c r="I92" s="9">
        <f t="shared" si="0"/>
        <v>0</v>
      </c>
      <c r="J92" s="2" t="s">
        <v>972</v>
      </c>
      <c r="K92" s="7" t="s">
        <v>27</v>
      </c>
      <c r="L92" s="11">
        <v>45261</v>
      </c>
      <c r="M92" s="9"/>
      <c r="N92" s="9"/>
      <c r="O92" s="9"/>
      <c r="P92" s="9"/>
      <c r="Q92" s="9"/>
      <c r="R92" s="9"/>
      <c r="S92" s="9"/>
      <c r="T92" s="9">
        <f t="shared" si="1"/>
        <v>0</v>
      </c>
    </row>
    <row r="93" spans="1:20" ht="15.75" customHeight="1" x14ac:dyDescent="0.3">
      <c r="A93" s="10">
        <v>45291</v>
      </c>
      <c r="B93" s="2" t="s">
        <v>973</v>
      </c>
      <c r="C93" s="7" t="s">
        <v>943</v>
      </c>
      <c r="D93" s="43" t="s">
        <v>974</v>
      </c>
      <c r="E93" s="9">
        <v>6650</v>
      </c>
      <c r="F93" s="10">
        <v>45295</v>
      </c>
      <c r="G93" s="10">
        <v>45310</v>
      </c>
      <c r="H93" s="9">
        <v>6650</v>
      </c>
      <c r="I93" s="9">
        <f t="shared" si="0"/>
        <v>0</v>
      </c>
      <c r="J93" s="2" t="s">
        <v>945</v>
      </c>
      <c r="K93" s="7" t="s">
        <v>27</v>
      </c>
      <c r="L93" s="11">
        <v>45261</v>
      </c>
      <c r="M93" s="9"/>
      <c r="N93" s="9"/>
      <c r="O93" s="9"/>
      <c r="P93" s="9"/>
      <c r="Q93" s="9"/>
      <c r="R93" s="9"/>
      <c r="S93" s="9"/>
      <c r="T93" s="9">
        <f t="shared" si="1"/>
        <v>0</v>
      </c>
    </row>
    <row r="94" spans="1:20" ht="15.75" customHeight="1" x14ac:dyDescent="0.3">
      <c r="A94" s="10">
        <v>45291</v>
      </c>
      <c r="B94" s="2" t="s">
        <v>975</v>
      </c>
      <c r="C94" s="7" t="s">
        <v>976</v>
      </c>
      <c r="D94" s="43" t="s">
        <v>977</v>
      </c>
      <c r="E94" s="9">
        <f>1350*325</f>
        <v>438750</v>
      </c>
      <c r="F94" s="10">
        <v>45295</v>
      </c>
      <c r="H94" s="9"/>
      <c r="I94" s="9">
        <f t="shared" si="0"/>
        <v>438750</v>
      </c>
      <c r="K94" s="2" t="s">
        <v>32</v>
      </c>
      <c r="L94" s="11">
        <v>45261</v>
      </c>
      <c r="M94" s="9">
        <v>438750</v>
      </c>
      <c r="N94" s="9">
        <f>M94/2</f>
        <v>219375</v>
      </c>
      <c r="O94" s="9">
        <f>M94/2</f>
        <v>219375</v>
      </c>
      <c r="P94" s="9"/>
      <c r="Q94" s="9"/>
      <c r="R94" s="9"/>
      <c r="S94" s="9"/>
      <c r="T94" s="9">
        <f t="shared" si="1"/>
        <v>0</v>
      </c>
    </row>
    <row r="95" spans="1:20" ht="15.75" customHeight="1" x14ac:dyDescent="0.3">
      <c r="E95" s="9"/>
      <c r="F95" s="9"/>
      <c r="H95" s="9"/>
      <c r="I95" s="9">
        <f t="shared" si="0"/>
        <v>0</v>
      </c>
      <c r="M95" s="9"/>
      <c r="N95" s="9"/>
      <c r="O95" s="9"/>
      <c r="P95" s="9"/>
      <c r="Q95" s="9"/>
      <c r="R95" s="9"/>
      <c r="S95" s="9"/>
      <c r="T95" s="9">
        <f t="shared" si="1"/>
        <v>0</v>
      </c>
    </row>
    <row r="96" spans="1:20" ht="15.75" customHeight="1" x14ac:dyDescent="0.3">
      <c r="E96" s="29">
        <f>SUM(E2:E95)</f>
        <v>15258163</v>
      </c>
      <c r="F96" s="9"/>
      <c r="G96" s="9"/>
      <c r="H96" s="29">
        <f t="shared" ref="H96:I96" si="2">SUM(H2:H95)</f>
        <v>14189413</v>
      </c>
      <c r="I96" s="29">
        <f t="shared" si="2"/>
        <v>1068750</v>
      </c>
      <c r="J96" s="9"/>
      <c r="K96" s="9"/>
      <c r="L96" s="9"/>
      <c r="M96" s="29">
        <f t="shared" ref="M96:S96" si="3">SUM(M2:M95)</f>
        <v>13185393</v>
      </c>
      <c r="N96" s="29">
        <f t="shared" si="3"/>
        <v>1684668</v>
      </c>
      <c r="O96" s="29">
        <f t="shared" si="3"/>
        <v>398875</v>
      </c>
      <c r="P96" s="29">
        <f t="shared" si="3"/>
        <v>4840000</v>
      </c>
      <c r="Q96" s="29">
        <f t="shared" si="3"/>
        <v>2430600</v>
      </c>
      <c r="R96" s="29">
        <f t="shared" si="3"/>
        <v>2048750</v>
      </c>
      <c r="S96" s="29">
        <f t="shared" si="3"/>
        <v>1167500</v>
      </c>
    </row>
    <row r="97" spans="4:19" ht="15.75" customHeight="1" x14ac:dyDescent="0.3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4:19" ht="15.75" customHeight="1" x14ac:dyDescent="0.3">
      <c r="E98" s="31" t="s">
        <v>181</v>
      </c>
      <c r="F98" s="31" t="s">
        <v>12</v>
      </c>
      <c r="H98" s="31" t="s">
        <v>182</v>
      </c>
      <c r="I98" s="32" t="s">
        <v>183</v>
      </c>
      <c r="M98" s="9" t="s">
        <v>978</v>
      </c>
      <c r="N98" s="9"/>
      <c r="O98" s="9"/>
      <c r="P98" s="9">
        <v>12000000</v>
      </c>
      <c r="Q98" s="9">
        <v>12000000</v>
      </c>
      <c r="R98" s="9">
        <v>12000000</v>
      </c>
      <c r="S98" s="9">
        <v>12000000</v>
      </c>
    </row>
    <row r="99" spans="4:19" ht="15.75" customHeight="1" x14ac:dyDescent="0.3">
      <c r="D99" s="2" t="s">
        <v>32</v>
      </c>
      <c r="E99" s="9">
        <f>SUMIF(K2:K95,D99,E2:E95)</f>
        <v>13319100</v>
      </c>
      <c r="F99" s="9">
        <f>SUMIF(K2:K95,D99,M2:M95)</f>
        <v>11713100</v>
      </c>
      <c r="G99" s="9"/>
      <c r="H99" s="9">
        <f t="shared" ref="H99:I99" si="4">SUMIF($K2:$K95,$D$99,H2:H95)</f>
        <v>12250350</v>
      </c>
      <c r="I99" s="9">
        <f t="shared" si="4"/>
        <v>1068750</v>
      </c>
      <c r="M99" s="9" t="s">
        <v>185</v>
      </c>
      <c r="N99" s="9"/>
      <c r="O99" s="9"/>
      <c r="P99" s="9">
        <f t="shared" ref="P99:S99" si="5">P98-P96</f>
        <v>7160000</v>
      </c>
      <c r="Q99" s="9">
        <f t="shared" si="5"/>
        <v>9569400</v>
      </c>
      <c r="R99" s="9">
        <f t="shared" si="5"/>
        <v>9951250</v>
      </c>
      <c r="S99" s="9">
        <f t="shared" si="5"/>
        <v>10832500</v>
      </c>
    </row>
    <row r="100" spans="4:19" ht="15.75" customHeight="1" x14ac:dyDescent="0.3">
      <c r="D100" s="2" t="s">
        <v>22</v>
      </c>
      <c r="E100" s="9">
        <f>SUMIF(K2:K95,D100,E2:E95)</f>
        <v>1472293</v>
      </c>
      <c r="F100" s="9">
        <f>SUMIF(K2:K95,D100,M2:M95)</f>
        <v>1472293</v>
      </c>
      <c r="G100" s="9"/>
      <c r="H100" s="9">
        <f t="shared" ref="H100:I100" si="6">SUMIF($K2:$K95,$D$100,H2:H95)</f>
        <v>1472293</v>
      </c>
      <c r="I100" s="9">
        <f t="shared" si="6"/>
        <v>0</v>
      </c>
      <c r="M100" s="9" t="s">
        <v>186</v>
      </c>
      <c r="N100" s="9"/>
      <c r="O100" s="9"/>
      <c r="P100" s="33">
        <f t="shared" ref="P100:S100" si="7">P96/P98</f>
        <v>0.40333333333333332</v>
      </c>
      <c r="Q100" s="33">
        <f t="shared" si="7"/>
        <v>0.20255000000000001</v>
      </c>
      <c r="R100" s="33">
        <f t="shared" si="7"/>
        <v>0.17072916666666665</v>
      </c>
      <c r="S100" s="33">
        <f t="shared" si="7"/>
        <v>9.7291666666666665E-2</v>
      </c>
    </row>
    <row r="101" spans="4:19" ht="15.75" customHeight="1" x14ac:dyDescent="0.3">
      <c r="D101" s="2" t="s">
        <v>27</v>
      </c>
      <c r="E101" s="9">
        <f>SUMIF(K2:K95,D101,E2:E95)</f>
        <v>466770</v>
      </c>
      <c r="F101" s="9"/>
      <c r="G101" s="9"/>
      <c r="H101" s="9">
        <f t="shared" ref="H101:I101" si="8">SUMIF($K2:$K95,$D$101,H2:H95)</f>
        <v>466770</v>
      </c>
      <c r="I101" s="9">
        <f t="shared" si="8"/>
        <v>0</v>
      </c>
      <c r="M101" s="9"/>
      <c r="N101" s="9"/>
      <c r="O101" s="9"/>
      <c r="P101" s="9"/>
      <c r="Q101" s="9"/>
      <c r="R101" s="9"/>
      <c r="S101" s="9"/>
    </row>
    <row r="102" spans="4:19" ht="15.75" customHeight="1" x14ac:dyDescent="0.3">
      <c r="E102" s="29">
        <f t="shared" ref="E102:F102" si="9">SUM(E99:E101)</f>
        <v>15258163</v>
      </c>
      <c r="F102" s="29">
        <f t="shared" si="9"/>
        <v>13185393</v>
      </c>
      <c r="G102" s="9"/>
      <c r="H102" s="9">
        <f>SUMIF($K31:$K98,$D$99,H31:H98)</f>
        <v>9438250</v>
      </c>
      <c r="I102" s="29">
        <f>SUM(I99:I101)</f>
        <v>1068750</v>
      </c>
      <c r="M102" s="9"/>
      <c r="N102" s="9"/>
      <c r="O102" s="9"/>
      <c r="P102" s="9"/>
      <c r="Q102" s="9"/>
      <c r="R102" s="9"/>
      <c r="S102" s="9"/>
    </row>
    <row r="103" spans="4:19" ht="15.75" customHeight="1" x14ac:dyDescent="0.3">
      <c r="E103" s="9">
        <f>E96-E102</f>
        <v>0</v>
      </c>
      <c r="F103" s="9"/>
      <c r="G103" s="9"/>
      <c r="H103" s="9">
        <f>SUMIF($K31:$K99,$D$99,H31:H99)</f>
        <v>9438250</v>
      </c>
      <c r="I103" s="9">
        <f>I96-I102</f>
        <v>0</v>
      </c>
      <c r="M103" s="9"/>
      <c r="N103" s="9"/>
      <c r="O103" s="9"/>
      <c r="P103" s="9"/>
      <c r="Q103" s="9"/>
      <c r="R103" s="9"/>
      <c r="S103" s="9"/>
    </row>
    <row r="104" spans="4:19" ht="15.75" customHeight="1" x14ac:dyDescent="0.3">
      <c r="E104" s="9"/>
      <c r="F104" s="9"/>
      <c r="G104" s="9"/>
      <c r="H104" s="9"/>
      <c r="M104" s="9"/>
      <c r="N104" s="9"/>
      <c r="O104" s="9"/>
      <c r="P104" s="9"/>
      <c r="Q104" s="9"/>
      <c r="R104" s="9"/>
      <c r="S104" s="9"/>
    </row>
    <row r="105" spans="4:19" ht="15.75" customHeight="1" x14ac:dyDescent="0.3">
      <c r="E105" s="9"/>
      <c r="F105" s="9"/>
      <c r="H105" s="9"/>
      <c r="M105" s="9"/>
      <c r="N105" s="9"/>
      <c r="O105" s="9"/>
      <c r="P105" s="9"/>
      <c r="Q105" s="9"/>
      <c r="R105" s="9"/>
      <c r="S105" s="9"/>
    </row>
    <row r="106" spans="4:19" ht="15.75" customHeight="1" x14ac:dyDescent="0.3">
      <c r="E106" s="9"/>
      <c r="F106" s="9"/>
      <c r="H106" s="9"/>
      <c r="M106" s="9"/>
      <c r="N106" s="9"/>
      <c r="O106" s="9"/>
      <c r="P106" s="9"/>
      <c r="Q106" s="9"/>
      <c r="R106" s="9"/>
      <c r="S106" s="9"/>
    </row>
    <row r="107" spans="4:19" ht="15.75" customHeight="1" x14ac:dyDescent="0.3">
      <c r="E107" s="9"/>
      <c r="F107" s="9"/>
      <c r="H107" s="9"/>
      <c r="M107" s="9"/>
      <c r="N107" s="9"/>
      <c r="O107" s="9"/>
      <c r="P107" s="9"/>
      <c r="Q107" s="9"/>
      <c r="R107" s="9"/>
      <c r="S107" s="9"/>
    </row>
    <row r="108" spans="4:19" ht="15.75" customHeight="1" x14ac:dyDescent="0.3">
      <c r="E108" s="9"/>
      <c r="F108" s="9"/>
      <c r="H108" s="9"/>
      <c r="M108" s="9"/>
      <c r="N108" s="9"/>
      <c r="O108" s="9"/>
      <c r="P108" s="9"/>
      <c r="Q108" s="9"/>
      <c r="R108" s="9"/>
      <c r="S108" s="9"/>
    </row>
    <row r="109" spans="4:19" ht="15.75" customHeight="1" x14ac:dyDescent="0.3">
      <c r="E109" s="9"/>
      <c r="F109" s="9"/>
      <c r="H109" s="9"/>
      <c r="M109" s="9"/>
      <c r="N109" s="9"/>
      <c r="O109" s="9"/>
      <c r="P109" s="9"/>
      <c r="Q109" s="9"/>
      <c r="R109" s="9"/>
      <c r="S109" s="9"/>
    </row>
    <row r="110" spans="4:19" ht="15.75" customHeight="1" x14ac:dyDescent="0.3">
      <c r="E110" s="9"/>
      <c r="F110" s="9"/>
      <c r="H110" s="9"/>
      <c r="M110" s="9"/>
      <c r="N110" s="9"/>
      <c r="O110" s="9"/>
      <c r="P110" s="9"/>
      <c r="Q110" s="9"/>
      <c r="R110" s="9"/>
      <c r="S110" s="9"/>
    </row>
    <row r="111" spans="4:19" ht="15.75" customHeight="1" x14ac:dyDescent="0.3">
      <c r="E111" s="9"/>
      <c r="F111" s="9"/>
      <c r="H111" s="9"/>
      <c r="M111" s="9"/>
      <c r="N111" s="9"/>
      <c r="O111" s="9"/>
      <c r="P111" s="9"/>
      <c r="Q111" s="9"/>
      <c r="R111" s="9"/>
      <c r="S111" s="9"/>
    </row>
    <row r="112" spans="4:19" ht="15.75" customHeight="1" x14ac:dyDescent="0.3">
      <c r="E112" s="9"/>
      <c r="F112" s="9"/>
      <c r="H112" s="9"/>
      <c r="M112" s="9"/>
      <c r="N112" s="9"/>
      <c r="O112" s="9"/>
      <c r="P112" s="9"/>
      <c r="Q112" s="9"/>
      <c r="R112" s="9"/>
      <c r="S112" s="9"/>
    </row>
    <row r="113" spans="5:19" ht="15.75" customHeight="1" x14ac:dyDescent="0.3">
      <c r="E113" s="9"/>
      <c r="F113" s="9"/>
      <c r="H113" s="9"/>
      <c r="M113" s="9"/>
      <c r="N113" s="9"/>
      <c r="O113" s="9"/>
      <c r="P113" s="9"/>
      <c r="Q113" s="9"/>
      <c r="R113" s="9"/>
      <c r="S113" s="9"/>
    </row>
    <row r="114" spans="5:19" ht="15.75" customHeight="1" x14ac:dyDescent="0.3">
      <c r="E114" s="9"/>
      <c r="F114" s="9"/>
      <c r="H114" s="9"/>
      <c r="M114" s="9"/>
      <c r="N114" s="9"/>
      <c r="O114" s="9"/>
      <c r="P114" s="9"/>
      <c r="Q114" s="9"/>
      <c r="R114" s="9"/>
      <c r="S114" s="9"/>
    </row>
    <row r="115" spans="5:19" ht="15.75" customHeight="1" x14ac:dyDescent="0.3">
      <c r="E115" s="9"/>
      <c r="F115" s="9"/>
      <c r="H115" s="9"/>
      <c r="M115" s="9"/>
      <c r="N115" s="9"/>
      <c r="O115" s="9"/>
      <c r="P115" s="9"/>
      <c r="Q115" s="9"/>
      <c r="R115" s="9"/>
      <c r="S115" s="9"/>
    </row>
    <row r="116" spans="5:19" ht="15.75" customHeight="1" x14ac:dyDescent="0.3">
      <c r="E116" s="9"/>
      <c r="F116" s="9"/>
      <c r="H116" s="9"/>
      <c r="M116" s="9"/>
      <c r="N116" s="9"/>
      <c r="O116" s="9"/>
      <c r="P116" s="9"/>
      <c r="Q116" s="9"/>
      <c r="R116" s="9"/>
      <c r="S116" s="9"/>
    </row>
    <row r="117" spans="5:19" ht="15.75" customHeight="1" x14ac:dyDescent="0.3">
      <c r="E117" s="9"/>
      <c r="F117" s="9"/>
      <c r="H117" s="9"/>
      <c r="M117" s="9"/>
      <c r="N117" s="9"/>
      <c r="O117" s="9"/>
      <c r="P117" s="9"/>
      <c r="Q117" s="9"/>
      <c r="R117" s="9"/>
      <c r="S117" s="9"/>
    </row>
    <row r="118" spans="5:19" ht="15.75" customHeight="1" x14ac:dyDescent="0.3">
      <c r="E118" s="9"/>
      <c r="F118" s="9"/>
      <c r="H118" s="9"/>
      <c r="M118" s="9"/>
      <c r="N118" s="9"/>
      <c r="O118" s="9"/>
      <c r="P118" s="9"/>
      <c r="Q118" s="9"/>
      <c r="R118" s="9"/>
      <c r="S118" s="9"/>
    </row>
    <row r="119" spans="5:19" ht="15.75" customHeight="1" x14ac:dyDescent="0.3">
      <c r="E119" s="9"/>
      <c r="F119" s="9"/>
      <c r="H119" s="9"/>
      <c r="M119" s="9"/>
      <c r="N119" s="9"/>
      <c r="O119" s="9"/>
      <c r="P119" s="9"/>
      <c r="Q119" s="9"/>
      <c r="R119" s="9"/>
      <c r="S119" s="9"/>
    </row>
    <row r="120" spans="5:19" ht="15.75" customHeight="1" x14ac:dyDescent="0.3">
      <c r="E120" s="9"/>
      <c r="F120" s="9"/>
      <c r="H120" s="9"/>
      <c r="M120" s="9"/>
      <c r="N120" s="9"/>
      <c r="O120" s="9"/>
      <c r="P120" s="9"/>
      <c r="Q120" s="9"/>
      <c r="R120" s="9"/>
      <c r="S120" s="9"/>
    </row>
    <row r="121" spans="5:19" ht="15.75" customHeight="1" x14ac:dyDescent="0.3">
      <c r="E121" s="9"/>
      <c r="F121" s="9"/>
      <c r="H121" s="9"/>
      <c r="M121" s="9"/>
      <c r="N121" s="9"/>
      <c r="O121" s="9"/>
      <c r="P121" s="9"/>
      <c r="Q121" s="9"/>
      <c r="R121" s="9"/>
      <c r="S121" s="9"/>
    </row>
    <row r="122" spans="5:19" ht="15.75" customHeight="1" x14ac:dyDescent="0.3">
      <c r="E122" s="9"/>
      <c r="F122" s="9"/>
      <c r="H122" s="9"/>
      <c r="M122" s="9"/>
      <c r="N122" s="9"/>
      <c r="O122" s="9"/>
      <c r="P122" s="9"/>
      <c r="Q122" s="9"/>
      <c r="R122" s="9"/>
      <c r="S122" s="9"/>
    </row>
    <row r="123" spans="5:19" ht="15.75" customHeight="1" x14ac:dyDescent="0.3">
      <c r="E123" s="9"/>
      <c r="F123" s="9"/>
      <c r="H123" s="9"/>
      <c r="M123" s="9"/>
      <c r="N123" s="9"/>
      <c r="O123" s="9"/>
      <c r="P123" s="9"/>
      <c r="Q123" s="9"/>
      <c r="R123" s="9"/>
      <c r="S123" s="9"/>
    </row>
    <row r="124" spans="5:19" ht="15.75" customHeight="1" x14ac:dyDescent="0.3">
      <c r="E124" s="9"/>
      <c r="F124" s="9"/>
      <c r="H124" s="9"/>
      <c r="M124" s="9"/>
      <c r="N124" s="9"/>
      <c r="O124" s="9"/>
      <c r="P124" s="9"/>
      <c r="Q124" s="9"/>
      <c r="R124" s="9"/>
      <c r="S124" s="9"/>
    </row>
    <row r="125" spans="5:19" ht="15.75" customHeight="1" x14ac:dyDescent="0.3">
      <c r="E125" s="9"/>
      <c r="F125" s="9"/>
      <c r="H125" s="9"/>
      <c r="M125" s="9"/>
      <c r="N125" s="9"/>
      <c r="O125" s="9"/>
      <c r="P125" s="9"/>
      <c r="Q125" s="9"/>
      <c r="R125" s="9"/>
      <c r="S125" s="9"/>
    </row>
    <row r="126" spans="5:19" ht="15.75" customHeight="1" x14ac:dyDescent="0.3">
      <c r="E126" s="9"/>
      <c r="F126" s="9"/>
      <c r="H126" s="9"/>
      <c r="M126" s="9"/>
      <c r="N126" s="9"/>
      <c r="O126" s="9"/>
      <c r="P126" s="9"/>
      <c r="Q126" s="9"/>
      <c r="R126" s="9"/>
      <c r="S126" s="9"/>
    </row>
    <row r="127" spans="5:19" ht="15.75" customHeight="1" x14ac:dyDescent="0.3">
      <c r="E127" s="9"/>
      <c r="F127" s="9"/>
      <c r="H127" s="9"/>
      <c r="M127" s="9"/>
      <c r="N127" s="9"/>
      <c r="O127" s="9"/>
      <c r="P127" s="9"/>
      <c r="Q127" s="9"/>
      <c r="R127" s="9"/>
      <c r="S127" s="9"/>
    </row>
    <row r="128" spans="5:19" ht="15.75" customHeight="1" x14ac:dyDescent="0.3">
      <c r="E128" s="9"/>
      <c r="F128" s="9"/>
      <c r="H128" s="9"/>
      <c r="M128" s="9"/>
      <c r="N128" s="9"/>
      <c r="O128" s="9"/>
      <c r="P128" s="9"/>
      <c r="Q128" s="9"/>
      <c r="R128" s="9"/>
      <c r="S128" s="9"/>
    </row>
    <row r="129" spans="5:19" ht="15.75" customHeight="1" x14ac:dyDescent="0.3">
      <c r="E129" s="9"/>
      <c r="F129" s="9"/>
      <c r="H129" s="9"/>
      <c r="M129" s="9"/>
      <c r="N129" s="9"/>
      <c r="O129" s="9"/>
      <c r="P129" s="9"/>
      <c r="Q129" s="9"/>
      <c r="R129" s="9"/>
      <c r="S129" s="9"/>
    </row>
    <row r="130" spans="5:19" ht="15.75" customHeight="1" x14ac:dyDescent="0.3">
      <c r="E130" s="9"/>
      <c r="F130" s="9"/>
      <c r="H130" s="9"/>
      <c r="M130" s="9"/>
      <c r="N130" s="9"/>
      <c r="O130" s="9"/>
      <c r="P130" s="9"/>
      <c r="Q130" s="9"/>
      <c r="R130" s="9"/>
      <c r="S130" s="9"/>
    </row>
    <row r="131" spans="5:19" ht="15.75" customHeight="1" x14ac:dyDescent="0.3">
      <c r="E131" s="9"/>
      <c r="F131" s="9"/>
      <c r="H131" s="9"/>
      <c r="M131" s="9"/>
      <c r="N131" s="9"/>
      <c r="O131" s="9"/>
      <c r="P131" s="9"/>
      <c r="Q131" s="9"/>
      <c r="R131" s="9"/>
      <c r="S131" s="9"/>
    </row>
    <row r="132" spans="5:19" ht="15.75" customHeight="1" x14ac:dyDescent="0.3">
      <c r="E132" s="9"/>
      <c r="F132" s="9"/>
      <c r="H132" s="9"/>
      <c r="M132" s="9"/>
      <c r="N132" s="9"/>
      <c r="O132" s="9"/>
      <c r="P132" s="9"/>
      <c r="Q132" s="9"/>
      <c r="R132" s="9"/>
      <c r="S132" s="9"/>
    </row>
    <row r="133" spans="5:19" ht="15.75" customHeight="1" x14ac:dyDescent="0.3">
      <c r="E133" s="9"/>
      <c r="F133" s="9"/>
      <c r="H133" s="9"/>
      <c r="M133" s="9"/>
      <c r="N133" s="9"/>
      <c r="O133" s="9"/>
      <c r="P133" s="9"/>
      <c r="Q133" s="9"/>
      <c r="R133" s="9"/>
      <c r="S133" s="9"/>
    </row>
    <row r="134" spans="5:19" ht="15.75" customHeight="1" x14ac:dyDescent="0.3">
      <c r="E134" s="9"/>
      <c r="F134" s="9"/>
      <c r="H134" s="9"/>
      <c r="M134" s="9"/>
      <c r="N134" s="9"/>
      <c r="O134" s="9"/>
      <c r="P134" s="9"/>
      <c r="Q134" s="9"/>
      <c r="R134" s="9"/>
      <c r="S134" s="9"/>
    </row>
    <row r="135" spans="5:19" ht="15.75" customHeight="1" x14ac:dyDescent="0.3">
      <c r="E135" s="9"/>
      <c r="F135" s="9"/>
      <c r="H135" s="9"/>
      <c r="M135" s="9"/>
      <c r="N135" s="9"/>
      <c r="O135" s="9"/>
      <c r="P135" s="9"/>
      <c r="Q135" s="9"/>
      <c r="R135" s="9"/>
      <c r="S135" s="9"/>
    </row>
    <row r="136" spans="5:19" ht="15.75" customHeight="1" x14ac:dyDescent="0.3">
      <c r="E136" s="9"/>
      <c r="F136" s="9"/>
      <c r="H136" s="9"/>
      <c r="M136" s="9"/>
      <c r="N136" s="9"/>
      <c r="O136" s="9"/>
      <c r="P136" s="9"/>
      <c r="Q136" s="9"/>
      <c r="R136" s="9"/>
      <c r="S136" s="9"/>
    </row>
    <row r="137" spans="5:19" ht="15.75" customHeight="1" x14ac:dyDescent="0.3">
      <c r="E137" s="9"/>
      <c r="F137" s="9"/>
      <c r="H137" s="9"/>
      <c r="M137" s="9"/>
      <c r="N137" s="9"/>
      <c r="O137" s="9"/>
      <c r="P137" s="9"/>
      <c r="Q137" s="9"/>
      <c r="R137" s="9"/>
      <c r="S137" s="9"/>
    </row>
    <row r="138" spans="5:19" ht="15.75" customHeight="1" x14ac:dyDescent="0.3">
      <c r="E138" s="9"/>
      <c r="F138" s="9"/>
      <c r="H138" s="9"/>
      <c r="M138" s="9"/>
      <c r="N138" s="9"/>
      <c r="O138" s="9"/>
      <c r="P138" s="9"/>
      <c r="Q138" s="9"/>
      <c r="R138" s="9"/>
      <c r="S138" s="9"/>
    </row>
    <row r="139" spans="5:19" ht="15.75" customHeight="1" x14ac:dyDescent="0.3">
      <c r="E139" s="9"/>
      <c r="F139" s="9"/>
      <c r="H139" s="9"/>
      <c r="M139" s="9"/>
      <c r="N139" s="9"/>
      <c r="O139" s="9"/>
      <c r="P139" s="9"/>
      <c r="Q139" s="9"/>
      <c r="R139" s="9"/>
      <c r="S139" s="9"/>
    </row>
    <row r="140" spans="5:19" ht="15.75" customHeight="1" x14ac:dyDescent="0.3">
      <c r="E140" s="9"/>
      <c r="F140" s="9"/>
      <c r="H140" s="9"/>
      <c r="M140" s="9"/>
      <c r="N140" s="9"/>
      <c r="O140" s="9"/>
      <c r="P140" s="9"/>
      <c r="Q140" s="9"/>
      <c r="R140" s="9"/>
      <c r="S140" s="9"/>
    </row>
    <row r="141" spans="5:19" ht="15.75" customHeight="1" x14ac:dyDescent="0.3">
      <c r="E141" s="9"/>
      <c r="F141" s="9"/>
      <c r="H141" s="9"/>
      <c r="M141" s="9"/>
      <c r="N141" s="9"/>
      <c r="O141" s="9"/>
      <c r="P141" s="9"/>
      <c r="Q141" s="9"/>
      <c r="R141" s="9"/>
      <c r="S141" s="9"/>
    </row>
    <row r="142" spans="5:19" ht="15.75" customHeight="1" x14ac:dyDescent="0.3">
      <c r="E142" s="9"/>
      <c r="F142" s="9"/>
      <c r="H142" s="9"/>
      <c r="M142" s="9"/>
      <c r="N142" s="9"/>
      <c r="O142" s="9"/>
      <c r="P142" s="9"/>
      <c r="Q142" s="9"/>
      <c r="R142" s="9"/>
      <c r="S142" s="9"/>
    </row>
    <row r="143" spans="5:19" ht="15.75" customHeight="1" x14ac:dyDescent="0.3">
      <c r="E143" s="9"/>
      <c r="F143" s="9"/>
      <c r="H143" s="9"/>
      <c r="M143" s="9"/>
      <c r="N143" s="9"/>
      <c r="O143" s="9"/>
      <c r="P143" s="9"/>
      <c r="Q143" s="9"/>
      <c r="R143" s="9"/>
      <c r="S143" s="9"/>
    </row>
    <row r="144" spans="5:19" ht="15.75" customHeight="1" x14ac:dyDescent="0.3">
      <c r="E144" s="9"/>
      <c r="F144" s="9"/>
      <c r="H144" s="9"/>
      <c r="M144" s="9"/>
      <c r="N144" s="9"/>
      <c r="O144" s="9"/>
      <c r="P144" s="9"/>
      <c r="Q144" s="9"/>
      <c r="R144" s="9"/>
      <c r="S144" s="9"/>
    </row>
    <row r="145" spans="5:19" ht="15.75" customHeight="1" x14ac:dyDescent="0.3">
      <c r="E145" s="9"/>
      <c r="F145" s="9"/>
      <c r="H145" s="9"/>
      <c r="M145" s="9"/>
      <c r="N145" s="9"/>
      <c r="O145" s="9"/>
      <c r="P145" s="9"/>
      <c r="Q145" s="9"/>
      <c r="R145" s="9"/>
      <c r="S145" s="9"/>
    </row>
    <row r="146" spans="5:19" ht="15.75" customHeight="1" x14ac:dyDescent="0.3">
      <c r="E146" s="9"/>
      <c r="F146" s="9"/>
      <c r="H146" s="9"/>
      <c r="M146" s="9"/>
      <c r="N146" s="9"/>
      <c r="O146" s="9"/>
      <c r="P146" s="9"/>
      <c r="Q146" s="9"/>
      <c r="R146" s="9"/>
      <c r="S146" s="9"/>
    </row>
    <row r="147" spans="5:19" ht="15.75" customHeight="1" x14ac:dyDescent="0.3">
      <c r="E147" s="9"/>
      <c r="F147" s="9"/>
      <c r="H147" s="9"/>
      <c r="M147" s="9"/>
      <c r="N147" s="9"/>
      <c r="O147" s="9"/>
      <c r="P147" s="9"/>
      <c r="Q147" s="9"/>
      <c r="R147" s="9"/>
      <c r="S147" s="9"/>
    </row>
    <row r="148" spans="5:19" ht="15.75" customHeight="1" x14ac:dyDescent="0.3">
      <c r="E148" s="9"/>
      <c r="F148" s="9"/>
      <c r="H148" s="9"/>
      <c r="M148" s="9"/>
      <c r="N148" s="9"/>
      <c r="O148" s="9"/>
      <c r="P148" s="9"/>
      <c r="Q148" s="9"/>
      <c r="R148" s="9"/>
      <c r="S148" s="9"/>
    </row>
    <row r="149" spans="5:19" ht="15.75" customHeight="1" x14ac:dyDescent="0.3">
      <c r="E149" s="9"/>
      <c r="F149" s="9"/>
      <c r="H149" s="9"/>
      <c r="M149" s="9"/>
      <c r="N149" s="9"/>
      <c r="O149" s="9"/>
      <c r="P149" s="9"/>
      <c r="Q149" s="9"/>
      <c r="R149" s="9"/>
      <c r="S149" s="9"/>
    </row>
    <row r="150" spans="5:19" ht="15.75" customHeight="1" x14ac:dyDescent="0.3">
      <c r="E150" s="9"/>
      <c r="F150" s="9"/>
      <c r="H150" s="9"/>
      <c r="M150" s="9"/>
      <c r="N150" s="9"/>
      <c r="O150" s="9"/>
      <c r="P150" s="9"/>
      <c r="Q150" s="9"/>
      <c r="R150" s="9"/>
      <c r="S150" s="9"/>
    </row>
    <row r="151" spans="5:19" ht="15.75" customHeight="1" x14ac:dyDescent="0.3">
      <c r="E151" s="9"/>
      <c r="F151" s="9"/>
      <c r="H151" s="9"/>
      <c r="M151" s="9"/>
      <c r="N151" s="9"/>
      <c r="O151" s="9"/>
      <c r="P151" s="9"/>
      <c r="Q151" s="9"/>
      <c r="R151" s="9"/>
      <c r="S151" s="9"/>
    </row>
    <row r="152" spans="5:19" ht="15.75" customHeight="1" x14ac:dyDescent="0.3">
      <c r="E152" s="9"/>
      <c r="F152" s="9"/>
      <c r="H152" s="9"/>
      <c r="M152" s="9"/>
      <c r="N152" s="9"/>
      <c r="O152" s="9"/>
      <c r="P152" s="9"/>
      <c r="Q152" s="9"/>
      <c r="R152" s="9"/>
      <c r="S152" s="9"/>
    </row>
    <row r="153" spans="5:19" ht="15.75" customHeight="1" x14ac:dyDescent="0.3">
      <c r="E153" s="9"/>
      <c r="F153" s="9"/>
      <c r="H153" s="9"/>
      <c r="M153" s="9"/>
      <c r="N153" s="9"/>
      <c r="O153" s="9"/>
      <c r="P153" s="9"/>
      <c r="Q153" s="9"/>
      <c r="R153" s="9"/>
      <c r="S153" s="9"/>
    </row>
    <row r="154" spans="5:19" ht="15.75" customHeight="1" x14ac:dyDescent="0.3">
      <c r="E154" s="9"/>
      <c r="F154" s="9"/>
      <c r="H154" s="9"/>
      <c r="M154" s="9"/>
      <c r="N154" s="9"/>
      <c r="O154" s="9"/>
      <c r="P154" s="9"/>
      <c r="Q154" s="9"/>
      <c r="R154" s="9"/>
      <c r="S154" s="9"/>
    </row>
    <row r="155" spans="5:19" ht="15.75" customHeight="1" x14ac:dyDescent="0.3">
      <c r="E155" s="9"/>
      <c r="F155" s="9"/>
      <c r="H155" s="9"/>
      <c r="M155" s="9"/>
      <c r="N155" s="9"/>
      <c r="O155" s="9"/>
      <c r="P155" s="9"/>
      <c r="Q155" s="9"/>
      <c r="R155" s="9"/>
      <c r="S155" s="9"/>
    </row>
    <row r="156" spans="5:19" ht="15.75" customHeight="1" x14ac:dyDescent="0.3">
      <c r="E156" s="9"/>
      <c r="F156" s="9"/>
      <c r="H156" s="9"/>
      <c r="M156" s="9"/>
      <c r="N156" s="9"/>
      <c r="O156" s="9"/>
      <c r="P156" s="9"/>
      <c r="Q156" s="9"/>
      <c r="R156" s="9"/>
      <c r="S156" s="9"/>
    </row>
    <row r="157" spans="5:19" ht="15.75" customHeight="1" x14ac:dyDescent="0.3">
      <c r="E157" s="9"/>
      <c r="F157" s="9"/>
      <c r="H157" s="9"/>
      <c r="M157" s="9"/>
      <c r="N157" s="9"/>
      <c r="O157" s="9"/>
      <c r="P157" s="9"/>
      <c r="Q157" s="9"/>
      <c r="R157" s="9"/>
      <c r="S157" s="9"/>
    </row>
    <row r="158" spans="5:19" ht="15.75" customHeight="1" x14ac:dyDescent="0.3">
      <c r="E158" s="9"/>
      <c r="F158" s="9"/>
      <c r="H158" s="9"/>
      <c r="M158" s="9"/>
      <c r="N158" s="9"/>
      <c r="O158" s="9"/>
      <c r="P158" s="9"/>
      <c r="Q158" s="9"/>
      <c r="R158" s="9"/>
      <c r="S158" s="9"/>
    </row>
    <row r="159" spans="5:19" ht="15.75" customHeight="1" x14ac:dyDescent="0.3">
      <c r="E159" s="9"/>
      <c r="F159" s="9"/>
      <c r="H159" s="9"/>
      <c r="M159" s="9"/>
      <c r="N159" s="9"/>
      <c r="O159" s="9"/>
      <c r="P159" s="9"/>
      <c r="Q159" s="9"/>
      <c r="R159" s="9"/>
      <c r="S159" s="9"/>
    </row>
    <row r="160" spans="5:19" ht="15.75" customHeight="1" x14ac:dyDescent="0.3">
      <c r="E160" s="9"/>
      <c r="F160" s="9"/>
      <c r="H160" s="9"/>
      <c r="M160" s="9"/>
      <c r="N160" s="9"/>
      <c r="O160" s="9"/>
      <c r="P160" s="9"/>
      <c r="Q160" s="9"/>
      <c r="R160" s="9"/>
      <c r="S160" s="9"/>
    </row>
    <row r="161" spans="5:19" ht="15.75" customHeight="1" x14ac:dyDescent="0.3">
      <c r="E161" s="9"/>
      <c r="F161" s="9"/>
      <c r="H161" s="9"/>
      <c r="M161" s="9"/>
      <c r="N161" s="9"/>
      <c r="O161" s="9"/>
      <c r="P161" s="9"/>
      <c r="Q161" s="9"/>
      <c r="R161" s="9"/>
      <c r="S161" s="9"/>
    </row>
    <row r="162" spans="5:19" ht="15.75" customHeight="1" x14ac:dyDescent="0.3">
      <c r="E162" s="9"/>
      <c r="F162" s="9"/>
      <c r="H162" s="9"/>
      <c r="M162" s="9"/>
      <c r="N162" s="9"/>
      <c r="O162" s="9"/>
      <c r="P162" s="9"/>
      <c r="Q162" s="9"/>
      <c r="R162" s="9"/>
      <c r="S162" s="9"/>
    </row>
    <row r="163" spans="5:19" ht="15.75" customHeight="1" x14ac:dyDescent="0.3">
      <c r="E163" s="9"/>
      <c r="F163" s="9"/>
      <c r="H163" s="9"/>
      <c r="M163" s="9"/>
      <c r="N163" s="9"/>
      <c r="O163" s="9"/>
      <c r="P163" s="9"/>
      <c r="Q163" s="9"/>
      <c r="R163" s="9"/>
      <c r="S163" s="9"/>
    </row>
    <row r="164" spans="5:19" ht="15.75" customHeight="1" x14ac:dyDescent="0.3">
      <c r="E164" s="9"/>
      <c r="F164" s="9"/>
      <c r="H164" s="9"/>
      <c r="M164" s="9"/>
      <c r="N164" s="9"/>
      <c r="O164" s="9"/>
      <c r="P164" s="9"/>
      <c r="Q164" s="9"/>
      <c r="R164" s="9"/>
      <c r="S164" s="9"/>
    </row>
    <row r="165" spans="5:19" ht="15.75" customHeight="1" x14ac:dyDescent="0.3">
      <c r="E165" s="9"/>
      <c r="F165" s="9"/>
      <c r="H165" s="9"/>
      <c r="M165" s="9"/>
      <c r="N165" s="9"/>
      <c r="O165" s="9"/>
      <c r="P165" s="9"/>
      <c r="Q165" s="9"/>
      <c r="R165" s="9"/>
      <c r="S165" s="9"/>
    </row>
    <row r="166" spans="5:19" ht="15.75" customHeight="1" x14ac:dyDescent="0.3">
      <c r="E166" s="9"/>
      <c r="F166" s="9"/>
      <c r="H166" s="9"/>
      <c r="M166" s="9"/>
      <c r="N166" s="9"/>
      <c r="O166" s="9"/>
      <c r="P166" s="9"/>
      <c r="Q166" s="9"/>
      <c r="R166" s="9"/>
      <c r="S166" s="9"/>
    </row>
    <row r="167" spans="5:19" ht="15.75" customHeight="1" x14ac:dyDescent="0.3">
      <c r="E167" s="9"/>
      <c r="F167" s="9"/>
      <c r="H167" s="9"/>
      <c r="M167" s="9"/>
      <c r="N167" s="9"/>
      <c r="O167" s="9"/>
      <c r="P167" s="9"/>
      <c r="Q167" s="9"/>
      <c r="R167" s="9"/>
      <c r="S167" s="9"/>
    </row>
    <row r="168" spans="5:19" ht="15.75" customHeight="1" x14ac:dyDescent="0.3">
      <c r="E168" s="9"/>
      <c r="F168" s="9"/>
      <c r="H168" s="9"/>
      <c r="M168" s="9"/>
      <c r="N168" s="9"/>
      <c r="O168" s="9"/>
      <c r="P168" s="9"/>
      <c r="Q168" s="9"/>
      <c r="R168" s="9"/>
      <c r="S168" s="9"/>
    </row>
    <row r="169" spans="5:19" ht="15.75" customHeight="1" x14ac:dyDescent="0.3">
      <c r="E169" s="9"/>
      <c r="F169" s="9"/>
      <c r="H169" s="9"/>
      <c r="M169" s="9"/>
      <c r="N169" s="9"/>
      <c r="O169" s="9"/>
      <c r="P169" s="9"/>
      <c r="Q169" s="9"/>
      <c r="R169" s="9"/>
      <c r="S169" s="9"/>
    </row>
    <row r="170" spans="5:19" ht="15.75" customHeight="1" x14ac:dyDescent="0.3">
      <c r="E170" s="9"/>
      <c r="F170" s="9"/>
      <c r="H170" s="9"/>
      <c r="M170" s="9"/>
      <c r="N170" s="9"/>
      <c r="O170" s="9"/>
      <c r="P170" s="9"/>
      <c r="Q170" s="9"/>
      <c r="R170" s="9"/>
      <c r="S170" s="9"/>
    </row>
    <row r="171" spans="5:19" ht="15.75" customHeight="1" x14ac:dyDescent="0.3">
      <c r="E171" s="9"/>
      <c r="F171" s="9"/>
      <c r="H171" s="9"/>
      <c r="M171" s="9"/>
      <c r="N171" s="9"/>
      <c r="O171" s="9"/>
      <c r="P171" s="9"/>
      <c r="Q171" s="9"/>
      <c r="R171" s="9"/>
      <c r="S171" s="9"/>
    </row>
    <row r="172" spans="5:19" ht="15.75" customHeight="1" x14ac:dyDescent="0.3">
      <c r="E172" s="9"/>
      <c r="F172" s="9"/>
      <c r="H172" s="9"/>
      <c r="M172" s="9"/>
      <c r="N172" s="9"/>
      <c r="O172" s="9"/>
      <c r="P172" s="9"/>
      <c r="Q172" s="9"/>
      <c r="R172" s="9"/>
      <c r="S172" s="9"/>
    </row>
    <row r="173" spans="5:19" ht="15.75" customHeight="1" x14ac:dyDescent="0.3">
      <c r="E173" s="9"/>
      <c r="F173" s="9"/>
      <c r="H173" s="9"/>
      <c r="M173" s="9"/>
      <c r="N173" s="9"/>
      <c r="O173" s="9"/>
      <c r="P173" s="9"/>
      <c r="Q173" s="9"/>
      <c r="R173" s="9"/>
      <c r="S173" s="9"/>
    </row>
    <row r="174" spans="5:19" ht="15.75" customHeight="1" x14ac:dyDescent="0.3">
      <c r="E174" s="9"/>
      <c r="F174" s="9"/>
      <c r="H174" s="9"/>
      <c r="M174" s="9"/>
      <c r="N174" s="9"/>
      <c r="O174" s="9"/>
      <c r="P174" s="9"/>
      <c r="Q174" s="9"/>
      <c r="R174" s="9"/>
      <c r="S174" s="9"/>
    </row>
    <row r="175" spans="5:19" ht="15.75" customHeight="1" x14ac:dyDescent="0.3">
      <c r="E175" s="9"/>
      <c r="F175" s="9"/>
      <c r="H175" s="9"/>
      <c r="M175" s="9"/>
      <c r="N175" s="9"/>
      <c r="O175" s="9"/>
      <c r="P175" s="9"/>
      <c r="Q175" s="9"/>
      <c r="R175" s="9"/>
      <c r="S175" s="9"/>
    </row>
    <row r="176" spans="5:19" ht="15.75" customHeight="1" x14ac:dyDescent="0.3">
      <c r="E176" s="9"/>
      <c r="F176" s="9"/>
      <c r="H176" s="9"/>
      <c r="M176" s="9"/>
      <c r="N176" s="9"/>
      <c r="O176" s="9"/>
      <c r="P176" s="9"/>
      <c r="Q176" s="9"/>
      <c r="R176" s="9"/>
      <c r="S176" s="9"/>
    </row>
    <row r="177" spans="5:19" ht="15.75" customHeight="1" x14ac:dyDescent="0.3">
      <c r="E177" s="9"/>
      <c r="F177" s="9"/>
      <c r="H177" s="9"/>
      <c r="M177" s="9"/>
      <c r="N177" s="9"/>
      <c r="O177" s="9"/>
      <c r="P177" s="9"/>
      <c r="Q177" s="9"/>
      <c r="R177" s="9"/>
      <c r="S177" s="9"/>
    </row>
    <row r="178" spans="5:19" ht="15.75" customHeight="1" x14ac:dyDescent="0.3">
      <c r="E178" s="9"/>
      <c r="F178" s="9"/>
      <c r="H178" s="9"/>
      <c r="M178" s="9"/>
      <c r="N178" s="9"/>
      <c r="O178" s="9"/>
      <c r="P178" s="9"/>
      <c r="Q178" s="9"/>
      <c r="R178" s="9"/>
      <c r="S178" s="9"/>
    </row>
    <row r="179" spans="5:19" ht="15.75" customHeight="1" x14ac:dyDescent="0.3">
      <c r="E179" s="9"/>
      <c r="F179" s="9"/>
      <c r="H179" s="9"/>
      <c r="M179" s="9"/>
      <c r="N179" s="9"/>
      <c r="O179" s="9"/>
      <c r="P179" s="9"/>
      <c r="Q179" s="9"/>
      <c r="R179" s="9"/>
      <c r="S179" s="9"/>
    </row>
    <row r="180" spans="5:19" ht="15.75" customHeight="1" x14ac:dyDescent="0.3">
      <c r="E180" s="9"/>
      <c r="F180" s="9"/>
      <c r="H180" s="9"/>
      <c r="M180" s="9"/>
      <c r="N180" s="9"/>
      <c r="O180" s="9"/>
      <c r="P180" s="9"/>
      <c r="Q180" s="9"/>
      <c r="R180" s="9"/>
      <c r="S180" s="9"/>
    </row>
    <row r="181" spans="5:19" ht="15.75" customHeight="1" x14ac:dyDescent="0.3">
      <c r="E181" s="9"/>
      <c r="F181" s="9"/>
      <c r="H181" s="9"/>
      <c r="M181" s="9"/>
      <c r="N181" s="9"/>
      <c r="O181" s="9"/>
      <c r="P181" s="9"/>
      <c r="Q181" s="9"/>
      <c r="R181" s="9"/>
      <c r="S181" s="9"/>
    </row>
    <row r="182" spans="5:19" ht="15.75" customHeight="1" x14ac:dyDescent="0.3">
      <c r="E182" s="9"/>
      <c r="F182" s="9"/>
      <c r="H182" s="9"/>
      <c r="M182" s="9"/>
      <c r="N182" s="9"/>
      <c r="O182" s="9"/>
      <c r="P182" s="9"/>
      <c r="Q182" s="9"/>
      <c r="R182" s="9"/>
      <c r="S182" s="9"/>
    </row>
    <row r="183" spans="5:19" ht="15.75" customHeight="1" x14ac:dyDescent="0.3">
      <c r="E183" s="9"/>
      <c r="F183" s="9"/>
      <c r="H183" s="9"/>
      <c r="M183" s="9"/>
      <c r="N183" s="9"/>
      <c r="O183" s="9"/>
      <c r="P183" s="9"/>
      <c r="Q183" s="9"/>
      <c r="R183" s="9"/>
      <c r="S183" s="9"/>
    </row>
    <row r="184" spans="5:19" ht="15.75" customHeight="1" x14ac:dyDescent="0.3">
      <c r="E184" s="9"/>
      <c r="F184" s="9"/>
      <c r="H184" s="9"/>
      <c r="M184" s="9"/>
      <c r="N184" s="9"/>
      <c r="O184" s="9"/>
      <c r="P184" s="9"/>
      <c r="Q184" s="9"/>
      <c r="R184" s="9"/>
      <c r="S184" s="9"/>
    </row>
    <row r="185" spans="5:19" ht="15.75" customHeight="1" x14ac:dyDescent="0.3">
      <c r="E185" s="9"/>
      <c r="F185" s="9"/>
      <c r="H185" s="9"/>
      <c r="M185" s="9"/>
      <c r="N185" s="9"/>
      <c r="O185" s="9"/>
      <c r="P185" s="9"/>
      <c r="Q185" s="9"/>
      <c r="R185" s="9"/>
      <c r="S185" s="9"/>
    </row>
    <row r="186" spans="5:19" ht="15.75" customHeight="1" x14ac:dyDescent="0.3">
      <c r="E186" s="9"/>
      <c r="F186" s="9"/>
      <c r="H186" s="9"/>
      <c r="M186" s="9"/>
      <c r="N186" s="9"/>
      <c r="O186" s="9"/>
      <c r="P186" s="9"/>
      <c r="Q186" s="9"/>
      <c r="R186" s="9"/>
      <c r="S186" s="9"/>
    </row>
    <row r="187" spans="5:19" ht="15.75" customHeight="1" x14ac:dyDescent="0.3">
      <c r="E187" s="9"/>
      <c r="F187" s="9"/>
      <c r="H187" s="9"/>
      <c r="M187" s="9"/>
      <c r="N187" s="9"/>
      <c r="O187" s="9"/>
      <c r="P187" s="9"/>
      <c r="Q187" s="9"/>
      <c r="R187" s="9"/>
      <c r="S187" s="9"/>
    </row>
    <row r="188" spans="5:19" ht="15.75" customHeight="1" x14ac:dyDescent="0.3">
      <c r="E188" s="9"/>
      <c r="F188" s="9"/>
      <c r="H188" s="9"/>
      <c r="M188" s="9"/>
      <c r="N188" s="9"/>
      <c r="O188" s="9"/>
      <c r="P188" s="9"/>
      <c r="Q188" s="9"/>
      <c r="R188" s="9"/>
      <c r="S188" s="9"/>
    </row>
    <row r="189" spans="5:19" ht="15.75" customHeight="1" x14ac:dyDescent="0.3">
      <c r="E189" s="9"/>
      <c r="F189" s="9"/>
      <c r="H189" s="9"/>
      <c r="M189" s="9"/>
      <c r="N189" s="9"/>
      <c r="O189" s="9"/>
      <c r="P189" s="9"/>
      <c r="Q189" s="9"/>
      <c r="R189" s="9"/>
      <c r="S189" s="9"/>
    </row>
    <row r="190" spans="5:19" ht="15.75" customHeight="1" x14ac:dyDescent="0.3">
      <c r="E190" s="9"/>
      <c r="F190" s="9"/>
      <c r="H190" s="9"/>
      <c r="M190" s="9"/>
      <c r="N190" s="9"/>
      <c r="O190" s="9"/>
      <c r="P190" s="9"/>
      <c r="Q190" s="9"/>
      <c r="R190" s="9"/>
      <c r="S190" s="9"/>
    </row>
    <row r="191" spans="5:19" ht="15.75" customHeight="1" x14ac:dyDescent="0.3">
      <c r="E191" s="9"/>
      <c r="F191" s="9"/>
      <c r="H191" s="9"/>
      <c r="M191" s="9"/>
      <c r="N191" s="9"/>
      <c r="O191" s="9"/>
      <c r="P191" s="9"/>
      <c r="Q191" s="9"/>
      <c r="R191" s="9"/>
      <c r="S191" s="9"/>
    </row>
    <row r="192" spans="5:19" ht="15.75" customHeight="1" x14ac:dyDescent="0.3">
      <c r="E192" s="9"/>
      <c r="F192" s="9"/>
      <c r="H192" s="9"/>
      <c r="M192" s="9"/>
      <c r="N192" s="9"/>
      <c r="O192" s="9"/>
      <c r="P192" s="9"/>
      <c r="Q192" s="9"/>
      <c r="R192" s="9"/>
      <c r="S192" s="9"/>
    </row>
    <row r="193" spans="5:19" ht="15.75" customHeight="1" x14ac:dyDescent="0.3">
      <c r="E193" s="9"/>
      <c r="F193" s="9"/>
      <c r="H193" s="9"/>
      <c r="M193" s="9"/>
      <c r="N193" s="9"/>
      <c r="O193" s="9"/>
      <c r="P193" s="9"/>
      <c r="Q193" s="9"/>
      <c r="R193" s="9"/>
      <c r="S193" s="9"/>
    </row>
    <row r="194" spans="5:19" ht="15.75" customHeight="1" x14ac:dyDescent="0.3">
      <c r="E194" s="9"/>
      <c r="F194" s="9"/>
      <c r="H194" s="9"/>
      <c r="M194" s="9"/>
      <c r="N194" s="9"/>
      <c r="O194" s="9"/>
      <c r="P194" s="9"/>
      <c r="Q194" s="9"/>
      <c r="R194" s="9"/>
      <c r="S194" s="9"/>
    </row>
    <row r="195" spans="5:19" ht="15.75" customHeight="1" x14ac:dyDescent="0.3">
      <c r="E195" s="9"/>
      <c r="F195" s="9"/>
      <c r="H195" s="9"/>
      <c r="M195" s="9"/>
      <c r="N195" s="9"/>
      <c r="O195" s="9"/>
      <c r="P195" s="9"/>
      <c r="Q195" s="9"/>
      <c r="R195" s="9"/>
      <c r="S195" s="9"/>
    </row>
    <row r="196" spans="5:19" ht="15.75" customHeight="1" x14ac:dyDescent="0.3">
      <c r="E196" s="9"/>
      <c r="F196" s="9"/>
      <c r="H196" s="9"/>
      <c r="M196" s="9"/>
      <c r="N196" s="9"/>
      <c r="O196" s="9"/>
      <c r="P196" s="9"/>
      <c r="Q196" s="9"/>
      <c r="R196" s="9"/>
      <c r="S196" s="9"/>
    </row>
    <row r="197" spans="5:19" ht="15.75" customHeight="1" x14ac:dyDescent="0.3">
      <c r="E197" s="9"/>
      <c r="F197" s="9"/>
      <c r="H197" s="9"/>
      <c r="M197" s="9"/>
      <c r="N197" s="9"/>
      <c r="O197" s="9"/>
      <c r="P197" s="9"/>
      <c r="Q197" s="9"/>
      <c r="R197" s="9"/>
      <c r="S197" s="9"/>
    </row>
    <row r="198" spans="5:19" ht="15.75" customHeight="1" x14ac:dyDescent="0.3">
      <c r="E198" s="9"/>
      <c r="F198" s="9"/>
      <c r="H198" s="9"/>
      <c r="M198" s="9"/>
      <c r="N198" s="9"/>
      <c r="O198" s="9"/>
      <c r="P198" s="9"/>
      <c r="Q198" s="9"/>
      <c r="R198" s="9"/>
      <c r="S198" s="9"/>
    </row>
    <row r="199" spans="5:19" ht="15.75" customHeight="1" x14ac:dyDescent="0.3">
      <c r="E199" s="9"/>
      <c r="F199" s="9"/>
      <c r="H199" s="9"/>
      <c r="M199" s="9"/>
      <c r="N199" s="9"/>
      <c r="O199" s="9"/>
      <c r="P199" s="9"/>
      <c r="Q199" s="9"/>
      <c r="R199" s="9"/>
      <c r="S199" s="9"/>
    </row>
    <row r="200" spans="5:19" ht="15.75" customHeight="1" x14ac:dyDescent="0.3">
      <c r="E200" s="9"/>
      <c r="F200" s="9"/>
      <c r="H200" s="9"/>
      <c r="M200" s="9"/>
      <c r="N200" s="9"/>
      <c r="O200" s="9"/>
      <c r="P200" s="9"/>
      <c r="Q200" s="9"/>
      <c r="R200" s="9"/>
      <c r="S200" s="9"/>
    </row>
    <row r="201" spans="5:19" ht="15.75" customHeight="1" x14ac:dyDescent="0.3">
      <c r="E201" s="9"/>
      <c r="F201" s="9"/>
      <c r="H201" s="9"/>
      <c r="M201" s="9"/>
      <c r="N201" s="9"/>
      <c r="O201" s="9"/>
      <c r="P201" s="9"/>
      <c r="Q201" s="9"/>
      <c r="R201" s="9"/>
      <c r="S201" s="9"/>
    </row>
    <row r="202" spans="5:19" ht="15.75" customHeight="1" x14ac:dyDescent="0.3">
      <c r="E202" s="9"/>
      <c r="F202" s="9"/>
      <c r="H202" s="9"/>
      <c r="M202" s="9"/>
      <c r="N202" s="9"/>
      <c r="O202" s="9"/>
      <c r="P202" s="9"/>
      <c r="Q202" s="9"/>
      <c r="R202" s="9"/>
      <c r="S202" s="9"/>
    </row>
    <row r="203" spans="5:19" ht="15.75" customHeight="1" x14ac:dyDescent="0.3">
      <c r="E203" s="9"/>
      <c r="F203" s="9"/>
      <c r="H203" s="9"/>
      <c r="M203" s="9"/>
      <c r="N203" s="9"/>
      <c r="O203" s="9"/>
      <c r="P203" s="9"/>
      <c r="Q203" s="9"/>
      <c r="R203" s="9"/>
      <c r="S203" s="9"/>
    </row>
    <row r="204" spans="5:19" ht="15.75" customHeight="1" x14ac:dyDescent="0.3">
      <c r="E204" s="9"/>
      <c r="F204" s="9"/>
      <c r="H204" s="9"/>
      <c r="M204" s="9"/>
      <c r="N204" s="9"/>
      <c r="O204" s="9"/>
      <c r="P204" s="9"/>
      <c r="Q204" s="9"/>
      <c r="R204" s="9"/>
      <c r="S204" s="9"/>
    </row>
    <row r="205" spans="5:19" ht="15.75" customHeight="1" x14ac:dyDescent="0.3">
      <c r="E205" s="9"/>
      <c r="F205" s="9"/>
      <c r="H205" s="9"/>
      <c r="M205" s="9"/>
      <c r="N205" s="9"/>
      <c r="O205" s="9"/>
      <c r="P205" s="9"/>
      <c r="Q205" s="9"/>
      <c r="R205" s="9"/>
      <c r="S205" s="9"/>
    </row>
    <row r="206" spans="5:19" ht="15.75" customHeight="1" x14ac:dyDescent="0.3">
      <c r="E206" s="9"/>
      <c r="F206" s="9"/>
      <c r="H206" s="9"/>
      <c r="M206" s="9"/>
      <c r="N206" s="9"/>
      <c r="O206" s="9"/>
      <c r="P206" s="9"/>
      <c r="Q206" s="9"/>
      <c r="R206" s="9"/>
      <c r="S206" s="9"/>
    </row>
    <row r="207" spans="5:19" ht="15.75" customHeight="1" x14ac:dyDescent="0.3">
      <c r="E207" s="9"/>
      <c r="F207" s="9"/>
      <c r="H207" s="9"/>
      <c r="M207" s="9"/>
      <c r="N207" s="9"/>
      <c r="O207" s="9"/>
      <c r="P207" s="9"/>
      <c r="Q207" s="9"/>
      <c r="R207" s="9"/>
      <c r="S207" s="9"/>
    </row>
    <row r="208" spans="5:19" ht="15.75" customHeight="1" x14ac:dyDescent="0.3">
      <c r="E208" s="9"/>
      <c r="F208" s="9"/>
      <c r="H208" s="9"/>
      <c r="M208" s="9"/>
      <c r="N208" s="9"/>
      <c r="O208" s="9"/>
      <c r="P208" s="9"/>
      <c r="Q208" s="9"/>
      <c r="R208" s="9"/>
      <c r="S208" s="9"/>
    </row>
    <row r="209" spans="5:19" ht="15.75" customHeight="1" x14ac:dyDescent="0.3">
      <c r="E209" s="9"/>
      <c r="F209" s="9"/>
      <c r="H209" s="9"/>
      <c r="M209" s="9"/>
      <c r="N209" s="9"/>
      <c r="O209" s="9"/>
      <c r="P209" s="9"/>
      <c r="Q209" s="9"/>
      <c r="R209" s="9"/>
      <c r="S209" s="9"/>
    </row>
    <row r="210" spans="5:19" ht="15.75" customHeight="1" x14ac:dyDescent="0.3">
      <c r="E210" s="9"/>
      <c r="F210" s="9"/>
      <c r="H210" s="9"/>
      <c r="M210" s="9"/>
      <c r="N210" s="9"/>
      <c r="O210" s="9"/>
      <c r="P210" s="9"/>
      <c r="Q210" s="9"/>
      <c r="R210" s="9"/>
      <c r="S210" s="9"/>
    </row>
    <row r="211" spans="5:19" ht="15.75" customHeight="1" x14ac:dyDescent="0.3">
      <c r="E211" s="9"/>
      <c r="F211" s="9"/>
      <c r="H211" s="9"/>
      <c r="M211" s="9"/>
      <c r="N211" s="9"/>
      <c r="O211" s="9"/>
      <c r="P211" s="9"/>
      <c r="Q211" s="9"/>
      <c r="R211" s="9"/>
      <c r="S211" s="9"/>
    </row>
    <row r="212" spans="5:19" ht="15.75" customHeight="1" x14ac:dyDescent="0.3">
      <c r="E212" s="9"/>
      <c r="F212" s="9"/>
      <c r="H212" s="9"/>
      <c r="M212" s="9"/>
      <c r="N212" s="9"/>
      <c r="O212" s="9"/>
      <c r="P212" s="9"/>
      <c r="Q212" s="9"/>
      <c r="R212" s="9"/>
      <c r="S212" s="9"/>
    </row>
    <row r="213" spans="5:19" ht="15.75" customHeight="1" x14ac:dyDescent="0.3">
      <c r="E213" s="9"/>
      <c r="F213" s="9"/>
      <c r="H213" s="9"/>
      <c r="M213" s="9"/>
      <c r="N213" s="9"/>
      <c r="O213" s="9"/>
      <c r="P213" s="9"/>
      <c r="Q213" s="9"/>
      <c r="R213" s="9"/>
      <c r="S213" s="9"/>
    </row>
    <row r="214" spans="5:19" ht="15.75" customHeight="1" x14ac:dyDescent="0.3">
      <c r="E214" s="9"/>
      <c r="F214" s="9"/>
      <c r="H214" s="9"/>
      <c r="M214" s="9"/>
      <c r="N214" s="9"/>
      <c r="O214" s="9"/>
      <c r="P214" s="9"/>
      <c r="Q214" s="9"/>
      <c r="R214" s="9"/>
      <c r="S214" s="9"/>
    </row>
    <row r="215" spans="5:19" ht="15.75" customHeight="1" x14ac:dyDescent="0.3">
      <c r="E215" s="9"/>
      <c r="F215" s="9"/>
      <c r="H215" s="9"/>
      <c r="M215" s="9"/>
      <c r="N215" s="9"/>
      <c r="O215" s="9"/>
      <c r="P215" s="9"/>
      <c r="Q215" s="9"/>
      <c r="R215" s="9"/>
      <c r="S215" s="9"/>
    </row>
    <row r="216" spans="5:19" ht="15.75" customHeight="1" x14ac:dyDescent="0.3">
      <c r="E216" s="9"/>
      <c r="F216" s="9"/>
      <c r="H216" s="9"/>
      <c r="M216" s="9"/>
      <c r="N216" s="9"/>
      <c r="O216" s="9"/>
      <c r="P216" s="9"/>
      <c r="Q216" s="9"/>
      <c r="R216" s="9"/>
      <c r="S216" s="9"/>
    </row>
    <row r="217" spans="5:19" ht="15.75" customHeight="1" x14ac:dyDescent="0.3">
      <c r="E217" s="9"/>
      <c r="F217" s="9"/>
      <c r="H217" s="9"/>
      <c r="M217" s="9"/>
      <c r="N217" s="9"/>
      <c r="O217" s="9"/>
      <c r="P217" s="9"/>
      <c r="Q217" s="9"/>
      <c r="R217" s="9"/>
      <c r="S217" s="9"/>
    </row>
    <row r="218" spans="5:19" ht="15.75" customHeight="1" x14ac:dyDescent="0.3">
      <c r="E218" s="9"/>
      <c r="F218" s="9"/>
      <c r="H218" s="9"/>
      <c r="M218" s="9"/>
      <c r="N218" s="9"/>
      <c r="O218" s="9"/>
      <c r="P218" s="9"/>
      <c r="Q218" s="9"/>
      <c r="R218" s="9"/>
      <c r="S218" s="9"/>
    </row>
    <row r="219" spans="5:19" ht="15.75" customHeight="1" x14ac:dyDescent="0.3">
      <c r="E219" s="9"/>
      <c r="F219" s="9"/>
      <c r="H219" s="9"/>
      <c r="M219" s="9"/>
      <c r="N219" s="9"/>
      <c r="O219" s="9"/>
      <c r="P219" s="9"/>
      <c r="Q219" s="9"/>
      <c r="R219" s="9"/>
      <c r="S219" s="9"/>
    </row>
    <row r="220" spans="5:19" ht="15.75" customHeight="1" x14ac:dyDescent="0.3">
      <c r="E220" s="9"/>
      <c r="F220" s="9"/>
      <c r="H220" s="9"/>
      <c r="M220" s="9"/>
      <c r="N220" s="9"/>
      <c r="O220" s="9"/>
      <c r="P220" s="9"/>
      <c r="Q220" s="9"/>
      <c r="R220" s="9"/>
      <c r="S220" s="9"/>
    </row>
    <row r="221" spans="5:19" ht="15.75" customHeight="1" x14ac:dyDescent="0.3">
      <c r="E221" s="9"/>
      <c r="F221" s="9"/>
      <c r="H221" s="9"/>
      <c r="M221" s="9"/>
      <c r="N221" s="9"/>
      <c r="O221" s="9"/>
      <c r="P221" s="9"/>
      <c r="Q221" s="9"/>
      <c r="R221" s="9"/>
      <c r="S221" s="9"/>
    </row>
    <row r="222" spans="5:19" ht="15.75" customHeight="1" x14ac:dyDescent="0.3">
      <c r="E222" s="9"/>
      <c r="F222" s="9"/>
      <c r="H222" s="9"/>
      <c r="M222" s="9"/>
      <c r="N222" s="9"/>
      <c r="O222" s="9"/>
      <c r="P222" s="9"/>
      <c r="Q222" s="9"/>
      <c r="R222" s="9"/>
      <c r="S222" s="9"/>
    </row>
    <row r="223" spans="5:19" ht="15.75" customHeight="1" x14ac:dyDescent="0.3">
      <c r="E223" s="9"/>
      <c r="F223" s="9"/>
      <c r="H223" s="9"/>
      <c r="M223" s="9"/>
      <c r="N223" s="9"/>
      <c r="O223" s="9"/>
      <c r="P223" s="9"/>
      <c r="Q223" s="9"/>
      <c r="R223" s="9"/>
      <c r="S223" s="9"/>
    </row>
    <row r="224" spans="5:19" ht="15.75" customHeight="1" x14ac:dyDescent="0.3">
      <c r="E224" s="9"/>
      <c r="F224" s="9"/>
      <c r="H224" s="9"/>
      <c r="M224" s="9"/>
      <c r="N224" s="9"/>
      <c r="O224" s="9"/>
      <c r="P224" s="9"/>
      <c r="Q224" s="9"/>
      <c r="R224" s="9"/>
      <c r="S224" s="9"/>
    </row>
    <row r="225" spans="5:19" ht="15.75" customHeight="1" x14ac:dyDescent="0.3">
      <c r="E225" s="9"/>
      <c r="F225" s="9"/>
      <c r="H225" s="9"/>
      <c r="M225" s="9"/>
      <c r="N225" s="9"/>
      <c r="O225" s="9"/>
      <c r="P225" s="9"/>
      <c r="Q225" s="9"/>
      <c r="R225" s="9"/>
      <c r="S225" s="9"/>
    </row>
    <row r="226" spans="5:19" ht="15.75" customHeight="1" x14ac:dyDescent="0.3">
      <c r="E226" s="9"/>
      <c r="F226" s="9"/>
      <c r="H226" s="9"/>
      <c r="M226" s="9"/>
      <c r="N226" s="9"/>
      <c r="O226" s="9"/>
      <c r="P226" s="9"/>
      <c r="Q226" s="9"/>
      <c r="R226" s="9"/>
      <c r="S226" s="9"/>
    </row>
    <row r="227" spans="5:19" ht="15.75" customHeight="1" x14ac:dyDescent="0.3">
      <c r="E227" s="9"/>
      <c r="F227" s="9"/>
      <c r="H227" s="9"/>
      <c r="M227" s="9"/>
      <c r="N227" s="9"/>
      <c r="O227" s="9"/>
      <c r="P227" s="9"/>
      <c r="Q227" s="9"/>
      <c r="R227" s="9"/>
      <c r="S227" s="9"/>
    </row>
    <row r="228" spans="5:19" ht="15.75" customHeight="1" x14ac:dyDescent="0.3">
      <c r="E228" s="9"/>
      <c r="F228" s="9"/>
      <c r="H228" s="9"/>
      <c r="M228" s="9"/>
      <c r="N228" s="9"/>
      <c r="O228" s="9"/>
      <c r="P228" s="9"/>
      <c r="Q228" s="9"/>
      <c r="R228" s="9"/>
      <c r="S228" s="9"/>
    </row>
    <row r="229" spans="5:19" ht="15.75" customHeight="1" x14ac:dyDescent="0.3">
      <c r="E229" s="9"/>
      <c r="F229" s="9"/>
      <c r="H229" s="9"/>
      <c r="M229" s="9"/>
      <c r="N229" s="9"/>
      <c r="O229" s="9"/>
      <c r="P229" s="9"/>
      <c r="Q229" s="9"/>
      <c r="R229" s="9"/>
      <c r="S229" s="9"/>
    </row>
    <row r="230" spans="5:19" ht="15.75" customHeight="1" x14ac:dyDescent="0.3">
      <c r="E230" s="9"/>
      <c r="F230" s="9"/>
      <c r="H230" s="9"/>
      <c r="M230" s="9"/>
      <c r="N230" s="9"/>
      <c r="O230" s="9"/>
      <c r="P230" s="9"/>
      <c r="Q230" s="9"/>
      <c r="R230" s="9"/>
      <c r="S230" s="9"/>
    </row>
    <row r="231" spans="5:19" ht="15.75" customHeight="1" x14ac:dyDescent="0.3">
      <c r="E231" s="9"/>
      <c r="F231" s="9"/>
      <c r="H231" s="9"/>
      <c r="M231" s="9"/>
      <c r="N231" s="9"/>
      <c r="O231" s="9"/>
      <c r="P231" s="9"/>
      <c r="Q231" s="9"/>
      <c r="R231" s="9"/>
      <c r="S231" s="9"/>
    </row>
    <row r="232" spans="5:19" ht="15.75" customHeight="1" x14ac:dyDescent="0.3">
      <c r="E232" s="9"/>
      <c r="F232" s="9"/>
      <c r="H232" s="9"/>
      <c r="M232" s="9"/>
      <c r="N232" s="9"/>
      <c r="O232" s="9"/>
      <c r="P232" s="9"/>
      <c r="Q232" s="9"/>
      <c r="R232" s="9"/>
      <c r="S232" s="9"/>
    </row>
    <row r="233" spans="5:19" ht="15.75" customHeight="1" x14ac:dyDescent="0.3">
      <c r="E233" s="9"/>
      <c r="F233" s="9"/>
      <c r="H233" s="9"/>
      <c r="M233" s="9"/>
      <c r="N233" s="9"/>
      <c r="O233" s="9"/>
      <c r="P233" s="9"/>
      <c r="Q233" s="9"/>
      <c r="R233" s="9"/>
      <c r="S233" s="9"/>
    </row>
    <row r="234" spans="5:19" ht="15.75" customHeight="1" x14ac:dyDescent="0.3">
      <c r="E234" s="9"/>
      <c r="F234" s="9"/>
      <c r="H234" s="9"/>
      <c r="M234" s="9"/>
      <c r="N234" s="9"/>
      <c r="O234" s="9"/>
      <c r="P234" s="9"/>
      <c r="Q234" s="9"/>
      <c r="R234" s="9"/>
      <c r="S234" s="9"/>
    </row>
    <row r="235" spans="5:19" ht="15.75" customHeight="1" x14ac:dyDescent="0.3">
      <c r="E235" s="9"/>
      <c r="F235" s="9"/>
      <c r="H235" s="9"/>
      <c r="M235" s="9"/>
      <c r="N235" s="9"/>
      <c r="O235" s="9"/>
      <c r="P235" s="9"/>
      <c r="Q235" s="9"/>
      <c r="R235" s="9"/>
      <c r="S235" s="9"/>
    </row>
    <row r="236" spans="5:19" ht="15.75" customHeight="1" x14ac:dyDescent="0.3">
      <c r="E236" s="9"/>
      <c r="F236" s="9"/>
      <c r="H236" s="9"/>
      <c r="M236" s="9"/>
      <c r="N236" s="9"/>
      <c r="O236" s="9"/>
      <c r="P236" s="9"/>
      <c r="Q236" s="9"/>
      <c r="R236" s="9"/>
      <c r="S236" s="9"/>
    </row>
    <row r="237" spans="5:19" ht="15.75" customHeight="1" x14ac:dyDescent="0.3">
      <c r="E237" s="9"/>
      <c r="F237" s="9"/>
      <c r="H237" s="9"/>
      <c r="M237" s="9"/>
      <c r="N237" s="9"/>
      <c r="O237" s="9"/>
      <c r="P237" s="9"/>
      <c r="Q237" s="9"/>
      <c r="R237" s="9"/>
      <c r="S237" s="9"/>
    </row>
    <row r="238" spans="5:19" ht="15.75" customHeight="1" x14ac:dyDescent="0.3">
      <c r="E238" s="9"/>
      <c r="F238" s="9"/>
      <c r="H238" s="9"/>
      <c r="M238" s="9"/>
      <c r="N238" s="9"/>
      <c r="O238" s="9"/>
      <c r="P238" s="9"/>
      <c r="Q238" s="9"/>
      <c r="R238" s="9"/>
      <c r="S238" s="9"/>
    </row>
    <row r="239" spans="5:19" ht="15.75" customHeight="1" x14ac:dyDescent="0.3">
      <c r="E239" s="9"/>
      <c r="F239" s="9"/>
      <c r="H239" s="9"/>
      <c r="M239" s="9"/>
      <c r="N239" s="9"/>
      <c r="O239" s="9"/>
      <c r="P239" s="9"/>
      <c r="Q239" s="9"/>
      <c r="R239" s="9"/>
      <c r="S239" s="9"/>
    </row>
    <row r="240" spans="5:19" ht="15.75" customHeight="1" x14ac:dyDescent="0.3">
      <c r="E240" s="9"/>
      <c r="F240" s="9"/>
      <c r="H240" s="9"/>
      <c r="M240" s="9"/>
      <c r="N240" s="9"/>
      <c r="O240" s="9"/>
      <c r="P240" s="9"/>
      <c r="Q240" s="9"/>
      <c r="R240" s="9"/>
      <c r="S240" s="9"/>
    </row>
    <row r="241" spans="5:19" ht="15.75" customHeight="1" x14ac:dyDescent="0.3">
      <c r="E241" s="9"/>
      <c r="F241" s="9"/>
      <c r="H241" s="9"/>
      <c r="M241" s="9"/>
      <c r="N241" s="9"/>
      <c r="O241" s="9"/>
      <c r="P241" s="9"/>
      <c r="Q241" s="9"/>
      <c r="R241" s="9"/>
      <c r="S241" s="9"/>
    </row>
    <row r="242" spans="5:19" ht="15.75" customHeight="1" x14ac:dyDescent="0.3">
      <c r="E242" s="9"/>
      <c r="F242" s="9"/>
      <c r="H242" s="9"/>
      <c r="M242" s="9"/>
      <c r="N242" s="9"/>
      <c r="O242" s="9"/>
      <c r="P242" s="9"/>
      <c r="Q242" s="9"/>
      <c r="R242" s="9"/>
      <c r="S242" s="9"/>
    </row>
    <row r="243" spans="5:19" ht="15.75" customHeight="1" x14ac:dyDescent="0.3">
      <c r="E243" s="9"/>
      <c r="F243" s="9"/>
      <c r="H243" s="9"/>
      <c r="M243" s="9"/>
      <c r="N243" s="9"/>
      <c r="O243" s="9"/>
      <c r="P243" s="9"/>
      <c r="Q243" s="9"/>
      <c r="R243" s="9"/>
      <c r="S243" s="9"/>
    </row>
    <row r="244" spans="5:19" ht="15.75" customHeight="1" x14ac:dyDescent="0.3">
      <c r="E244" s="9"/>
      <c r="F244" s="9"/>
      <c r="H244" s="9"/>
      <c r="M244" s="9"/>
      <c r="N244" s="9"/>
      <c r="O244" s="9"/>
      <c r="P244" s="9"/>
      <c r="Q244" s="9"/>
      <c r="R244" s="9"/>
      <c r="S244" s="9"/>
    </row>
    <row r="245" spans="5:19" ht="15.75" customHeight="1" x14ac:dyDescent="0.3">
      <c r="E245" s="9"/>
      <c r="F245" s="9"/>
      <c r="H245" s="9"/>
      <c r="M245" s="9"/>
      <c r="N245" s="9"/>
      <c r="O245" s="9"/>
      <c r="P245" s="9"/>
      <c r="Q245" s="9"/>
      <c r="R245" s="9"/>
      <c r="S245" s="9"/>
    </row>
    <row r="246" spans="5:19" ht="15.75" customHeight="1" x14ac:dyDescent="0.3">
      <c r="E246" s="9"/>
      <c r="F246" s="9"/>
      <c r="H246" s="9"/>
      <c r="M246" s="9"/>
      <c r="N246" s="9"/>
      <c r="O246" s="9"/>
      <c r="P246" s="9"/>
      <c r="Q246" s="9"/>
      <c r="R246" s="9"/>
      <c r="S246" s="9"/>
    </row>
    <row r="247" spans="5:19" ht="15.75" customHeight="1" x14ac:dyDescent="0.3">
      <c r="E247" s="9"/>
      <c r="F247" s="9"/>
      <c r="H247" s="9"/>
      <c r="M247" s="9"/>
      <c r="N247" s="9"/>
      <c r="O247" s="9"/>
      <c r="P247" s="9"/>
      <c r="Q247" s="9"/>
      <c r="R247" s="9"/>
      <c r="S247" s="9"/>
    </row>
    <row r="248" spans="5:19" ht="15.75" customHeight="1" x14ac:dyDescent="0.3">
      <c r="E248" s="9"/>
      <c r="F248" s="9"/>
      <c r="H248" s="9"/>
      <c r="M248" s="9"/>
      <c r="N248" s="9"/>
      <c r="O248" s="9"/>
      <c r="P248" s="9"/>
      <c r="Q248" s="9"/>
      <c r="R248" s="9"/>
      <c r="S248" s="9"/>
    </row>
    <row r="249" spans="5:19" ht="15.75" customHeight="1" x14ac:dyDescent="0.3">
      <c r="E249" s="9"/>
      <c r="F249" s="9"/>
      <c r="H249" s="9"/>
      <c r="M249" s="9"/>
      <c r="N249" s="9"/>
      <c r="O249" s="9"/>
      <c r="P249" s="9"/>
      <c r="Q249" s="9"/>
      <c r="R249" s="9"/>
      <c r="S249" s="9"/>
    </row>
    <row r="250" spans="5:19" ht="15.75" customHeight="1" x14ac:dyDescent="0.3">
      <c r="E250" s="9"/>
      <c r="F250" s="9"/>
      <c r="H250" s="9"/>
      <c r="M250" s="9"/>
      <c r="N250" s="9"/>
      <c r="O250" s="9"/>
      <c r="P250" s="9"/>
      <c r="Q250" s="9"/>
      <c r="R250" s="9"/>
      <c r="S250" s="9"/>
    </row>
    <row r="251" spans="5:19" ht="15.75" customHeight="1" x14ac:dyDescent="0.3">
      <c r="E251" s="9"/>
      <c r="F251" s="9"/>
      <c r="H251" s="9"/>
      <c r="M251" s="9"/>
      <c r="N251" s="9"/>
      <c r="O251" s="9"/>
      <c r="P251" s="9"/>
      <c r="Q251" s="9"/>
      <c r="R251" s="9"/>
      <c r="S251" s="9"/>
    </row>
    <row r="252" spans="5:19" ht="15.75" customHeight="1" x14ac:dyDescent="0.3">
      <c r="E252" s="9"/>
      <c r="F252" s="9"/>
      <c r="H252" s="9"/>
      <c r="M252" s="9"/>
      <c r="N252" s="9"/>
      <c r="O252" s="9"/>
      <c r="P252" s="9"/>
      <c r="Q252" s="9"/>
      <c r="R252" s="9"/>
      <c r="S252" s="9"/>
    </row>
    <row r="253" spans="5:19" ht="15.75" customHeight="1" x14ac:dyDescent="0.3">
      <c r="E253" s="9"/>
      <c r="F253" s="9"/>
      <c r="H253" s="9"/>
      <c r="M253" s="9"/>
      <c r="N253" s="9"/>
      <c r="O253" s="9"/>
      <c r="P253" s="9"/>
      <c r="Q253" s="9"/>
      <c r="R253" s="9"/>
      <c r="S253" s="9"/>
    </row>
    <row r="254" spans="5:19" ht="15.75" customHeight="1" x14ac:dyDescent="0.3">
      <c r="E254" s="9"/>
      <c r="F254" s="9"/>
      <c r="H254" s="9"/>
      <c r="M254" s="9"/>
      <c r="N254" s="9"/>
      <c r="O254" s="9"/>
      <c r="P254" s="9"/>
      <c r="Q254" s="9"/>
      <c r="R254" s="9"/>
      <c r="S254" s="9"/>
    </row>
    <row r="255" spans="5:19" ht="15.75" customHeight="1" x14ac:dyDescent="0.3">
      <c r="E255" s="9"/>
      <c r="F255" s="9"/>
      <c r="H255" s="9"/>
      <c r="M255" s="9"/>
      <c r="N255" s="9"/>
      <c r="O255" s="9"/>
      <c r="P255" s="9"/>
      <c r="Q255" s="9"/>
      <c r="R255" s="9"/>
      <c r="S255" s="9"/>
    </row>
    <row r="256" spans="5:19" ht="15.75" customHeight="1" x14ac:dyDescent="0.3">
      <c r="E256" s="9"/>
      <c r="F256" s="9"/>
      <c r="H256" s="9"/>
      <c r="M256" s="9"/>
      <c r="N256" s="9"/>
      <c r="O256" s="9"/>
      <c r="P256" s="9"/>
      <c r="Q256" s="9"/>
      <c r="R256" s="9"/>
      <c r="S256" s="9"/>
    </row>
    <row r="257" spans="5:19" ht="15.75" customHeight="1" x14ac:dyDescent="0.3">
      <c r="E257" s="9"/>
      <c r="F257" s="9"/>
      <c r="H257" s="9"/>
      <c r="M257" s="9"/>
      <c r="N257" s="9"/>
      <c r="O257" s="9"/>
      <c r="P257" s="9"/>
      <c r="Q257" s="9"/>
      <c r="R257" s="9"/>
      <c r="S257" s="9"/>
    </row>
    <row r="258" spans="5:19" ht="15.75" customHeight="1" x14ac:dyDescent="0.3">
      <c r="E258" s="9"/>
      <c r="F258" s="9"/>
      <c r="H258" s="9"/>
      <c r="M258" s="9"/>
      <c r="N258" s="9"/>
      <c r="O258" s="9"/>
      <c r="P258" s="9"/>
      <c r="Q258" s="9"/>
      <c r="R258" s="9"/>
      <c r="S258" s="9"/>
    </row>
    <row r="259" spans="5:19" ht="15.75" customHeight="1" x14ac:dyDescent="0.3">
      <c r="E259" s="9"/>
      <c r="F259" s="9"/>
      <c r="H259" s="9"/>
      <c r="M259" s="9"/>
      <c r="N259" s="9"/>
      <c r="O259" s="9"/>
      <c r="P259" s="9"/>
      <c r="Q259" s="9"/>
      <c r="R259" s="9"/>
      <c r="S259" s="9"/>
    </row>
    <row r="260" spans="5:19" ht="15.75" customHeight="1" x14ac:dyDescent="0.3">
      <c r="E260" s="9"/>
      <c r="F260" s="9"/>
      <c r="H260" s="9"/>
      <c r="M260" s="9"/>
      <c r="N260" s="9"/>
      <c r="O260" s="9"/>
      <c r="P260" s="9"/>
      <c r="Q260" s="9"/>
      <c r="R260" s="9"/>
      <c r="S260" s="9"/>
    </row>
    <row r="261" spans="5:19" ht="15.75" customHeight="1" x14ac:dyDescent="0.3">
      <c r="E261" s="9"/>
      <c r="F261" s="9"/>
      <c r="H261" s="9"/>
      <c r="M261" s="9"/>
      <c r="N261" s="9"/>
      <c r="O261" s="9"/>
      <c r="P261" s="9"/>
      <c r="Q261" s="9"/>
      <c r="R261" s="9"/>
      <c r="S261" s="9"/>
    </row>
    <row r="262" spans="5:19" ht="15.75" customHeight="1" x14ac:dyDescent="0.3">
      <c r="E262" s="9"/>
      <c r="F262" s="9"/>
      <c r="H262" s="9"/>
      <c r="M262" s="9"/>
      <c r="N262" s="9"/>
      <c r="O262" s="9"/>
      <c r="P262" s="9"/>
      <c r="Q262" s="9"/>
      <c r="R262" s="9"/>
      <c r="S262" s="9"/>
    </row>
    <row r="263" spans="5:19" ht="15.75" customHeight="1" x14ac:dyDescent="0.3">
      <c r="E263" s="9"/>
      <c r="F263" s="9"/>
      <c r="H263" s="9"/>
      <c r="M263" s="9"/>
      <c r="N263" s="9"/>
      <c r="O263" s="9"/>
      <c r="P263" s="9"/>
      <c r="Q263" s="9"/>
      <c r="R263" s="9"/>
      <c r="S263" s="9"/>
    </row>
    <row r="264" spans="5:19" ht="15.75" customHeight="1" x14ac:dyDescent="0.3">
      <c r="E264" s="9"/>
      <c r="F264" s="9"/>
      <c r="H264" s="9"/>
      <c r="M264" s="9"/>
      <c r="N264" s="9"/>
      <c r="O264" s="9"/>
      <c r="P264" s="9"/>
      <c r="Q264" s="9"/>
      <c r="R264" s="9"/>
      <c r="S264" s="9"/>
    </row>
    <row r="265" spans="5:19" ht="15.75" customHeight="1" x14ac:dyDescent="0.3">
      <c r="E265" s="9"/>
      <c r="F265" s="9"/>
      <c r="H265" s="9"/>
      <c r="M265" s="9"/>
      <c r="N265" s="9"/>
      <c r="O265" s="9"/>
      <c r="P265" s="9"/>
      <c r="Q265" s="9"/>
      <c r="R265" s="9"/>
      <c r="S265" s="9"/>
    </row>
    <row r="266" spans="5:19" ht="15.75" customHeight="1" x14ac:dyDescent="0.3">
      <c r="E266" s="9"/>
      <c r="F266" s="9"/>
      <c r="H266" s="9"/>
      <c r="M266" s="9"/>
      <c r="N266" s="9"/>
      <c r="O266" s="9"/>
      <c r="P266" s="9"/>
      <c r="Q266" s="9"/>
      <c r="R266" s="9"/>
      <c r="S266" s="9"/>
    </row>
    <row r="267" spans="5:19" ht="15.75" customHeight="1" x14ac:dyDescent="0.3">
      <c r="E267" s="9"/>
      <c r="F267" s="9"/>
      <c r="H267" s="9"/>
      <c r="M267" s="9"/>
      <c r="N267" s="9"/>
      <c r="O267" s="9"/>
      <c r="P267" s="9"/>
      <c r="Q267" s="9"/>
      <c r="R267" s="9"/>
      <c r="S267" s="9"/>
    </row>
    <row r="268" spans="5:19" ht="15.75" customHeight="1" x14ac:dyDescent="0.3">
      <c r="E268" s="9"/>
      <c r="F268" s="9"/>
      <c r="H268" s="9"/>
      <c r="M268" s="9"/>
      <c r="N268" s="9"/>
      <c r="O268" s="9"/>
      <c r="P268" s="9"/>
      <c r="Q268" s="9"/>
      <c r="R268" s="9"/>
      <c r="S268" s="9"/>
    </row>
    <row r="269" spans="5:19" ht="15.75" customHeight="1" x14ac:dyDescent="0.3">
      <c r="E269" s="9"/>
      <c r="F269" s="9"/>
      <c r="H269" s="9"/>
      <c r="M269" s="9"/>
      <c r="N269" s="9"/>
      <c r="O269" s="9"/>
      <c r="P269" s="9"/>
      <c r="Q269" s="9"/>
      <c r="R269" s="9"/>
      <c r="S269" s="9"/>
    </row>
    <row r="270" spans="5:19" ht="15.75" customHeight="1" x14ac:dyDescent="0.3">
      <c r="E270" s="9"/>
      <c r="F270" s="9"/>
      <c r="H270" s="9"/>
      <c r="M270" s="9"/>
      <c r="N270" s="9"/>
      <c r="O270" s="9"/>
      <c r="P270" s="9"/>
      <c r="Q270" s="9"/>
      <c r="R270" s="9"/>
      <c r="S270" s="9"/>
    </row>
    <row r="271" spans="5:19" ht="15.75" customHeight="1" x14ac:dyDescent="0.3">
      <c r="E271" s="9"/>
      <c r="F271" s="9"/>
      <c r="H271" s="9"/>
      <c r="M271" s="9"/>
      <c r="N271" s="9"/>
      <c r="O271" s="9"/>
      <c r="P271" s="9"/>
      <c r="Q271" s="9"/>
      <c r="R271" s="9"/>
      <c r="S271" s="9"/>
    </row>
    <row r="272" spans="5:19" ht="15.75" customHeight="1" x14ac:dyDescent="0.3">
      <c r="E272" s="9"/>
      <c r="F272" s="9"/>
      <c r="H272" s="9"/>
      <c r="M272" s="9"/>
      <c r="N272" s="9"/>
      <c r="O272" s="9"/>
      <c r="P272" s="9"/>
      <c r="Q272" s="9"/>
      <c r="R272" s="9"/>
      <c r="S272" s="9"/>
    </row>
    <row r="273" spans="5:19" ht="15.75" customHeight="1" x14ac:dyDescent="0.3">
      <c r="E273" s="9"/>
      <c r="F273" s="9"/>
      <c r="H273" s="9"/>
      <c r="M273" s="9"/>
      <c r="N273" s="9"/>
      <c r="O273" s="9"/>
      <c r="P273" s="9"/>
      <c r="Q273" s="9"/>
      <c r="R273" s="9"/>
      <c r="S273" s="9"/>
    </row>
    <row r="274" spans="5:19" ht="15.75" customHeight="1" x14ac:dyDescent="0.3">
      <c r="E274" s="9"/>
      <c r="F274" s="9"/>
      <c r="H274" s="9"/>
      <c r="M274" s="9"/>
      <c r="N274" s="9"/>
      <c r="O274" s="9"/>
      <c r="P274" s="9"/>
      <c r="Q274" s="9"/>
      <c r="R274" s="9"/>
      <c r="S274" s="9"/>
    </row>
    <row r="275" spans="5:19" ht="15.75" customHeight="1" x14ac:dyDescent="0.3">
      <c r="E275" s="9"/>
      <c r="F275" s="9"/>
      <c r="H275" s="9"/>
      <c r="M275" s="9"/>
      <c r="N275" s="9"/>
      <c r="O275" s="9"/>
      <c r="P275" s="9"/>
      <c r="Q275" s="9"/>
      <c r="R275" s="9"/>
      <c r="S275" s="9"/>
    </row>
    <row r="276" spans="5:19" ht="15.75" customHeight="1" x14ac:dyDescent="0.3">
      <c r="E276" s="9"/>
      <c r="F276" s="9"/>
      <c r="H276" s="9"/>
      <c r="M276" s="9"/>
      <c r="N276" s="9"/>
      <c r="O276" s="9"/>
      <c r="P276" s="9"/>
      <c r="Q276" s="9"/>
      <c r="R276" s="9"/>
      <c r="S276" s="9"/>
    </row>
    <row r="277" spans="5:19" ht="15.75" customHeight="1" x14ac:dyDescent="0.3">
      <c r="E277" s="9"/>
      <c r="F277" s="9"/>
      <c r="H277" s="9"/>
      <c r="M277" s="9"/>
      <c r="N277" s="9"/>
      <c r="O277" s="9"/>
      <c r="P277" s="9"/>
      <c r="Q277" s="9"/>
      <c r="R277" s="9"/>
      <c r="S277" s="9"/>
    </row>
    <row r="278" spans="5:19" ht="15.75" customHeight="1" x14ac:dyDescent="0.3">
      <c r="E278" s="9"/>
      <c r="F278" s="9"/>
      <c r="H278" s="9"/>
      <c r="M278" s="9"/>
      <c r="N278" s="9"/>
      <c r="O278" s="9"/>
      <c r="P278" s="9"/>
      <c r="Q278" s="9"/>
      <c r="R278" s="9"/>
      <c r="S278" s="9"/>
    </row>
    <row r="279" spans="5:19" ht="15.75" customHeight="1" x14ac:dyDescent="0.3">
      <c r="E279" s="9"/>
      <c r="F279" s="9"/>
      <c r="H279" s="9"/>
      <c r="M279" s="9"/>
      <c r="N279" s="9"/>
      <c r="O279" s="9"/>
      <c r="P279" s="9"/>
      <c r="Q279" s="9"/>
      <c r="R279" s="9"/>
      <c r="S279" s="9"/>
    </row>
    <row r="280" spans="5:19" ht="15.75" customHeight="1" x14ac:dyDescent="0.3">
      <c r="E280" s="9"/>
      <c r="F280" s="9"/>
      <c r="H280" s="9"/>
      <c r="M280" s="9"/>
      <c r="N280" s="9"/>
      <c r="O280" s="9"/>
      <c r="P280" s="9"/>
      <c r="Q280" s="9"/>
      <c r="R280" s="9"/>
      <c r="S280" s="9"/>
    </row>
    <row r="281" spans="5:19" ht="15.75" customHeight="1" x14ac:dyDescent="0.3">
      <c r="E281" s="9"/>
      <c r="F281" s="9"/>
      <c r="H281" s="9"/>
      <c r="M281" s="9"/>
      <c r="N281" s="9"/>
      <c r="O281" s="9"/>
      <c r="P281" s="9"/>
      <c r="Q281" s="9"/>
      <c r="R281" s="9"/>
      <c r="S281" s="9"/>
    </row>
    <row r="282" spans="5:19" ht="15.75" customHeight="1" x14ac:dyDescent="0.3">
      <c r="E282" s="9"/>
      <c r="F282" s="9"/>
      <c r="H282" s="9"/>
      <c r="M282" s="9"/>
      <c r="N282" s="9"/>
      <c r="O282" s="9"/>
      <c r="P282" s="9"/>
      <c r="Q282" s="9"/>
      <c r="R282" s="9"/>
      <c r="S282" s="9"/>
    </row>
    <row r="283" spans="5:19" ht="15.75" customHeight="1" x14ac:dyDescent="0.3">
      <c r="E283" s="9"/>
      <c r="F283" s="9"/>
      <c r="H283" s="9"/>
      <c r="M283" s="9"/>
      <c r="N283" s="9"/>
      <c r="O283" s="9"/>
      <c r="P283" s="9"/>
      <c r="Q283" s="9"/>
      <c r="R283" s="9"/>
      <c r="S283" s="9"/>
    </row>
    <row r="284" spans="5:19" ht="15.75" customHeight="1" x14ac:dyDescent="0.3">
      <c r="E284" s="9"/>
      <c r="F284" s="9"/>
      <c r="H284" s="9"/>
      <c r="M284" s="9"/>
      <c r="N284" s="9"/>
      <c r="O284" s="9"/>
      <c r="P284" s="9"/>
      <c r="Q284" s="9"/>
      <c r="R284" s="9"/>
      <c r="S284" s="9"/>
    </row>
    <row r="285" spans="5:19" ht="15.75" customHeight="1" x14ac:dyDescent="0.3">
      <c r="E285" s="9"/>
      <c r="F285" s="9"/>
      <c r="H285" s="9"/>
      <c r="M285" s="9"/>
      <c r="N285" s="9"/>
      <c r="O285" s="9"/>
      <c r="P285" s="9"/>
      <c r="Q285" s="9"/>
      <c r="R285" s="9"/>
      <c r="S285" s="9"/>
    </row>
    <row r="286" spans="5:19" ht="15.75" customHeight="1" x14ac:dyDescent="0.3">
      <c r="E286" s="9"/>
      <c r="F286" s="9"/>
      <c r="H286" s="9"/>
      <c r="M286" s="9"/>
      <c r="N286" s="9"/>
      <c r="O286" s="9"/>
      <c r="P286" s="9"/>
      <c r="Q286" s="9"/>
      <c r="R286" s="9"/>
      <c r="S286" s="9"/>
    </row>
    <row r="287" spans="5:19" ht="15.75" customHeight="1" x14ac:dyDescent="0.3">
      <c r="E287" s="9"/>
      <c r="F287" s="9"/>
      <c r="H287" s="9"/>
      <c r="M287" s="9"/>
      <c r="N287" s="9"/>
      <c r="O287" s="9"/>
      <c r="P287" s="9"/>
      <c r="Q287" s="9"/>
      <c r="R287" s="9"/>
      <c r="S287" s="9"/>
    </row>
    <row r="288" spans="5:19" ht="15.75" customHeight="1" x14ac:dyDescent="0.3">
      <c r="E288" s="9"/>
      <c r="F288" s="9"/>
      <c r="H288" s="9"/>
      <c r="M288" s="9"/>
      <c r="N288" s="9"/>
      <c r="O288" s="9"/>
      <c r="P288" s="9"/>
      <c r="Q288" s="9"/>
      <c r="R288" s="9"/>
      <c r="S288" s="9"/>
    </row>
    <row r="289" spans="5:19" ht="15.75" customHeight="1" x14ac:dyDescent="0.3">
      <c r="E289" s="9"/>
      <c r="F289" s="9"/>
      <c r="H289" s="9"/>
      <c r="M289" s="9"/>
      <c r="N289" s="9"/>
      <c r="O289" s="9"/>
      <c r="P289" s="9"/>
      <c r="Q289" s="9"/>
      <c r="R289" s="9"/>
      <c r="S289" s="9"/>
    </row>
    <row r="290" spans="5:19" ht="15.75" customHeight="1" x14ac:dyDescent="0.3">
      <c r="E290" s="9"/>
      <c r="F290" s="9"/>
      <c r="H290" s="9"/>
      <c r="M290" s="9"/>
      <c r="N290" s="9"/>
      <c r="O290" s="9"/>
      <c r="P290" s="9"/>
      <c r="Q290" s="9"/>
      <c r="R290" s="9"/>
      <c r="S290" s="9"/>
    </row>
    <row r="291" spans="5:19" ht="15.75" customHeight="1" x14ac:dyDescent="0.3">
      <c r="E291" s="9"/>
      <c r="F291" s="9"/>
      <c r="H291" s="9"/>
      <c r="M291" s="9"/>
      <c r="N291" s="9"/>
      <c r="O291" s="9"/>
      <c r="P291" s="9"/>
      <c r="Q291" s="9"/>
      <c r="R291" s="9"/>
      <c r="S291" s="9"/>
    </row>
    <row r="292" spans="5:19" ht="15.75" customHeight="1" x14ac:dyDescent="0.3">
      <c r="E292" s="9"/>
      <c r="F292" s="9"/>
      <c r="H292" s="9"/>
      <c r="M292" s="9"/>
      <c r="N292" s="9"/>
      <c r="O292" s="9"/>
      <c r="P292" s="9"/>
      <c r="Q292" s="9"/>
      <c r="R292" s="9"/>
      <c r="S292" s="9"/>
    </row>
    <row r="293" spans="5:19" ht="15.75" customHeight="1" x14ac:dyDescent="0.3">
      <c r="E293" s="9"/>
      <c r="F293" s="9"/>
      <c r="H293" s="9"/>
      <c r="M293" s="9"/>
      <c r="N293" s="9"/>
      <c r="O293" s="9"/>
      <c r="P293" s="9"/>
      <c r="Q293" s="9"/>
      <c r="R293" s="9"/>
      <c r="S293" s="9"/>
    </row>
    <row r="294" spans="5:19" ht="15.75" customHeight="1" x14ac:dyDescent="0.3">
      <c r="E294" s="9"/>
      <c r="F294" s="9"/>
      <c r="H294" s="9"/>
      <c r="M294" s="9"/>
      <c r="N294" s="9"/>
      <c r="O294" s="9"/>
      <c r="P294" s="9"/>
      <c r="Q294" s="9"/>
      <c r="R294" s="9"/>
      <c r="S294" s="9"/>
    </row>
    <row r="295" spans="5:19" ht="15.75" customHeight="1" x14ac:dyDescent="0.3">
      <c r="E295" s="9"/>
      <c r="F295" s="9"/>
      <c r="H295" s="9"/>
      <c r="M295" s="9"/>
      <c r="N295" s="9"/>
      <c r="O295" s="9"/>
      <c r="P295" s="9"/>
      <c r="Q295" s="9"/>
      <c r="R295" s="9"/>
      <c r="S295" s="9"/>
    </row>
    <row r="296" spans="5:19" ht="15.75" customHeight="1" x14ac:dyDescent="0.3">
      <c r="E296" s="9"/>
      <c r="F296" s="9"/>
      <c r="H296" s="9"/>
      <c r="M296" s="9"/>
      <c r="N296" s="9"/>
      <c r="O296" s="9"/>
      <c r="P296" s="9"/>
      <c r="Q296" s="9"/>
      <c r="R296" s="9"/>
      <c r="S296" s="9"/>
    </row>
    <row r="297" spans="5:19" ht="15.75" customHeight="1" x14ac:dyDescent="0.3">
      <c r="E297" s="9"/>
      <c r="F297" s="9"/>
      <c r="H297" s="9"/>
      <c r="M297" s="9"/>
      <c r="N297" s="9"/>
      <c r="O297" s="9"/>
      <c r="P297" s="9"/>
      <c r="Q297" s="9"/>
      <c r="R297" s="9"/>
      <c r="S297" s="9"/>
    </row>
    <row r="298" spans="5:19" ht="15.75" customHeight="1" x14ac:dyDescent="0.3">
      <c r="E298" s="9"/>
      <c r="F298" s="9"/>
      <c r="H298" s="9"/>
      <c r="M298" s="9"/>
      <c r="N298" s="9"/>
      <c r="O298" s="9"/>
      <c r="P298" s="9"/>
      <c r="Q298" s="9"/>
      <c r="R298" s="9"/>
      <c r="S298" s="9"/>
    </row>
    <row r="299" spans="5:19" ht="15.75" customHeight="1" x14ac:dyDescent="0.3">
      <c r="E299" s="9"/>
      <c r="F299" s="9"/>
      <c r="H299" s="9"/>
      <c r="M299" s="9"/>
      <c r="N299" s="9"/>
      <c r="O299" s="9"/>
      <c r="P299" s="9"/>
      <c r="Q299" s="9"/>
      <c r="R299" s="9"/>
      <c r="S299" s="9"/>
    </row>
    <row r="300" spans="5:19" ht="15.75" customHeight="1" x14ac:dyDescent="0.3">
      <c r="E300" s="9"/>
      <c r="F300" s="9"/>
      <c r="H300" s="9"/>
      <c r="M300" s="9"/>
      <c r="N300" s="9"/>
      <c r="O300" s="9"/>
      <c r="P300" s="9"/>
      <c r="Q300" s="9"/>
      <c r="R300" s="9"/>
      <c r="S300" s="9"/>
    </row>
    <row r="301" spans="5:19" ht="15.75" customHeight="1" x14ac:dyDescent="0.3">
      <c r="E301" s="9"/>
      <c r="F301" s="9"/>
      <c r="H301" s="9"/>
      <c r="M301" s="9"/>
      <c r="N301" s="9"/>
      <c r="O301" s="9"/>
      <c r="P301" s="9"/>
      <c r="Q301" s="9"/>
      <c r="R301" s="9"/>
      <c r="S301" s="9"/>
    </row>
    <row r="302" spans="5:19" ht="15.75" customHeight="1" x14ac:dyDescent="0.3">
      <c r="E302" s="9"/>
      <c r="F302" s="9"/>
      <c r="H302" s="9"/>
      <c r="M302" s="9"/>
      <c r="N302" s="9"/>
      <c r="O302" s="9"/>
      <c r="P302" s="9"/>
      <c r="Q302" s="9"/>
      <c r="R302" s="9"/>
      <c r="S302" s="9"/>
    </row>
    <row r="303" spans="5:19" ht="15.75" customHeight="1" x14ac:dyDescent="0.3">
      <c r="E303" s="9"/>
      <c r="F303" s="9"/>
      <c r="H303" s="9"/>
      <c r="M303" s="9"/>
      <c r="N303" s="9"/>
      <c r="O303" s="9"/>
      <c r="P303" s="9"/>
      <c r="Q303" s="9"/>
      <c r="R303" s="9"/>
      <c r="S303" s="9"/>
    </row>
    <row r="304" spans="5:19" ht="15.75" customHeight="1" x14ac:dyDescent="0.3">
      <c r="E304" s="9"/>
      <c r="F304" s="9"/>
      <c r="H304" s="9"/>
      <c r="M304" s="9"/>
      <c r="N304" s="9"/>
      <c r="O304" s="9"/>
      <c r="P304" s="9"/>
      <c r="Q304" s="9"/>
      <c r="R304" s="9"/>
      <c r="S304" s="9"/>
    </row>
    <row r="305" spans="5:19" ht="15.75" customHeight="1" x14ac:dyDescent="0.3">
      <c r="E305" s="9"/>
      <c r="F305" s="9"/>
      <c r="H305" s="9"/>
      <c r="M305" s="9"/>
      <c r="N305" s="9"/>
      <c r="O305" s="9"/>
      <c r="P305" s="9"/>
      <c r="Q305" s="9"/>
      <c r="R305" s="9"/>
      <c r="S305" s="9"/>
    </row>
    <row r="306" spans="5:19" ht="15.75" customHeight="1" x14ac:dyDescent="0.3">
      <c r="E306" s="9"/>
      <c r="F306" s="9"/>
      <c r="H306" s="9"/>
      <c r="M306" s="9"/>
      <c r="N306" s="9"/>
      <c r="O306" s="9"/>
      <c r="P306" s="9"/>
      <c r="Q306" s="9"/>
      <c r="R306" s="9"/>
      <c r="S306" s="9"/>
    </row>
    <row r="307" spans="5:19" ht="15.75" customHeight="1" x14ac:dyDescent="0.3">
      <c r="E307" s="9"/>
      <c r="F307" s="9"/>
      <c r="H307" s="9"/>
      <c r="M307" s="9"/>
      <c r="N307" s="9"/>
      <c r="O307" s="9"/>
      <c r="P307" s="9"/>
      <c r="Q307" s="9"/>
      <c r="R307" s="9"/>
      <c r="S307" s="9"/>
    </row>
    <row r="308" spans="5:19" ht="15.75" customHeight="1" x14ac:dyDescent="0.3">
      <c r="E308" s="9"/>
      <c r="F308" s="9"/>
      <c r="H308" s="9"/>
      <c r="M308" s="9"/>
      <c r="N308" s="9"/>
      <c r="O308" s="9"/>
      <c r="P308" s="9"/>
      <c r="Q308" s="9"/>
      <c r="R308" s="9"/>
      <c r="S308" s="9"/>
    </row>
    <row r="309" spans="5:19" ht="15.75" customHeight="1" x14ac:dyDescent="0.3">
      <c r="E309" s="9"/>
      <c r="F309" s="9"/>
      <c r="H309" s="9"/>
      <c r="M309" s="9"/>
      <c r="N309" s="9"/>
      <c r="O309" s="9"/>
      <c r="P309" s="9"/>
      <c r="Q309" s="9"/>
      <c r="R309" s="9"/>
      <c r="S309" s="9"/>
    </row>
    <row r="310" spans="5:19" ht="15.75" customHeight="1" x14ac:dyDescent="0.3">
      <c r="E310" s="9"/>
      <c r="F310" s="9"/>
      <c r="H310" s="9"/>
      <c r="M310" s="9"/>
      <c r="N310" s="9"/>
      <c r="O310" s="9"/>
      <c r="P310" s="9"/>
      <c r="Q310" s="9"/>
      <c r="R310" s="9"/>
      <c r="S310" s="9"/>
    </row>
    <row r="311" spans="5:19" ht="15.75" customHeight="1" x14ac:dyDescent="0.3">
      <c r="E311" s="9"/>
      <c r="F311" s="9"/>
      <c r="H311" s="9"/>
      <c r="M311" s="9"/>
      <c r="N311" s="9"/>
      <c r="O311" s="9"/>
      <c r="P311" s="9"/>
      <c r="Q311" s="9"/>
      <c r="R311" s="9"/>
      <c r="S311" s="9"/>
    </row>
    <row r="312" spans="5:19" ht="15.75" customHeight="1" x14ac:dyDescent="0.3">
      <c r="E312" s="9"/>
      <c r="F312" s="9"/>
      <c r="H312" s="9"/>
      <c r="M312" s="9"/>
      <c r="N312" s="9"/>
      <c r="O312" s="9"/>
      <c r="P312" s="9"/>
      <c r="Q312" s="9"/>
      <c r="R312" s="9"/>
      <c r="S312" s="9"/>
    </row>
    <row r="313" spans="5:19" ht="15.75" customHeight="1" x14ac:dyDescent="0.3">
      <c r="E313" s="9"/>
      <c r="F313" s="9"/>
      <c r="H313" s="9"/>
      <c r="M313" s="9"/>
      <c r="N313" s="9"/>
      <c r="O313" s="9"/>
      <c r="P313" s="9"/>
      <c r="Q313" s="9"/>
      <c r="R313" s="9"/>
      <c r="S313" s="9"/>
    </row>
    <row r="314" spans="5:19" ht="15.75" customHeight="1" x14ac:dyDescent="0.3">
      <c r="E314" s="9"/>
      <c r="F314" s="9"/>
      <c r="H314" s="9"/>
      <c r="M314" s="9"/>
      <c r="N314" s="9"/>
      <c r="O314" s="9"/>
      <c r="P314" s="9"/>
      <c r="Q314" s="9"/>
      <c r="R314" s="9"/>
      <c r="S314" s="9"/>
    </row>
    <row r="315" spans="5:19" ht="15.75" customHeight="1" x14ac:dyDescent="0.3">
      <c r="E315" s="9"/>
      <c r="F315" s="9"/>
      <c r="H315" s="9"/>
      <c r="M315" s="9"/>
      <c r="N315" s="9"/>
      <c r="O315" s="9"/>
      <c r="P315" s="9"/>
      <c r="Q315" s="9"/>
      <c r="R315" s="9"/>
      <c r="S315" s="9"/>
    </row>
    <row r="316" spans="5:19" ht="15.75" customHeight="1" x14ac:dyDescent="0.3">
      <c r="E316" s="9"/>
      <c r="F316" s="9"/>
      <c r="H316" s="9"/>
      <c r="M316" s="9"/>
      <c r="N316" s="9"/>
      <c r="O316" s="9"/>
      <c r="P316" s="9"/>
      <c r="Q316" s="9"/>
      <c r="R316" s="9"/>
      <c r="S316" s="9"/>
    </row>
    <row r="317" spans="5:19" ht="15.75" customHeight="1" x14ac:dyDescent="0.3">
      <c r="E317" s="9"/>
      <c r="F317" s="9"/>
      <c r="H317" s="9"/>
      <c r="M317" s="9"/>
      <c r="N317" s="9"/>
      <c r="O317" s="9"/>
      <c r="P317" s="9"/>
      <c r="Q317" s="9"/>
      <c r="R317" s="9"/>
      <c r="S317" s="9"/>
    </row>
    <row r="318" spans="5:19" ht="15.75" customHeight="1" x14ac:dyDescent="0.3">
      <c r="E318" s="9"/>
      <c r="F318" s="9"/>
      <c r="H318" s="9"/>
      <c r="M318" s="9"/>
      <c r="N318" s="9"/>
      <c r="O318" s="9"/>
      <c r="P318" s="9"/>
      <c r="Q318" s="9"/>
      <c r="R318" s="9"/>
      <c r="S318" s="9"/>
    </row>
    <row r="319" spans="5:19" ht="15.75" customHeight="1" x14ac:dyDescent="0.3">
      <c r="E319" s="9"/>
      <c r="F319" s="9"/>
      <c r="H319" s="9"/>
      <c r="M319" s="9"/>
      <c r="N319" s="9"/>
      <c r="O319" s="9"/>
      <c r="P319" s="9"/>
      <c r="Q319" s="9"/>
      <c r="R319" s="9"/>
      <c r="S319" s="9"/>
    </row>
    <row r="320" spans="5:19" ht="15.75" customHeight="1" x14ac:dyDescent="0.3">
      <c r="E320" s="9"/>
      <c r="F320" s="9"/>
      <c r="H320" s="9"/>
      <c r="M320" s="9"/>
      <c r="N320" s="9"/>
      <c r="O320" s="9"/>
      <c r="P320" s="9"/>
      <c r="Q320" s="9"/>
      <c r="R320" s="9"/>
      <c r="S320" s="9"/>
    </row>
    <row r="321" spans="5:19" ht="15.75" customHeight="1" x14ac:dyDescent="0.3">
      <c r="E321" s="9"/>
      <c r="F321" s="9"/>
      <c r="H321" s="9"/>
      <c r="M321" s="9"/>
      <c r="N321" s="9"/>
      <c r="O321" s="9"/>
      <c r="P321" s="9"/>
      <c r="Q321" s="9"/>
      <c r="R321" s="9"/>
      <c r="S321" s="9"/>
    </row>
    <row r="322" spans="5:19" ht="15.75" customHeight="1" x14ac:dyDescent="0.3">
      <c r="E322" s="9"/>
      <c r="F322" s="9"/>
      <c r="H322" s="9"/>
      <c r="M322" s="9"/>
      <c r="N322" s="9"/>
      <c r="O322" s="9"/>
      <c r="P322" s="9"/>
      <c r="Q322" s="9"/>
      <c r="R322" s="9"/>
      <c r="S322" s="9"/>
    </row>
    <row r="323" spans="5:19" ht="15.75" customHeight="1" x14ac:dyDescent="0.3">
      <c r="E323" s="9"/>
      <c r="F323" s="9"/>
      <c r="H323" s="9"/>
      <c r="M323" s="9"/>
      <c r="N323" s="9"/>
      <c r="O323" s="9"/>
      <c r="P323" s="9"/>
      <c r="Q323" s="9"/>
      <c r="R323" s="9"/>
      <c r="S323" s="9"/>
    </row>
    <row r="324" spans="5:19" ht="15.75" customHeight="1" x14ac:dyDescent="0.3">
      <c r="E324" s="9"/>
      <c r="F324" s="9"/>
      <c r="H324" s="9"/>
      <c r="M324" s="9"/>
      <c r="N324" s="9"/>
      <c r="O324" s="9"/>
      <c r="P324" s="9"/>
      <c r="Q324" s="9"/>
      <c r="R324" s="9"/>
      <c r="S324" s="9"/>
    </row>
    <row r="325" spans="5:19" ht="15.75" customHeight="1" x14ac:dyDescent="0.3">
      <c r="E325" s="9"/>
      <c r="F325" s="9"/>
      <c r="H325" s="9"/>
      <c r="M325" s="9"/>
      <c r="N325" s="9"/>
      <c r="O325" s="9"/>
      <c r="P325" s="9"/>
      <c r="Q325" s="9"/>
      <c r="R325" s="9"/>
      <c r="S325" s="9"/>
    </row>
    <row r="326" spans="5:19" ht="15.75" customHeight="1" x14ac:dyDescent="0.3">
      <c r="E326" s="9"/>
      <c r="F326" s="9"/>
      <c r="H326" s="9"/>
      <c r="M326" s="9"/>
      <c r="N326" s="9"/>
      <c r="O326" s="9"/>
      <c r="P326" s="9"/>
      <c r="Q326" s="9"/>
      <c r="R326" s="9"/>
      <c r="S326" s="9"/>
    </row>
    <row r="327" spans="5:19" ht="15.75" customHeight="1" x14ac:dyDescent="0.3">
      <c r="E327" s="9"/>
      <c r="F327" s="9"/>
      <c r="H327" s="9"/>
      <c r="M327" s="9"/>
      <c r="N327" s="9"/>
      <c r="O327" s="9"/>
      <c r="P327" s="9"/>
      <c r="Q327" s="9"/>
      <c r="R327" s="9"/>
      <c r="S327" s="9"/>
    </row>
    <row r="328" spans="5:19" ht="15.75" customHeight="1" x14ac:dyDescent="0.3">
      <c r="E328" s="9"/>
      <c r="F328" s="9"/>
      <c r="H328" s="9"/>
      <c r="M328" s="9"/>
      <c r="N328" s="9"/>
      <c r="O328" s="9"/>
      <c r="P328" s="9"/>
      <c r="Q328" s="9"/>
      <c r="R328" s="9"/>
      <c r="S328" s="9"/>
    </row>
    <row r="329" spans="5:19" ht="15.75" customHeight="1" x14ac:dyDescent="0.3">
      <c r="E329" s="9"/>
      <c r="F329" s="9"/>
      <c r="H329" s="9"/>
      <c r="M329" s="9"/>
      <c r="N329" s="9"/>
      <c r="O329" s="9"/>
      <c r="P329" s="9"/>
      <c r="Q329" s="9"/>
      <c r="R329" s="9"/>
      <c r="S329" s="9"/>
    </row>
    <row r="330" spans="5:19" ht="15.75" customHeight="1" x14ac:dyDescent="0.3">
      <c r="E330" s="9"/>
      <c r="F330" s="9"/>
      <c r="H330" s="9"/>
      <c r="M330" s="9"/>
      <c r="N330" s="9"/>
      <c r="O330" s="9"/>
      <c r="P330" s="9"/>
      <c r="Q330" s="9"/>
      <c r="R330" s="9"/>
      <c r="S330" s="9"/>
    </row>
    <row r="331" spans="5:19" ht="15.75" customHeight="1" x14ac:dyDescent="0.3">
      <c r="E331" s="9"/>
      <c r="F331" s="9"/>
      <c r="H331" s="9"/>
      <c r="M331" s="9"/>
      <c r="N331" s="9"/>
      <c r="O331" s="9"/>
      <c r="P331" s="9"/>
      <c r="Q331" s="9"/>
      <c r="R331" s="9"/>
      <c r="S331" s="9"/>
    </row>
    <row r="332" spans="5:19" ht="15.75" customHeight="1" x14ac:dyDescent="0.3">
      <c r="E332" s="9"/>
      <c r="F332" s="9"/>
      <c r="H332" s="9"/>
      <c r="M332" s="9"/>
      <c r="N332" s="9"/>
      <c r="O332" s="9"/>
      <c r="P332" s="9"/>
      <c r="Q332" s="9"/>
      <c r="R332" s="9"/>
      <c r="S332" s="9"/>
    </row>
    <row r="333" spans="5:19" ht="15.75" customHeight="1" x14ac:dyDescent="0.3">
      <c r="E333" s="9"/>
      <c r="F333" s="9"/>
      <c r="H333" s="9"/>
      <c r="M333" s="9"/>
      <c r="N333" s="9"/>
      <c r="O333" s="9"/>
      <c r="P333" s="9"/>
      <c r="Q333" s="9"/>
      <c r="R333" s="9"/>
      <c r="S333" s="9"/>
    </row>
    <row r="334" spans="5:19" ht="15.75" customHeight="1" x14ac:dyDescent="0.3">
      <c r="E334" s="9"/>
      <c r="F334" s="9"/>
      <c r="H334" s="9"/>
      <c r="M334" s="9"/>
      <c r="N334" s="9"/>
      <c r="O334" s="9"/>
      <c r="P334" s="9"/>
      <c r="Q334" s="9"/>
      <c r="R334" s="9"/>
      <c r="S334" s="9"/>
    </row>
    <row r="335" spans="5:19" ht="15.75" customHeight="1" x14ac:dyDescent="0.3">
      <c r="E335" s="9"/>
      <c r="F335" s="9"/>
      <c r="H335" s="9"/>
      <c r="M335" s="9"/>
      <c r="N335" s="9"/>
      <c r="O335" s="9"/>
      <c r="P335" s="9"/>
      <c r="Q335" s="9"/>
      <c r="R335" s="9"/>
      <c r="S335" s="9"/>
    </row>
    <row r="336" spans="5:19" ht="15.75" customHeight="1" x14ac:dyDescent="0.3">
      <c r="E336" s="9"/>
      <c r="F336" s="9"/>
      <c r="H336" s="9"/>
      <c r="M336" s="9"/>
      <c r="N336" s="9"/>
      <c r="O336" s="9"/>
      <c r="P336" s="9"/>
      <c r="Q336" s="9"/>
      <c r="R336" s="9"/>
      <c r="S336" s="9"/>
    </row>
    <row r="337" spans="5:19" ht="15.75" customHeight="1" x14ac:dyDescent="0.3">
      <c r="E337" s="9"/>
      <c r="F337" s="9"/>
      <c r="H337" s="9"/>
      <c r="M337" s="9"/>
      <c r="N337" s="9"/>
      <c r="O337" s="9"/>
      <c r="P337" s="9"/>
      <c r="Q337" s="9"/>
      <c r="R337" s="9"/>
      <c r="S337" s="9"/>
    </row>
    <row r="338" spans="5:19" ht="15.75" customHeight="1" x14ac:dyDescent="0.3">
      <c r="E338" s="9"/>
      <c r="F338" s="9"/>
      <c r="H338" s="9"/>
      <c r="M338" s="9"/>
      <c r="N338" s="9"/>
      <c r="O338" s="9"/>
      <c r="P338" s="9"/>
      <c r="Q338" s="9"/>
      <c r="R338" s="9"/>
      <c r="S338" s="9"/>
    </row>
    <row r="339" spans="5:19" ht="15.75" customHeight="1" x14ac:dyDescent="0.3">
      <c r="E339" s="9"/>
      <c r="F339" s="9"/>
      <c r="H339" s="9"/>
      <c r="M339" s="9"/>
      <c r="N339" s="9"/>
      <c r="O339" s="9"/>
      <c r="P339" s="9"/>
      <c r="Q339" s="9"/>
      <c r="R339" s="9"/>
      <c r="S339" s="9"/>
    </row>
    <row r="340" spans="5:19" ht="15.75" customHeight="1" x14ac:dyDescent="0.3">
      <c r="E340" s="9"/>
      <c r="F340" s="9"/>
      <c r="H340" s="9"/>
      <c r="M340" s="9"/>
      <c r="N340" s="9"/>
      <c r="O340" s="9"/>
      <c r="P340" s="9"/>
      <c r="Q340" s="9"/>
      <c r="R340" s="9"/>
      <c r="S340" s="9"/>
    </row>
    <row r="341" spans="5:19" ht="15.75" customHeight="1" x14ac:dyDescent="0.3">
      <c r="E341" s="9"/>
      <c r="F341" s="9"/>
      <c r="H341" s="9"/>
      <c r="M341" s="9"/>
      <c r="N341" s="9"/>
      <c r="O341" s="9"/>
      <c r="P341" s="9"/>
      <c r="Q341" s="9"/>
      <c r="R341" s="9"/>
      <c r="S341" s="9"/>
    </row>
    <row r="342" spans="5:19" ht="15.75" customHeight="1" x14ac:dyDescent="0.3">
      <c r="E342" s="9"/>
      <c r="F342" s="9"/>
      <c r="H342" s="9"/>
      <c r="M342" s="9"/>
      <c r="N342" s="9"/>
      <c r="O342" s="9"/>
      <c r="P342" s="9"/>
      <c r="Q342" s="9"/>
      <c r="R342" s="9"/>
      <c r="S342" s="9"/>
    </row>
    <row r="343" spans="5:19" ht="15.75" customHeight="1" x14ac:dyDescent="0.3">
      <c r="E343" s="9"/>
      <c r="F343" s="9"/>
      <c r="H343" s="9"/>
      <c r="M343" s="9"/>
      <c r="N343" s="9"/>
      <c r="O343" s="9"/>
      <c r="P343" s="9"/>
      <c r="Q343" s="9"/>
      <c r="R343" s="9"/>
      <c r="S343" s="9"/>
    </row>
    <row r="344" spans="5:19" ht="15.75" customHeight="1" x14ac:dyDescent="0.3">
      <c r="E344" s="9"/>
      <c r="F344" s="9"/>
      <c r="H344" s="9"/>
      <c r="M344" s="9"/>
      <c r="N344" s="9"/>
      <c r="O344" s="9"/>
      <c r="P344" s="9"/>
      <c r="Q344" s="9"/>
      <c r="R344" s="9"/>
      <c r="S344" s="9"/>
    </row>
    <row r="345" spans="5:19" ht="15.75" customHeight="1" x14ac:dyDescent="0.3">
      <c r="E345" s="9"/>
      <c r="F345" s="9"/>
      <c r="H345" s="9"/>
      <c r="M345" s="9"/>
      <c r="N345" s="9"/>
      <c r="O345" s="9"/>
      <c r="P345" s="9"/>
      <c r="Q345" s="9"/>
      <c r="R345" s="9"/>
      <c r="S345" s="9"/>
    </row>
    <row r="346" spans="5:19" ht="15.75" customHeight="1" x14ac:dyDescent="0.3">
      <c r="E346" s="9"/>
      <c r="F346" s="9"/>
      <c r="H346" s="9"/>
      <c r="M346" s="9"/>
      <c r="N346" s="9"/>
      <c r="O346" s="9"/>
      <c r="P346" s="9"/>
      <c r="Q346" s="9"/>
      <c r="R346" s="9"/>
      <c r="S346" s="9"/>
    </row>
    <row r="347" spans="5:19" ht="15.75" customHeight="1" x14ac:dyDescent="0.3">
      <c r="E347" s="9"/>
      <c r="F347" s="9"/>
      <c r="H347" s="9"/>
      <c r="M347" s="9"/>
      <c r="N347" s="9"/>
      <c r="O347" s="9"/>
      <c r="P347" s="9"/>
      <c r="Q347" s="9"/>
      <c r="R347" s="9"/>
      <c r="S347" s="9"/>
    </row>
    <row r="348" spans="5:19" ht="15.75" customHeight="1" x14ac:dyDescent="0.3">
      <c r="E348" s="9"/>
      <c r="F348" s="9"/>
      <c r="H348" s="9"/>
      <c r="M348" s="9"/>
      <c r="N348" s="9"/>
      <c r="O348" s="9"/>
      <c r="P348" s="9"/>
      <c r="Q348" s="9"/>
      <c r="R348" s="9"/>
      <c r="S348" s="9"/>
    </row>
    <row r="349" spans="5:19" ht="15.75" customHeight="1" x14ac:dyDescent="0.3">
      <c r="E349" s="9"/>
      <c r="F349" s="9"/>
      <c r="H349" s="9"/>
      <c r="M349" s="9"/>
      <c r="N349" s="9"/>
      <c r="O349" s="9"/>
      <c r="P349" s="9"/>
      <c r="Q349" s="9"/>
      <c r="R349" s="9"/>
      <c r="S349" s="9"/>
    </row>
    <row r="350" spans="5:19" ht="15.75" customHeight="1" x14ac:dyDescent="0.3">
      <c r="E350" s="9"/>
      <c r="F350" s="9"/>
      <c r="H350" s="9"/>
      <c r="M350" s="9"/>
      <c r="N350" s="9"/>
      <c r="O350" s="9"/>
      <c r="P350" s="9"/>
      <c r="Q350" s="9"/>
      <c r="R350" s="9"/>
      <c r="S350" s="9"/>
    </row>
    <row r="351" spans="5:19" ht="15.75" customHeight="1" x14ac:dyDescent="0.3">
      <c r="E351" s="9"/>
      <c r="F351" s="9"/>
      <c r="H351" s="9"/>
      <c r="M351" s="9"/>
      <c r="N351" s="9"/>
      <c r="O351" s="9"/>
      <c r="P351" s="9"/>
      <c r="Q351" s="9"/>
      <c r="R351" s="9"/>
      <c r="S351" s="9"/>
    </row>
    <row r="352" spans="5:19" ht="15.75" customHeight="1" x14ac:dyDescent="0.3">
      <c r="E352" s="9"/>
      <c r="F352" s="9"/>
      <c r="H352" s="9"/>
      <c r="M352" s="9"/>
      <c r="N352" s="9"/>
      <c r="O352" s="9"/>
      <c r="P352" s="9"/>
      <c r="Q352" s="9"/>
      <c r="R352" s="9"/>
      <c r="S352" s="9"/>
    </row>
    <row r="353" spans="5:19" ht="15.75" customHeight="1" x14ac:dyDescent="0.3">
      <c r="E353" s="9"/>
      <c r="F353" s="9"/>
      <c r="H353" s="9"/>
      <c r="M353" s="9"/>
      <c r="N353" s="9"/>
      <c r="O353" s="9"/>
      <c r="P353" s="9"/>
      <c r="Q353" s="9"/>
      <c r="R353" s="9"/>
      <c r="S353" s="9"/>
    </row>
    <row r="354" spans="5:19" ht="15.75" customHeight="1" x14ac:dyDescent="0.3">
      <c r="E354" s="9"/>
      <c r="F354" s="9"/>
      <c r="H354" s="9"/>
      <c r="M354" s="9"/>
      <c r="N354" s="9"/>
      <c r="O354" s="9"/>
      <c r="P354" s="9"/>
      <c r="Q354" s="9"/>
      <c r="R354" s="9"/>
      <c r="S354" s="9"/>
    </row>
    <row r="355" spans="5:19" ht="15.75" customHeight="1" x14ac:dyDescent="0.3">
      <c r="E355" s="9"/>
      <c r="F355" s="9"/>
      <c r="H355" s="9"/>
      <c r="M355" s="9"/>
      <c r="N355" s="9"/>
      <c r="O355" s="9"/>
      <c r="P355" s="9"/>
      <c r="Q355" s="9"/>
      <c r="R355" s="9"/>
      <c r="S355" s="9"/>
    </row>
    <row r="356" spans="5:19" ht="15.75" customHeight="1" x14ac:dyDescent="0.3">
      <c r="E356" s="9"/>
      <c r="F356" s="9"/>
      <c r="H356" s="9"/>
      <c r="M356" s="9"/>
      <c r="N356" s="9"/>
      <c r="O356" s="9"/>
      <c r="P356" s="9"/>
      <c r="Q356" s="9"/>
      <c r="R356" s="9"/>
      <c r="S356" s="9"/>
    </row>
    <row r="357" spans="5:19" ht="15.75" customHeight="1" x14ac:dyDescent="0.3">
      <c r="E357" s="9"/>
      <c r="F357" s="9"/>
      <c r="H357" s="9"/>
      <c r="M357" s="9"/>
      <c r="N357" s="9"/>
      <c r="O357" s="9"/>
      <c r="P357" s="9"/>
      <c r="Q357" s="9"/>
      <c r="R357" s="9"/>
      <c r="S357" s="9"/>
    </row>
    <row r="358" spans="5:19" ht="15.75" customHeight="1" x14ac:dyDescent="0.3">
      <c r="E358" s="9"/>
      <c r="F358" s="9"/>
      <c r="H358" s="9"/>
      <c r="M358" s="9"/>
      <c r="N358" s="9"/>
      <c r="O358" s="9"/>
      <c r="P358" s="9"/>
      <c r="Q358" s="9"/>
      <c r="R358" s="9"/>
      <c r="S358" s="9"/>
    </row>
    <row r="359" spans="5:19" ht="15.75" customHeight="1" x14ac:dyDescent="0.3">
      <c r="E359" s="9"/>
      <c r="F359" s="9"/>
      <c r="H359" s="9"/>
      <c r="M359" s="9"/>
      <c r="N359" s="9"/>
      <c r="O359" s="9"/>
      <c r="P359" s="9"/>
      <c r="Q359" s="9"/>
      <c r="R359" s="9"/>
      <c r="S359" s="9"/>
    </row>
    <row r="360" spans="5:19" ht="15.75" customHeight="1" x14ac:dyDescent="0.3">
      <c r="E360" s="9"/>
      <c r="F360" s="9"/>
      <c r="H360" s="9"/>
      <c r="M360" s="9"/>
      <c r="N360" s="9"/>
      <c r="O360" s="9"/>
      <c r="P360" s="9"/>
      <c r="Q360" s="9"/>
      <c r="R360" s="9"/>
      <c r="S360" s="9"/>
    </row>
    <row r="361" spans="5:19" ht="15.75" customHeight="1" x14ac:dyDescent="0.3">
      <c r="E361" s="9"/>
      <c r="F361" s="9"/>
      <c r="H361" s="9"/>
      <c r="M361" s="9"/>
      <c r="N361" s="9"/>
      <c r="O361" s="9"/>
      <c r="P361" s="9"/>
      <c r="Q361" s="9"/>
      <c r="R361" s="9"/>
      <c r="S361" s="9"/>
    </row>
    <row r="362" spans="5:19" ht="15.75" customHeight="1" x14ac:dyDescent="0.3">
      <c r="E362" s="9"/>
      <c r="F362" s="9"/>
      <c r="H362" s="9"/>
      <c r="M362" s="9"/>
      <c r="N362" s="9"/>
      <c r="O362" s="9"/>
      <c r="P362" s="9"/>
      <c r="Q362" s="9"/>
      <c r="R362" s="9"/>
      <c r="S362" s="9"/>
    </row>
    <row r="363" spans="5:19" ht="15.75" customHeight="1" x14ac:dyDescent="0.3">
      <c r="E363" s="9"/>
      <c r="F363" s="9"/>
      <c r="H363" s="9"/>
      <c r="M363" s="9"/>
      <c r="N363" s="9"/>
      <c r="O363" s="9"/>
      <c r="P363" s="9"/>
      <c r="Q363" s="9"/>
      <c r="R363" s="9"/>
      <c r="S363" s="9"/>
    </row>
    <row r="364" spans="5:19" ht="15.75" customHeight="1" x14ac:dyDescent="0.3">
      <c r="E364" s="9"/>
      <c r="F364" s="9"/>
      <c r="H364" s="9"/>
      <c r="M364" s="9"/>
      <c r="N364" s="9"/>
      <c r="O364" s="9"/>
      <c r="P364" s="9"/>
      <c r="Q364" s="9"/>
      <c r="R364" s="9"/>
      <c r="S364" s="9"/>
    </row>
    <row r="365" spans="5:19" ht="15.75" customHeight="1" x14ac:dyDescent="0.3">
      <c r="E365" s="9"/>
      <c r="F365" s="9"/>
      <c r="H365" s="9"/>
      <c r="M365" s="9"/>
      <c r="N365" s="9"/>
      <c r="O365" s="9"/>
      <c r="P365" s="9"/>
      <c r="Q365" s="9"/>
      <c r="R365" s="9"/>
      <c r="S365" s="9"/>
    </row>
    <row r="366" spans="5:19" ht="15.75" customHeight="1" x14ac:dyDescent="0.3">
      <c r="E366" s="9"/>
      <c r="F366" s="9"/>
      <c r="H366" s="9"/>
      <c r="M366" s="9"/>
      <c r="N366" s="9"/>
      <c r="O366" s="9"/>
      <c r="P366" s="9"/>
      <c r="Q366" s="9"/>
      <c r="R366" s="9"/>
      <c r="S366" s="9"/>
    </row>
    <row r="367" spans="5:19" ht="15.75" customHeight="1" x14ac:dyDescent="0.3">
      <c r="E367" s="9"/>
      <c r="F367" s="9"/>
      <c r="H367" s="9"/>
      <c r="M367" s="9"/>
      <c r="N367" s="9"/>
      <c r="O367" s="9"/>
      <c r="P367" s="9"/>
      <c r="Q367" s="9"/>
      <c r="R367" s="9"/>
      <c r="S367" s="9"/>
    </row>
    <row r="368" spans="5:19" ht="15.75" customHeight="1" x14ac:dyDescent="0.3">
      <c r="E368" s="9"/>
      <c r="F368" s="9"/>
      <c r="H368" s="9"/>
      <c r="M368" s="9"/>
      <c r="N368" s="9"/>
      <c r="O368" s="9"/>
      <c r="P368" s="9"/>
      <c r="Q368" s="9"/>
      <c r="R368" s="9"/>
      <c r="S368" s="9"/>
    </row>
    <row r="369" spans="5:19" ht="15.75" customHeight="1" x14ac:dyDescent="0.3">
      <c r="E369" s="9"/>
      <c r="F369" s="9"/>
      <c r="H369" s="9"/>
      <c r="M369" s="9"/>
      <c r="N369" s="9"/>
      <c r="O369" s="9"/>
      <c r="P369" s="9"/>
      <c r="Q369" s="9"/>
      <c r="R369" s="9"/>
      <c r="S369" s="9"/>
    </row>
    <row r="370" spans="5:19" ht="15.75" customHeight="1" x14ac:dyDescent="0.3">
      <c r="E370" s="9"/>
      <c r="F370" s="9"/>
      <c r="H370" s="9"/>
      <c r="M370" s="9"/>
      <c r="N370" s="9"/>
      <c r="O370" s="9"/>
      <c r="P370" s="9"/>
      <c r="Q370" s="9"/>
      <c r="R370" s="9"/>
      <c r="S370" s="9"/>
    </row>
    <row r="371" spans="5:19" ht="15.75" customHeight="1" x14ac:dyDescent="0.3">
      <c r="E371" s="9"/>
      <c r="F371" s="9"/>
      <c r="H371" s="9"/>
      <c r="M371" s="9"/>
      <c r="N371" s="9"/>
      <c r="O371" s="9"/>
      <c r="P371" s="9"/>
      <c r="Q371" s="9"/>
      <c r="R371" s="9"/>
      <c r="S371" s="9"/>
    </row>
    <row r="372" spans="5:19" ht="15.75" customHeight="1" x14ac:dyDescent="0.3">
      <c r="E372" s="9"/>
      <c r="F372" s="9"/>
      <c r="H372" s="9"/>
      <c r="M372" s="9"/>
      <c r="N372" s="9"/>
      <c r="O372" s="9"/>
      <c r="P372" s="9"/>
      <c r="Q372" s="9"/>
      <c r="R372" s="9"/>
      <c r="S372" s="9"/>
    </row>
    <row r="373" spans="5:19" ht="15.75" customHeight="1" x14ac:dyDescent="0.3">
      <c r="E373" s="9"/>
      <c r="F373" s="9"/>
      <c r="H373" s="9"/>
      <c r="M373" s="9"/>
      <c r="N373" s="9"/>
      <c r="O373" s="9"/>
      <c r="P373" s="9"/>
      <c r="Q373" s="9"/>
      <c r="R373" s="9"/>
      <c r="S373" s="9"/>
    </row>
    <row r="374" spans="5:19" ht="15.75" customHeight="1" x14ac:dyDescent="0.3">
      <c r="E374" s="9"/>
      <c r="F374" s="9"/>
      <c r="H374" s="9"/>
      <c r="M374" s="9"/>
      <c r="N374" s="9"/>
      <c r="O374" s="9"/>
      <c r="P374" s="9"/>
      <c r="Q374" s="9"/>
      <c r="R374" s="9"/>
      <c r="S374" s="9"/>
    </row>
    <row r="375" spans="5:19" ht="15.75" customHeight="1" x14ac:dyDescent="0.3">
      <c r="E375" s="9"/>
      <c r="F375" s="9"/>
      <c r="H375" s="9"/>
      <c r="M375" s="9"/>
      <c r="N375" s="9"/>
      <c r="O375" s="9"/>
      <c r="P375" s="9"/>
      <c r="Q375" s="9"/>
      <c r="R375" s="9"/>
      <c r="S375" s="9"/>
    </row>
    <row r="376" spans="5:19" ht="15.75" customHeight="1" x14ac:dyDescent="0.3">
      <c r="E376" s="9"/>
      <c r="F376" s="9"/>
      <c r="H376" s="9"/>
      <c r="M376" s="9"/>
      <c r="N376" s="9"/>
      <c r="O376" s="9"/>
      <c r="P376" s="9"/>
      <c r="Q376" s="9"/>
      <c r="R376" s="9"/>
      <c r="S376" s="9"/>
    </row>
    <row r="377" spans="5:19" ht="15.75" customHeight="1" x14ac:dyDescent="0.3">
      <c r="E377" s="9"/>
      <c r="F377" s="9"/>
      <c r="H377" s="9"/>
      <c r="M377" s="9"/>
      <c r="N377" s="9"/>
      <c r="O377" s="9"/>
      <c r="P377" s="9"/>
      <c r="Q377" s="9"/>
      <c r="R377" s="9"/>
      <c r="S377" s="9"/>
    </row>
    <row r="378" spans="5:19" ht="15.75" customHeight="1" x14ac:dyDescent="0.3">
      <c r="E378" s="9"/>
      <c r="F378" s="9"/>
      <c r="H378" s="9"/>
      <c r="M378" s="9"/>
      <c r="N378" s="9"/>
      <c r="O378" s="9"/>
      <c r="P378" s="9"/>
      <c r="Q378" s="9"/>
      <c r="R378" s="9"/>
      <c r="S378" s="9"/>
    </row>
    <row r="379" spans="5:19" ht="15.75" customHeight="1" x14ac:dyDescent="0.3">
      <c r="E379" s="9"/>
      <c r="F379" s="9"/>
      <c r="H379" s="9"/>
      <c r="M379" s="9"/>
      <c r="N379" s="9"/>
      <c r="O379" s="9"/>
      <c r="P379" s="9"/>
      <c r="Q379" s="9"/>
      <c r="R379" s="9"/>
      <c r="S379" s="9"/>
    </row>
    <row r="380" spans="5:19" ht="15.75" customHeight="1" x14ac:dyDescent="0.3">
      <c r="E380" s="9"/>
      <c r="F380" s="9"/>
      <c r="H380" s="9"/>
      <c r="M380" s="9"/>
      <c r="N380" s="9"/>
      <c r="O380" s="9"/>
      <c r="P380" s="9"/>
      <c r="Q380" s="9"/>
      <c r="R380" s="9"/>
      <c r="S380" s="9"/>
    </row>
    <row r="381" spans="5:19" ht="15.75" customHeight="1" x14ac:dyDescent="0.3">
      <c r="E381" s="9"/>
      <c r="F381" s="9"/>
      <c r="H381" s="9"/>
      <c r="M381" s="9"/>
      <c r="N381" s="9"/>
      <c r="O381" s="9"/>
      <c r="P381" s="9"/>
      <c r="Q381" s="9"/>
      <c r="R381" s="9"/>
      <c r="S381" s="9"/>
    </row>
    <row r="382" spans="5:19" ht="15.75" customHeight="1" x14ac:dyDescent="0.3">
      <c r="E382" s="9"/>
      <c r="F382" s="9"/>
      <c r="H382" s="9"/>
      <c r="M382" s="9"/>
      <c r="N382" s="9"/>
      <c r="O382" s="9"/>
      <c r="P382" s="9"/>
      <c r="Q382" s="9"/>
      <c r="R382" s="9"/>
      <c r="S382" s="9"/>
    </row>
    <row r="383" spans="5:19" ht="15.75" customHeight="1" x14ac:dyDescent="0.3">
      <c r="E383" s="9"/>
      <c r="F383" s="9"/>
      <c r="H383" s="9"/>
      <c r="M383" s="9"/>
      <c r="N383" s="9"/>
      <c r="O383" s="9"/>
      <c r="P383" s="9"/>
      <c r="Q383" s="9"/>
      <c r="R383" s="9"/>
      <c r="S383" s="9"/>
    </row>
    <row r="384" spans="5:19" ht="15.75" customHeight="1" x14ac:dyDescent="0.3">
      <c r="E384" s="9"/>
      <c r="F384" s="9"/>
      <c r="H384" s="9"/>
      <c r="M384" s="9"/>
      <c r="N384" s="9"/>
      <c r="O384" s="9"/>
      <c r="P384" s="9"/>
      <c r="Q384" s="9"/>
      <c r="R384" s="9"/>
      <c r="S384" s="9"/>
    </row>
    <row r="385" spans="5:19" ht="15.75" customHeight="1" x14ac:dyDescent="0.3">
      <c r="E385" s="9"/>
      <c r="F385" s="9"/>
      <c r="H385" s="9"/>
      <c r="M385" s="9"/>
      <c r="N385" s="9"/>
      <c r="O385" s="9"/>
      <c r="P385" s="9"/>
      <c r="Q385" s="9"/>
      <c r="R385" s="9"/>
      <c r="S385" s="9"/>
    </row>
    <row r="386" spans="5:19" ht="15.75" customHeight="1" x14ac:dyDescent="0.3">
      <c r="E386" s="9"/>
      <c r="F386" s="9"/>
      <c r="H386" s="9"/>
      <c r="M386" s="9"/>
      <c r="N386" s="9"/>
      <c r="O386" s="9"/>
      <c r="P386" s="9"/>
      <c r="Q386" s="9"/>
      <c r="R386" s="9"/>
      <c r="S386" s="9"/>
    </row>
    <row r="387" spans="5:19" ht="15.75" customHeight="1" x14ac:dyDescent="0.3">
      <c r="E387" s="9"/>
      <c r="F387" s="9"/>
      <c r="H387" s="9"/>
      <c r="M387" s="9"/>
      <c r="N387" s="9"/>
      <c r="O387" s="9"/>
      <c r="P387" s="9"/>
      <c r="Q387" s="9"/>
      <c r="R387" s="9"/>
      <c r="S387" s="9"/>
    </row>
    <row r="388" spans="5:19" ht="15.75" customHeight="1" x14ac:dyDescent="0.3">
      <c r="E388" s="9"/>
      <c r="F388" s="9"/>
      <c r="H388" s="9"/>
      <c r="M388" s="9"/>
      <c r="N388" s="9"/>
      <c r="O388" s="9"/>
      <c r="P388" s="9"/>
      <c r="Q388" s="9"/>
      <c r="R388" s="9"/>
      <c r="S388" s="9"/>
    </row>
    <row r="389" spans="5:19" ht="15.75" customHeight="1" x14ac:dyDescent="0.3">
      <c r="E389" s="9"/>
      <c r="F389" s="9"/>
      <c r="H389" s="9"/>
      <c r="M389" s="9"/>
      <c r="N389" s="9"/>
      <c r="O389" s="9"/>
      <c r="P389" s="9"/>
      <c r="Q389" s="9"/>
      <c r="R389" s="9"/>
      <c r="S389" s="9"/>
    </row>
    <row r="390" spans="5:19" ht="15.75" customHeight="1" x14ac:dyDescent="0.3">
      <c r="E390" s="9"/>
      <c r="F390" s="9"/>
      <c r="H390" s="9"/>
      <c r="M390" s="9"/>
      <c r="N390" s="9"/>
      <c r="O390" s="9"/>
      <c r="P390" s="9"/>
      <c r="Q390" s="9"/>
      <c r="R390" s="9"/>
      <c r="S390" s="9"/>
    </row>
    <row r="391" spans="5:19" ht="15.75" customHeight="1" x14ac:dyDescent="0.3">
      <c r="E391" s="9"/>
      <c r="F391" s="9"/>
      <c r="H391" s="9"/>
      <c r="M391" s="9"/>
      <c r="N391" s="9"/>
      <c r="O391" s="9"/>
      <c r="P391" s="9"/>
      <c r="Q391" s="9"/>
      <c r="R391" s="9"/>
      <c r="S391" s="9"/>
    </row>
    <row r="392" spans="5:19" ht="15.75" customHeight="1" x14ac:dyDescent="0.3">
      <c r="E392" s="9"/>
      <c r="F392" s="9"/>
      <c r="H392" s="9"/>
      <c r="M392" s="9"/>
      <c r="N392" s="9"/>
      <c r="O392" s="9"/>
      <c r="P392" s="9"/>
      <c r="Q392" s="9"/>
      <c r="R392" s="9"/>
      <c r="S392" s="9"/>
    </row>
    <row r="393" spans="5:19" ht="15.75" customHeight="1" x14ac:dyDescent="0.3">
      <c r="E393" s="9"/>
      <c r="F393" s="9"/>
      <c r="H393" s="9"/>
      <c r="M393" s="9"/>
      <c r="N393" s="9"/>
      <c r="O393" s="9"/>
      <c r="P393" s="9"/>
      <c r="Q393" s="9"/>
      <c r="R393" s="9"/>
      <c r="S393" s="9"/>
    </row>
    <row r="394" spans="5:19" ht="15.75" customHeight="1" x14ac:dyDescent="0.3">
      <c r="E394" s="9"/>
      <c r="F394" s="9"/>
      <c r="H394" s="9"/>
      <c r="M394" s="9"/>
      <c r="N394" s="9"/>
      <c r="O394" s="9"/>
      <c r="P394" s="9"/>
      <c r="Q394" s="9"/>
      <c r="R394" s="9"/>
      <c r="S394" s="9"/>
    </row>
    <row r="395" spans="5:19" ht="15.75" customHeight="1" x14ac:dyDescent="0.3">
      <c r="E395" s="9"/>
      <c r="F395" s="9"/>
      <c r="H395" s="9"/>
      <c r="M395" s="9"/>
      <c r="N395" s="9"/>
      <c r="O395" s="9"/>
      <c r="P395" s="9"/>
      <c r="Q395" s="9"/>
      <c r="R395" s="9"/>
      <c r="S395" s="9"/>
    </row>
    <row r="396" spans="5:19" ht="15.75" customHeight="1" x14ac:dyDescent="0.3">
      <c r="E396" s="9"/>
      <c r="F396" s="9"/>
      <c r="H396" s="9"/>
      <c r="M396" s="9"/>
      <c r="N396" s="9"/>
      <c r="O396" s="9"/>
      <c r="P396" s="9"/>
      <c r="Q396" s="9"/>
      <c r="R396" s="9"/>
      <c r="S396" s="9"/>
    </row>
    <row r="397" spans="5:19" ht="15.75" customHeight="1" x14ac:dyDescent="0.3">
      <c r="E397" s="9"/>
      <c r="F397" s="9"/>
      <c r="H397" s="9"/>
      <c r="M397" s="9"/>
      <c r="N397" s="9"/>
      <c r="O397" s="9"/>
      <c r="P397" s="9"/>
      <c r="Q397" s="9"/>
      <c r="R397" s="9"/>
      <c r="S397" s="9"/>
    </row>
    <row r="398" spans="5:19" ht="15.75" customHeight="1" x14ac:dyDescent="0.3">
      <c r="E398" s="9"/>
      <c r="F398" s="9"/>
      <c r="H398" s="9"/>
      <c r="M398" s="9"/>
      <c r="N398" s="9"/>
      <c r="O398" s="9"/>
      <c r="P398" s="9"/>
      <c r="Q398" s="9"/>
      <c r="R398" s="9"/>
      <c r="S398" s="9"/>
    </row>
    <row r="399" spans="5:19" ht="15.75" customHeight="1" x14ac:dyDescent="0.3">
      <c r="E399" s="9"/>
      <c r="F399" s="9"/>
      <c r="H399" s="9"/>
      <c r="M399" s="9"/>
      <c r="N399" s="9"/>
      <c r="O399" s="9"/>
      <c r="P399" s="9"/>
      <c r="Q399" s="9"/>
      <c r="R399" s="9"/>
      <c r="S399" s="9"/>
    </row>
    <row r="400" spans="5:19" ht="15.75" customHeight="1" x14ac:dyDescent="0.3">
      <c r="E400" s="9"/>
      <c r="F400" s="9"/>
      <c r="H400" s="9"/>
      <c r="M400" s="9"/>
      <c r="N400" s="9"/>
      <c r="O400" s="9"/>
      <c r="P400" s="9"/>
      <c r="Q400" s="9"/>
      <c r="R400" s="9"/>
      <c r="S400" s="9"/>
    </row>
    <row r="401" spans="5:19" ht="15.75" customHeight="1" x14ac:dyDescent="0.3">
      <c r="E401" s="9"/>
      <c r="F401" s="9"/>
      <c r="H401" s="9"/>
      <c r="M401" s="9"/>
      <c r="N401" s="9"/>
      <c r="O401" s="9"/>
      <c r="P401" s="9"/>
      <c r="Q401" s="9"/>
      <c r="R401" s="9"/>
      <c r="S401" s="9"/>
    </row>
    <row r="402" spans="5:19" ht="15.75" customHeight="1" x14ac:dyDescent="0.3">
      <c r="E402" s="9"/>
      <c r="F402" s="9"/>
      <c r="H402" s="9"/>
      <c r="M402" s="9"/>
      <c r="N402" s="9"/>
      <c r="O402" s="9"/>
      <c r="P402" s="9"/>
      <c r="Q402" s="9"/>
      <c r="R402" s="9"/>
      <c r="S402" s="9"/>
    </row>
    <row r="403" spans="5:19" ht="15.75" customHeight="1" x14ac:dyDescent="0.3">
      <c r="E403" s="9"/>
      <c r="F403" s="9"/>
      <c r="H403" s="9"/>
      <c r="M403" s="9"/>
      <c r="N403" s="9"/>
      <c r="O403" s="9"/>
      <c r="P403" s="9"/>
      <c r="Q403" s="9"/>
      <c r="R403" s="9"/>
      <c r="S403" s="9"/>
    </row>
    <row r="404" spans="5:19" ht="15.75" customHeight="1" x14ac:dyDescent="0.3">
      <c r="E404" s="9"/>
      <c r="F404" s="9"/>
      <c r="H404" s="9"/>
      <c r="M404" s="9"/>
      <c r="N404" s="9"/>
      <c r="O404" s="9"/>
      <c r="P404" s="9"/>
      <c r="Q404" s="9"/>
      <c r="R404" s="9"/>
      <c r="S404" s="9"/>
    </row>
    <row r="405" spans="5:19" ht="15.75" customHeight="1" x14ac:dyDescent="0.3">
      <c r="E405" s="9"/>
      <c r="F405" s="9"/>
      <c r="H405" s="9"/>
      <c r="M405" s="9"/>
      <c r="N405" s="9"/>
      <c r="O405" s="9"/>
      <c r="P405" s="9"/>
      <c r="Q405" s="9"/>
      <c r="R405" s="9"/>
      <c r="S405" s="9"/>
    </row>
    <row r="406" spans="5:19" ht="15.75" customHeight="1" x14ac:dyDescent="0.3">
      <c r="E406" s="9"/>
      <c r="F406" s="9"/>
      <c r="H406" s="9"/>
      <c r="M406" s="9"/>
      <c r="N406" s="9"/>
      <c r="O406" s="9"/>
      <c r="P406" s="9"/>
      <c r="Q406" s="9"/>
      <c r="R406" s="9"/>
      <c r="S406" s="9"/>
    </row>
    <row r="407" spans="5:19" ht="15.75" customHeight="1" x14ac:dyDescent="0.3">
      <c r="E407" s="9"/>
      <c r="F407" s="9"/>
      <c r="H407" s="9"/>
      <c r="M407" s="9"/>
      <c r="N407" s="9"/>
      <c r="O407" s="9"/>
      <c r="P407" s="9"/>
      <c r="Q407" s="9"/>
      <c r="R407" s="9"/>
      <c r="S407" s="9"/>
    </row>
    <row r="408" spans="5:19" ht="15.75" customHeight="1" x14ac:dyDescent="0.3">
      <c r="E408" s="9"/>
      <c r="F408" s="9"/>
      <c r="H408" s="9"/>
      <c r="M408" s="9"/>
      <c r="N408" s="9"/>
      <c r="O408" s="9"/>
      <c r="P408" s="9"/>
      <c r="Q408" s="9"/>
      <c r="R408" s="9"/>
      <c r="S408" s="9"/>
    </row>
    <row r="409" spans="5:19" ht="15.75" customHeight="1" x14ac:dyDescent="0.3">
      <c r="E409" s="9"/>
      <c r="F409" s="9"/>
      <c r="H409" s="9"/>
      <c r="M409" s="9"/>
      <c r="N409" s="9"/>
      <c r="O409" s="9"/>
      <c r="P409" s="9"/>
      <c r="Q409" s="9"/>
      <c r="R409" s="9"/>
      <c r="S409" s="9"/>
    </row>
    <row r="410" spans="5:19" ht="15.75" customHeight="1" x14ac:dyDescent="0.3">
      <c r="E410" s="9"/>
      <c r="F410" s="9"/>
      <c r="H410" s="9"/>
      <c r="M410" s="9"/>
      <c r="N410" s="9"/>
      <c r="O410" s="9"/>
      <c r="P410" s="9"/>
      <c r="Q410" s="9"/>
      <c r="R410" s="9"/>
      <c r="S410" s="9"/>
    </row>
    <row r="411" spans="5:19" ht="15.75" customHeight="1" x14ac:dyDescent="0.3">
      <c r="E411" s="9"/>
      <c r="F411" s="9"/>
      <c r="H411" s="9"/>
      <c r="M411" s="9"/>
      <c r="N411" s="9"/>
      <c r="O411" s="9"/>
      <c r="P411" s="9"/>
      <c r="Q411" s="9"/>
      <c r="R411" s="9"/>
      <c r="S411" s="9"/>
    </row>
    <row r="412" spans="5:19" ht="15.75" customHeight="1" x14ac:dyDescent="0.3">
      <c r="E412" s="9"/>
      <c r="F412" s="9"/>
      <c r="H412" s="9"/>
      <c r="M412" s="9"/>
      <c r="N412" s="9"/>
      <c r="O412" s="9"/>
      <c r="P412" s="9"/>
      <c r="Q412" s="9"/>
      <c r="R412" s="9"/>
      <c r="S412" s="9"/>
    </row>
    <row r="413" spans="5:19" ht="15.75" customHeight="1" x14ac:dyDescent="0.3">
      <c r="E413" s="9"/>
      <c r="F413" s="9"/>
      <c r="H413" s="9"/>
      <c r="M413" s="9"/>
      <c r="N413" s="9"/>
      <c r="O413" s="9"/>
      <c r="P413" s="9"/>
      <c r="Q413" s="9"/>
      <c r="R413" s="9"/>
      <c r="S413" s="9"/>
    </row>
    <row r="414" spans="5:19" ht="15.75" customHeight="1" x14ac:dyDescent="0.3">
      <c r="E414" s="9"/>
      <c r="F414" s="9"/>
      <c r="H414" s="9"/>
      <c r="M414" s="9"/>
      <c r="N414" s="9"/>
      <c r="O414" s="9"/>
      <c r="P414" s="9"/>
      <c r="Q414" s="9"/>
      <c r="R414" s="9"/>
      <c r="S414" s="9"/>
    </row>
    <row r="415" spans="5:19" ht="15.75" customHeight="1" x14ac:dyDescent="0.3">
      <c r="E415" s="9"/>
      <c r="F415" s="9"/>
      <c r="H415" s="9"/>
      <c r="M415" s="9"/>
      <c r="N415" s="9"/>
      <c r="O415" s="9"/>
      <c r="P415" s="9"/>
      <c r="Q415" s="9"/>
      <c r="R415" s="9"/>
      <c r="S415" s="9"/>
    </row>
    <row r="416" spans="5:19" ht="15.75" customHeight="1" x14ac:dyDescent="0.3">
      <c r="E416" s="9"/>
      <c r="F416" s="9"/>
      <c r="H416" s="9"/>
      <c r="M416" s="9"/>
      <c r="N416" s="9"/>
      <c r="O416" s="9"/>
      <c r="P416" s="9"/>
      <c r="Q416" s="9"/>
      <c r="R416" s="9"/>
      <c r="S416" s="9"/>
    </row>
    <row r="417" spans="5:19" ht="15.75" customHeight="1" x14ac:dyDescent="0.3">
      <c r="E417" s="9"/>
      <c r="F417" s="9"/>
      <c r="H417" s="9"/>
      <c r="M417" s="9"/>
      <c r="N417" s="9"/>
      <c r="O417" s="9"/>
      <c r="P417" s="9"/>
      <c r="Q417" s="9"/>
      <c r="R417" s="9"/>
      <c r="S417" s="9"/>
    </row>
    <row r="418" spans="5:19" ht="15.75" customHeight="1" x14ac:dyDescent="0.3">
      <c r="E418" s="9"/>
      <c r="F418" s="9"/>
      <c r="H418" s="9"/>
      <c r="M418" s="9"/>
      <c r="N418" s="9"/>
      <c r="O418" s="9"/>
      <c r="P418" s="9"/>
      <c r="Q418" s="9"/>
      <c r="R418" s="9"/>
      <c r="S418" s="9"/>
    </row>
    <row r="419" spans="5:19" ht="15.75" customHeight="1" x14ac:dyDescent="0.3">
      <c r="E419" s="9"/>
      <c r="F419" s="9"/>
      <c r="H419" s="9"/>
      <c r="M419" s="9"/>
      <c r="N419" s="9"/>
      <c r="O419" s="9"/>
      <c r="P419" s="9"/>
      <c r="Q419" s="9"/>
      <c r="R419" s="9"/>
      <c r="S419" s="9"/>
    </row>
    <row r="420" spans="5:19" ht="15.75" customHeight="1" x14ac:dyDescent="0.3">
      <c r="E420" s="9"/>
      <c r="F420" s="9"/>
      <c r="H420" s="9"/>
      <c r="M420" s="9"/>
      <c r="N420" s="9"/>
      <c r="O420" s="9"/>
      <c r="P420" s="9"/>
      <c r="Q420" s="9"/>
      <c r="R420" s="9"/>
      <c r="S420" s="9"/>
    </row>
    <row r="421" spans="5:19" ht="15.75" customHeight="1" x14ac:dyDescent="0.3">
      <c r="E421" s="9"/>
      <c r="F421" s="9"/>
      <c r="H421" s="9"/>
      <c r="M421" s="9"/>
      <c r="N421" s="9"/>
      <c r="O421" s="9"/>
      <c r="P421" s="9"/>
      <c r="Q421" s="9"/>
      <c r="R421" s="9"/>
      <c r="S421" s="9"/>
    </row>
    <row r="422" spans="5:19" ht="15.75" customHeight="1" x14ac:dyDescent="0.3">
      <c r="E422" s="9"/>
      <c r="F422" s="9"/>
      <c r="H422" s="9"/>
      <c r="M422" s="9"/>
      <c r="N422" s="9"/>
      <c r="O422" s="9"/>
      <c r="P422" s="9"/>
      <c r="Q422" s="9"/>
      <c r="R422" s="9"/>
      <c r="S422" s="9"/>
    </row>
    <row r="423" spans="5:19" ht="15.75" customHeight="1" x14ac:dyDescent="0.3">
      <c r="E423" s="9"/>
      <c r="F423" s="9"/>
      <c r="H423" s="9"/>
      <c r="M423" s="9"/>
      <c r="N423" s="9"/>
      <c r="O423" s="9"/>
      <c r="P423" s="9"/>
      <c r="Q423" s="9"/>
      <c r="R423" s="9"/>
      <c r="S423" s="9"/>
    </row>
    <row r="424" spans="5:19" ht="15.75" customHeight="1" x14ac:dyDescent="0.3">
      <c r="E424" s="9"/>
      <c r="F424" s="9"/>
      <c r="H424" s="9"/>
      <c r="M424" s="9"/>
      <c r="N424" s="9"/>
      <c r="O424" s="9"/>
      <c r="P424" s="9"/>
      <c r="Q424" s="9"/>
      <c r="R424" s="9"/>
      <c r="S424" s="9"/>
    </row>
    <row r="425" spans="5:19" ht="15.75" customHeight="1" x14ac:dyDescent="0.3">
      <c r="E425" s="9"/>
      <c r="F425" s="9"/>
      <c r="H425" s="9"/>
      <c r="M425" s="9"/>
      <c r="N425" s="9"/>
      <c r="O425" s="9"/>
      <c r="P425" s="9"/>
      <c r="Q425" s="9"/>
      <c r="R425" s="9"/>
      <c r="S425" s="9"/>
    </row>
    <row r="426" spans="5:19" ht="15.75" customHeight="1" x14ac:dyDescent="0.3">
      <c r="E426" s="9"/>
      <c r="F426" s="9"/>
      <c r="H426" s="9"/>
      <c r="M426" s="9"/>
      <c r="N426" s="9"/>
      <c r="O426" s="9"/>
      <c r="P426" s="9"/>
      <c r="Q426" s="9"/>
      <c r="R426" s="9"/>
      <c r="S426" s="9"/>
    </row>
    <row r="427" spans="5:19" ht="15.75" customHeight="1" x14ac:dyDescent="0.3">
      <c r="E427" s="9"/>
      <c r="F427" s="9"/>
      <c r="H427" s="9"/>
      <c r="M427" s="9"/>
      <c r="N427" s="9"/>
      <c r="O427" s="9"/>
      <c r="P427" s="9"/>
      <c r="Q427" s="9"/>
      <c r="R427" s="9"/>
      <c r="S427" s="9"/>
    </row>
    <row r="428" spans="5:19" ht="15.75" customHeight="1" x14ac:dyDescent="0.3">
      <c r="E428" s="9"/>
      <c r="F428" s="9"/>
      <c r="H428" s="9"/>
      <c r="M428" s="9"/>
      <c r="N428" s="9"/>
      <c r="O428" s="9"/>
      <c r="P428" s="9"/>
      <c r="Q428" s="9"/>
      <c r="R428" s="9"/>
      <c r="S428" s="9"/>
    </row>
    <row r="429" spans="5:19" ht="15.75" customHeight="1" x14ac:dyDescent="0.3">
      <c r="E429" s="9"/>
      <c r="F429" s="9"/>
      <c r="H429" s="9"/>
      <c r="M429" s="9"/>
      <c r="N429" s="9"/>
      <c r="O429" s="9"/>
      <c r="P429" s="9"/>
      <c r="Q429" s="9"/>
      <c r="R429" s="9"/>
      <c r="S429" s="9"/>
    </row>
    <row r="430" spans="5:19" ht="15.75" customHeight="1" x14ac:dyDescent="0.3">
      <c r="E430" s="9"/>
      <c r="F430" s="9"/>
      <c r="H430" s="9"/>
      <c r="M430" s="9"/>
      <c r="N430" s="9"/>
      <c r="O430" s="9"/>
      <c r="P430" s="9"/>
      <c r="Q430" s="9"/>
      <c r="R430" s="9"/>
      <c r="S430" s="9"/>
    </row>
    <row r="431" spans="5:19" ht="15.75" customHeight="1" x14ac:dyDescent="0.3">
      <c r="E431" s="9"/>
      <c r="F431" s="9"/>
      <c r="H431" s="9"/>
      <c r="M431" s="9"/>
      <c r="N431" s="9"/>
      <c r="O431" s="9"/>
      <c r="P431" s="9"/>
      <c r="Q431" s="9"/>
      <c r="R431" s="9"/>
      <c r="S431" s="9"/>
    </row>
    <row r="432" spans="5:19" ht="15.75" customHeight="1" x14ac:dyDescent="0.3">
      <c r="E432" s="9"/>
      <c r="F432" s="9"/>
      <c r="H432" s="9"/>
      <c r="M432" s="9"/>
      <c r="N432" s="9"/>
      <c r="O432" s="9"/>
      <c r="P432" s="9"/>
      <c r="Q432" s="9"/>
      <c r="R432" s="9"/>
      <c r="S432" s="9"/>
    </row>
    <row r="433" spans="5:19" ht="15.75" customHeight="1" x14ac:dyDescent="0.3">
      <c r="E433" s="9"/>
      <c r="F433" s="9"/>
      <c r="H433" s="9"/>
      <c r="M433" s="9"/>
      <c r="N433" s="9"/>
      <c r="O433" s="9"/>
      <c r="P433" s="9"/>
      <c r="Q433" s="9"/>
      <c r="R433" s="9"/>
      <c r="S433" s="9"/>
    </row>
    <row r="434" spans="5:19" ht="15.75" customHeight="1" x14ac:dyDescent="0.3">
      <c r="E434" s="9"/>
      <c r="F434" s="9"/>
      <c r="H434" s="9"/>
      <c r="M434" s="9"/>
      <c r="N434" s="9"/>
      <c r="O434" s="9"/>
      <c r="P434" s="9"/>
      <c r="Q434" s="9"/>
      <c r="R434" s="9"/>
      <c r="S434" s="9"/>
    </row>
    <row r="435" spans="5:19" ht="15.75" customHeight="1" x14ac:dyDescent="0.3">
      <c r="E435" s="9"/>
      <c r="F435" s="9"/>
      <c r="H435" s="9"/>
      <c r="M435" s="9"/>
      <c r="N435" s="9"/>
      <c r="O435" s="9"/>
      <c r="P435" s="9"/>
      <c r="Q435" s="9"/>
      <c r="R435" s="9"/>
      <c r="S435" s="9"/>
    </row>
    <row r="436" spans="5:19" ht="15.75" customHeight="1" x14ac:dyDescent="0.3">
      <c r="E436" s="9"/>
      <c r="F436" s="9"/>
      <c r="H436" s="9"/>
      <c r="M436" s="9"/>
      <c r="N436" s="9"/>
      <c r="O436" s="9"/>
      <c r="P436" s="9"/>
      <c r="Q436" s="9"/>
      <c r="R436" s="9"/>
      <c r="S436" s="9"/>
    </row>
    <row r="437" spans="5:19" ht="15.75" customHeight="1" x14ac:dyDescent="0.3">
      <c r="E437" s="9"/>
      <c r="F437" s="9"/>
      <c r="H437" s="9"/>
      <c r="M437" s="9"/>
      <c r="N437" s="9"/>
      <c r="O437" s="9"/>
      <c r="P437" s="9"/>
      <c r="Q437" s="9"/>
      <c r="R437" s="9"/>
      <c r="S437" s="9"/>
    </row>
    <row r="438" spans="5:19" ht="15.75" customHeight="1" x14ac:dyDescent="0.3">
      <c r="E438" s="9"/>
      <c r="F438" s="9"/>
      <c r="H438" s="9"/>
      <c r="M438" s="9"/>
      <c r="N438" s="9"/>
      <c r="O438" s="9"/>
      <c r="P438" s="9"/>
      <c r="Q438" s="9"/>
      <c r="R438" s="9"/>
      <c r="S438" s="9"/>
    </row>
    <row r="439" spans="5:19" ht="15.75" customHeight="1" x14ac:dyDescent="0.3">
      <c r="E439" s="9"/>
      <c r="F439" s="9"/>
      <c r="H439" s="9"/>
      <c r="M439" s="9"/>
      <c r="N439" s="9"/>
      <c r="O439" s="9"/>
      <c r="P439" s="9"/>
      <c r="Q439" s="9"/>
      <c r="R439" s="9"/>
      <c r="S439" s="9"/>
    </row>
    <row r="440" spans="5:19" ht="15.75" customHeight="1" x14ac:dyDescent="0.3">
      <c r="E440" s="9"/>
      <c r="F440" s="9"/>
      <c r="H440" s="9"/>
      <c r="M440" s="9"/>
      <c r="N440" s="9"/>
      <c r="O440" s="9"/>
      <c r="P440" s="9"/>
      <c r="Q440" s="9"/>
      <c r="R440" s="9"/>
      <c r="S440" s="9"/>
    </row>
    <row r="441" spans="5:19" ht="15.75" customHeight="1" x14ac:dyDescent="0.3">
      <c r="E441" s="9"/>
      <c r="F441" s="9"/>
      <c r="H441" s="9"/>
      <c r="M441" s="9"/>
      <c r="N441" s="9"/>
      <c r="O441" s="9"/>
      <c r="P441" s="9"/>
      <c r="Q441" s="9"/>
      <c r="R441" s="9"/>
      <c r="S441" s="9"/>
    </row>
    <row r="442" spans="5:19" ht="15.75" customHeight="1" x14ac:dyDescent="0.3">
      <c r="E442" s="9"/>
      <c r="F442" s="9"/>
      <c r="H442" s="9"/>
      <c r="M442" s="9"/>
      <c r="N442" s="9"/>
      <c r="O442" s="9"/>
      <c r="P442" s="9"/>
      <c r="Q442" s="9"/>
      <c r="R442" s="9"/>
      <c r="S442" s="9"/>
    </row>
    <row r="443" spans="5:19" ht="15.75" customHeight="1" x14ac:dyDescent="0.3">
      <c r="E443" s="9"/>
      <c r="F443" s="9"/>
      <c r="H443" s="9"/>
      <c r="M443" s="9"/>
      <c r="N443" s="9"/>
      <c r="O443" s="9"/>
      <c r="P443" s="9"/>
      <c r="Q443" s="9"/>
      <c r="R443" s="9"/>
      <c r="S443" s="9"/>
    </row>
    <row r="444" spans="5:19" ht="15.75" customHeight="1" x14ac:dyDescent="0.3">
      <c r="E444" s="9"/>
      <c r="F444" s="9"/>
      <c r="H444" s="9"/>
      <c r="M444" s="9"/>
      <c r="N444" s="9"/>
      <c r="O444" s="9"/>
      <c r="P444" s="9"/>
      <c r="Q444" s="9"/>
      <c r="R444" s="9"/>
      <c r="S444" s="9"/>
    </row>
    <row r="445" spans="5:19" ht="15.75" customHeight="1" x14ac:dyDescent="0.3">
      <c r="E445" s="9"/>
      <c r="F445" s="9"/>
      <c r="H445" s="9"/>
      <c r="M445" s="9"/>
      <c r="N445" s="9"/>
      <c r="O445" s="9"/>
      <c r="P445" s="9"/>
      <c r="Q445" s="9"/>
      <c r="R445" s="9"/>
      <c r="S445" s="9"/>
    </row>
    <row r="446" spans="5:19" ht="15.75" customHeight="1" x14ac:dyDescent="0.3">
      <c r="E446" s="9"/>
      <c r="F446" s="9"/>
      <c r="H446" s="9"/>
      <c r="M446" s="9"/>
      <c r="N446" s="9"/>
      <c r="O446" s="9"/>
      <c r="P446" s="9"/>
      <c r="Q446" s="9"/>
      <c r="R446" s="9"/>
      <c r="S446" s="9"/>
    </row>
    <row r="447" spans="5:19" ht="15.75" customHeight="1" x14ac:dyDescent="0.3">
      <c r="E447" s="9"/>
      <c r="F447" s="9"/>
      <c r="H447" s="9"/>
      <c r="M447" s="9"/>
      <c r="N447" s="9"/>
      <c r="O447" s="9"/>
      <c r="P447" s="9"/>
      <c r="Q447" s="9"/>
      <c r="R447" s="9"/>
      <c r="S447" s="9"/>
    </row>
    <row r="448" spans="5:19" ht="15.75" customHeight="1" x14ac:dyDescent="0.3">
      <c r="E448" s="9"/>
      <c r="F448" s="9"/>
      <c r="H448" s="9"/>
      <c r="M448" s="9"/>
      <c r="N448" s="9"/>
      <c r="O448" s="9"/>
      <c r="P448" s="9"/>
      <c r="Q448" s="9"/>
      <c r="R448" s="9"/>
      <c r="S448" s="9"/>
    </row>
    <row r="449" spans="5:19" ht="15.75" customHeight="1" x14ac:dyDescent="0.3">
      <c r="E449" s="9"/>
      <c r="F449" s="9"/>
      <c r="H449" s="9"/>
      <c r="M449" s="9"/>
      <c r="N449" s="9"/>
      <c r="O449" s="9"/>
      <c r="P449" s="9"/>
      <c r="Q449" s="9"/>
      <c r="R449" s="9"/>
      <c r="S449" s="9"/>
    </row>
    <row r="450" spans="5:19" ht="15.75" customHeight="1" x14ac:dyDescent="0.3">
      <c r="E450" s="9"/>
      <c r="F450" s="9"/>
      <c r="H450" s="9"/>
      <c r="M450" s="9"/>
      <c r="N450" s="9"/>
      <c r="O450" s="9"/>
      <c r="P450" s="9"/>
      <c r="Q450" s="9"/>
      <c r="R450" s="9"/>
      <c r="S450" s="9"/>
    </row>
    <row r="451" spans="5:19" ht="15.75" customHeight="1" x14ac:dyDescent="0.3">
      <c r="E451" s="9"/>
      <c r="F451" s="9"/>
      <c r="H451" s="9"/>
      <c r="M451" s="9"/>
      <c r="N451" s="9"/>
      <c r="O451" s="9"/>
      <c r="P451" s="9"/>
      <c r="Q451" s="9"/>
      <c r="R451" s="9"/>
      <c r="S451" s="9"/>
    </row>
    <row r="452" spans="5:19" ht="15.75" customHeight="1" x14ac:dyDescent="0.3">
      <c r="E452" s="9"/>
      <c r="F452" s="9"/>
      <c r="H452" s="9"/>
      <c r="M452" s="9"/>
      <c r="N452" s="9"/>
      <c r="O452" s="9"/>
      <c r="P452" s="9"/>
      <c r="Q452" s="9"/>
      <c r="R452" s="9"/>
      <c r="S452" s="9"/>
    </row>
    <row r="453" spans="5:19" ht="15.75" customHeight="1" x14ac:dyDescent="0.3">
      <c r="E453" s="9"/>
      <c r="F453" s="9"/>
      <c r="H453" s="9"/>
      <c r="M453" s="9"/>
      <c r="N453" s="9"/>
      <c r="O453" s="9"/>
      <c r="P453" s="9"/>
      <c r="Q453" s="9"/>
      <c r="R453" s="9"/>
      <c r="S453" s="9"/>
    </row>
    <row r="454" spans="5:19" ht="15.75" customHeight="1" x14ac:dyDescent="0.3">
      <c r="E454" s="9"/>
      <c r="F454" s="9"/>
      <c r="H454" s="9"/>
      <c r="M454" s="9"/>
      <c r="N454" s="9"/>
      <c r="O454" s="9"/>
      <c r="P454" s="9"/>
      <c r="Q454" s="9"/>
      <c r="R454" s="9"/>
      <c r="S454" s="9"/>
    </row>
    <row r="455" spans="5:19" ht="15.75" customHeight="1" x14ac:dyDescent="0.3">
      <c r="E455" s="9"/>
      <c r="F455" s="9"/>
      <c r="H455" s="9"/>
      <c r="M455" s="9"/>
      <c r="N455" s="9"/>
      <c r="O455" s="9"/>
      <c r="P455" s="9"/>
      <c r="Q455" s="9"/>
      <c r="R455" s="9"/>
      <c r="S455" s="9"/>
    </row>
    <row r="456" spans="5:19" ht="15.75" customHeight="1" x14ac:dyDescent="0.3">
      <c r="E456" s="9"/>
      <c r="F456" s="9"/>
      <c r="H456" s="9"/>
      <c r="M456" s="9"/>
      <c r="N456" s="9"/>
      <c r="O456" s="9"/>
      <c r="P456" s="9"/>
      <c r="Q456" s="9"/>
      <c r="R456" s="9"/>
      <c r="S456" s="9"/>
    </row>
    <row r="457" spans="5:19" ht="15.75" customHeight="1" x14ac:dyDescent="0.3">
      <c r="E457" s="9"/>
      <c r="F457" s="9"/>
      <c r="H457" s="9"/>
      <c r="M457" s="9"/>
      <c r="N457" s="9"/>
      <c r="O457" s="9"/>
      <c r="P457" s="9"/>
      <c r="Q457" s="9"/>
      <c r="R457" s="9"/>
      <c r="S457" s="9"/>
    </row>
    <row r="458" spans="5:19" ht="15.75" customHeight="1" x14ac:dyDescent="0.3">
      <c r="E458" s="9"/>
      <c r="F458" s="9"/>
      <c r="H458" s="9"/>
      <c r="M458" s="9"/>
      <c r="N458" s="9"/>
      <c r="O458" s="9"/>
      <c r="P458" s="9"/>
      <c r="Q458" s="9"/>
      <c r="R458" s="9"/>
      <c r="S458" s="9"/>
    </row>
    <row r="459" spans="5:19" ht="15.75" customHeight="1" x14ac:dyDescent="0.3">
      <c r="E459" s="9"/>
      <c r="F459" s="9"/>
      <c r="H459" s="9"/>
      <c r="M459" s="9"/>
      <c r="N459" s="9"/>
      <c r="O459" s="9"/>
      <c r="P459" s="9"/>
      <c r="Q459" s="9"/>
      <c r="R459" s="9"/>
      <c r="S459" s="9"/>
    </row>
    <row r="460" spans="5:19" ht="15.75" customHeight="1" x14ac:dyDescent="0.3">
      <c r="E460" s="9"/>
      <c r="F460" s="9"/>
      <c r="H460" s="9"/>
      <c r="M460" s="9"/>
      <c r="N460" s="9"/>
      <c r="O460" s="9"/>
      <c r="P460" s="9"/>
      <c r="Q460" s="9"/>
      <c r="R460" s="9"/>
      <c r="S460" s="9"/>
    </row>
    <row r="461" spans="5:19" ht="15.75" customHeight="1" x14ac:dyDescent="0.3">
      <c r="E461" s="9"/>
      <c r="F461" s="9"/>
      <c r="H461" s="9"/>
      <c r="M461" s="9"/>
      <c r="N461" s="9"/>
      <c r="O461" s="9"/>
      <c r="P461" s="9"/>
      <c r="Q461" s="9"/>
      <c r="R461" s="9"/>
      <c r="S461" s="9"/>
    </row>
    <row r="462" spans="5:19" ht="15.75" customHeight="1" x14ac:dyDescent="0.3">
      <c r="E462" s="9"/>
      <c r="F462" s="9"/>
      <c r="H462" s="9"/>
      <c r="M462" s="9"/>
      <c r="N462" s="9"/>
      <c r="O462" s="9"/>
      <c r="P462" s="9"/>
      <c r="Q462" s="9"/>
      <c r="R462" s="9"/>
      <c r="S462" s="9"/>
    </row>
    <row r="463" spans="5:19" ht="15.75" customHeight="1" x14ac:dyDescent="0.3">
      <c r="E463" s="9"/>
      <c r="F463" s="9"/>
      <c r="H463" s="9"/>
      <c r="M463" s="9"/>
      <c r="N463" s="9"/>
      <c r="O463" s="9"/>
      <c r="P463" s="9"/>
      <c r="Q463" s="9"/>
      <c r="R463" s="9"/>
      <c r="S463" s="9"/>
    </row>
    <row r="464" spans="5:19" ht="15.75" customHeight="1" x14ac:dyDescent="0.3">
      <c r="E464" s="9"/>
      <c r="F464" s="9"/>
      <c r="H464" s="9"/>
      <c r="M464" s="9"/>
      <c r="N464" s="9"/>
      <c r="O464" s="9"/>
      <c r="P464" s="9"/>
      <c r="Q464" s="9"/>
      <c r="R464" s="9"/>
      <c r="S464" s="9"/>
    </row>
    <row r="465" spans="5:19" ht="15.75" customHeight="1" x14ac:dyDescent="0.3">
      <c r="E465" s="9"/>
      <c r="F465" s="9"/>
      <c r="H465" s="9"/>
      <c r="M465" s="9"/>
      <c r="N465" s="9"/>
      <c r="O465" s="9"/>
      <c r="P465" s="9"/>
      <c r="Q465" s="9"/>
      <c r="R465" s="9"/>
      <c r="S465" s="9"/>
    </row>
    <row r="466" spans="5:19" ht="15.75" customHeight="1" x14ac:dyDescent="0.3">
      <c r="E466" s="9"/>
      <c r="F466" s="9"/>
      <c r="H466" s="9"/>
      <c r="M466" s="9"/>
      <c r="N466" s="9"/>
      <c r="O466" s="9"/>
      <c r="P466" s="9"/>
      <c r="Q466" s="9"/>
      <c r="R466" s="9"/>
      <c r="S466" s="9"/>
    </row>
    <row r="467" spans="5:19" ht="15.75" customHeight="1" x14ac:dyDescent="0.3">
      <c r="E467" s="9"/>
      <c r="F467" s="9"/>
      <c r="H467" s="9"/>
      <c r="M467" s="9"/>
      <c r="N467" s="9"/>
      <c r="O467" s="9"/>
      <c r="P467" s="9"/>
      <c r="Q467" s="9"/>
      <c r="R467" s="9"/>
      <c r="S467" s="9"/>
    </row>
    <row r="468" spans="5:19" ht="15.75" customHeight="1" x14ac:dyDescent="0.3">
      <c r="E468" s="9"/>
      <c r="F468" s="9"/>
      <c r="H468" s="9"/>
      <c r="M468" s="9"/>
      <c r="N468" s="9"/>
      <c r="O468" s="9"/>
      <c r="P468" s="9"/>
      <c r="Q468" s="9"/>
      <c r="R468" s="9"/>
      <c r="S468" s="9"/>
    </row>
    <row r="469" spans="5:19" ht="15.75" customHeight="1" x14ac:dyDescent="0.3">
      <c r="E469" s="9"/>
      <c r="F469" s="9"/>
      <c r="H469" s="9"/>
      <c r="M469" s="9"/>
      <c r="N469" s="9"/>
      <c r="O469" s="9"/>
      <c r="P469" s="9"/>
      <c r="Q469" s="9"/>
      <c r="R469" s="9"/>
      <c r="S469" s="9"/>
    </row>
    <row r="470" spans="5:19" ht="15.75" customHeight="1" x14ac:dyDescent="0.3">
      <c r="E470" s="9"/>
      <c r="F470" s="9"/>
      <c r="H470" s="9"/>
      <c r="M470" s="9"/>
      <c r="N470" s="9"/>
      <c r="O470" s="9"/>
      <c r="P470" s="9"/>
      <c r="Q470" s="9"/>
      <c r="R470" s="9"/>
      <c r="S470" s="9"/>
    </row>
    <row r="471" spans="5:19" ht="15.75" customHeight="1" x14ac:dyDescent="0.3">
      <c r="E471" s="9"/>
      <c r="F471" s="9"/>
      <c r="H471" s="9"/>
      <c r="M471" s="9"/>
      <c r="N471" s="9"/>
      <c r="O471" s="9"/>
      <c r="P471" s="9"/>
      <c r="Q471" s="9"/>
      <c r="R471" s="9"/>
      <c r="S471" s="9"/>
    </row>
    <row r="472" spans="5:19" ht="15.75" customHeight="1" x14ac:dyDescent="0.3">
      <c r="E472" s="9"/>
      <c r="F472" s="9"/>
      <c r="H472" s="9"/>
      <c r="M472" s="9"/>
      <c r="N472" s="9"/>
      <c r="O472" s="9"/>
      <c r="P472" s="9"/>
      <c r="Q472" s="9"/>
      <c r="R472" s="9"/>
      <c r="S472" s="9"/>
    </row>
    <row r="473" spans="5:19" ht="15.75" customHeight="1" x14ac:dyDescent="0.3">
      <c r="E473" s="9"/>
      <c r="F473" s="9"/>
      <c r="H473" s="9"/>
      <c r="M473" s="9"/>
      <c r="N473" s="9"/>
      <c r="O473" s="9"/>
      <c r="P473" s="9"/>
      <c r="Q473" s="9"/>
      <c r="R473" s="9"/>
      <c r="S473" s="9"/>
    </row>
    <row r="474" spans="5:19" ht="15.75" customHeight="1" x14ac:dyDescent="0.3">
      <c r="E474" s="9"/>
      <c r="F474" s="9"/>
      <c r="H474" s="9"/>
      <c r="M474" s="9"/>
      <c r="N474" s="9"/>
      <c r="O474" s="9"/>
      <c r="P474" s="9"/>
      <c r="Q474" s="9"/>
      <c r="R474" s="9"/>
      <c r="S474" s="9"/>
    </row>
    <row r="475" spans="5:19" ht="15.75" customHeight="1" x14ac:dyDescent="0.3">
      <c r="E475" s="9"/>
      <c r="F475" s="9"/>
      <c r="H475" s="9"/>
      <c r="M475" s="9"/>
      <c r="N475" s="9"/>
      <c r="O475" s="9"/>
      <c r="P475" s="9"/>
      <c r="Q475" s="9"/>
      <c r="R475" s="9"/>
      <c r="S475" s="9"/>
    </row>
    <row r="476" spans="5:19" ht="15.75" customHeight="1" x14ac:dyDescent="0.3">
      <c r="E476" s="9"/>
      <c r="F476" s="9"/>
      <c r="H476" s="9"/>
      <c r="M476" s="9"/>
      <c r="N476" s="9"/>
      <c r="O476" s="9"/>
      <c r="P476" s="9"/>
      <c r="Q476" s="9"/>
      <c r="R476" s="9"/>
      <c r="S476" s="9"/>
    </row>
    <row r="477" spans="5:19" ht="15.75" customHeight="1" x14ac:dyDescent="0.3">
      <c r="E477" s="9"/>
      <c r="F477" s="9"/>
      <c r="H477" s="9"/>
      <c r="M477" s="9"/>
      <c r="N477" s="9"/>
      <c r="O477" s="9"/>
      <c r="P477" s="9"/>
      <c r="Q477" s="9"/>
      <c r="R477" s="9"/>
      <c r="S477" s="9"/>
    </row>
    <row r="478" spans="5:19" ht="15.75" customHeight="1" x14ac:dyDescent="0.3">
      <c r="E478" s="9"/>
      <c r="F478" s="9"/>
      <c r="H478" s="9"/>
      <c r="M478" s="9"/>
      <c r="N478" s="9"/>
      <c r="O478" s="9"/>
      <c r="P478" s="9"/>
      <c r="Q478" s="9"/>
      <c r="R478" s="9"/>
      <c r="S478" s="9"/>
    </row>
    <row r="479" spans="5:19" ht="15.75" customHeight="1" x14ac:dyDescent="0.3">
      <c r="E479" s="9"/>
      <c r="F479" s="9"/>
      <c r="H479" s="9"/>
      <c r="M479" s="9"/>
      <c r="N479" s="9"/>
      <c r="O479" s="9"/>
      <c r="P479" s="9"/>
      <c r="Q479" s="9"/>
      <c r="R479" s="9"/>
      <c r="S479" s="9"/>
    </row>
    <row r="480" spans="5:19" ht="15.75" customHeight="1" x14ac:dyDescent="0.3">
      <c r="E480" s="9"/>
      <c r="F480" s="9"/>
      <c r="H480" s="9"/>
      <c r="M480" s="9"/>
      <c r="N480" s="9"/>
      <c r="O480" s="9"/>
      <c r="P480" s="9"/>
      <c r="Q480" s="9"/>
      <c r="R480" s="9"/>
      <c r="S480" s="9"/>
    </row>
    <row r="481" spans="5:19" ht="15.75" customHeight="1" x14ac:dyDescent="0.3">
      <c r="E481" s="9"/>
      <c r="F481" s="9"/>
      <c r="H481" s="9"/>
      <c r="M481" s="9"/>
      <c r="N481" s="9"/>
      <c r="O481" s="9"/>
      <c r="P481" s="9"/>
      <c r="Q481" s="9"/>
      <c r="R481" s="9"/>
      <c r="S481" s="9"/>
    </row>
    <row r="482" spans="5:19" ht="15.75" customHeight="1" x14ac:dyDescent="0.3">
      <c r="E482" s="9"/>
      <c r="F482" s="9"/>
      <c r="H482" s="9"/>
      <c r="M482" s="9"/>
      <c r="N482" s="9"/>
      <c r="O482" s="9"/>
      <c r="P482" s="9"/>
      <c r="Q482" s="9"/>
      <c r="R482" s="9"/>
      <c r="S482" s="9"/>
    </row>
    <row r="483" spans="5:19" ht="15.75" customHeight="1" x14ac:dyDescent="0.3">
      <c r="E483" s="9"/>
      <c r="F483" s="9"/>
      <c r="H483" s="9"/>
      <c r="M483" s="9"/>
      <c r="N483" s="9"/>
      <c r="O483" s="9"/>
      <c r="P483" s="9"/>
      <c r="Q483" s="9"/>
      <c r="R483" s="9"/>
      <c r="S483" s="9"/>
    </row>
    <row r="484" spans="5:19" ht="15.75" customHeight="1" x14ac:dyDescent="0.3">
      <c r="E484" s="9"/>
      <c r="F484" s="9"/>
      <c r="H484" s="9"/>
      <c r="M484" s="9"/>
      <c r="N484" s="9"/>
      <c r="O484" s="9"/>
      <c r="P484" s="9"/>
      <c r="Q484" s="9"/>
      <c r="R484" s="9"/>
      <c r="S484" s="9"/>
    </row>
    <row r="485" spans="5:19" ht="15.75" customHeight="1" x14ac:dyDescent="0.3">
      <c r="E485" s="9"/>
      <c r="F485" s="9"/>
      <c r="H485" s="9"/>
      <c r="M485" s="9"/>
      <c r="N485" s="9"/>
      <c r="O485" s="9"/>
      <c r="P485" s="9"/>
      <c r="Q485" s="9"/>
      <c r="R485" s="9"/>
      <c r="S485" s="9"/>
    </row>
    <row r="486" spans="5:19" ht="15.75" customHeight="1" x14ac:dyDescent="0.3">
      <c r="E486" s="9"/>
      <c r="F486" s="9"/>
      <c r="H486" s="9"/>
      <c r="M486" s="9"/>
      <c r="N486" s="9"/>
      <c r="O486" s="9"/>
      <c r="P486" s="9"/>
      <c r="Q486" s="9"/>
      <c r="R486" s="9"/>
      <c r="S486" s="9"/>
    </row>
    <row r="487" spans="5:19" ht="15.75" customHeight="1" x14ac:dyDescent="0.3">
      <c r="E487" s="9"/>
      <c r="F487" s="9"/>
      <c r="H487" s="9"/>
      <c r="M487" s="9"/>
      <c r="N487" s="9"/>
      <c r="O487" s="9"/>
      <c r="P487" s="9"/>
      <c r="Q487" s="9"/>
      <c r="R487" s="9"/>
      <c r="S487" s="9"/>
    </row>
    <row r="488" spans="5:19" ht="15.75" customHeight="1" x14ac:dyDescent="0.3">
      <c r="E488" s="9"/>
      <c r="F488" s="9"/>
      <c r="H488" s="9"/>
      <c r="M488" s="9"/>
      <c r="N488" s="9"/>
      <c r="O488" s="9"/>
      <c r="P488" s="9"/>
      <c r="Q488" s="9"/>
      <c r="R488" s="9"/>
      <c r="S488" s="9"/>
    </row>
    <row r="489" spans="5:19" ht="15.75" customHeight="1" x14ac:dyDescent="0.3">
      <c r="E489" s="9"/>
      <c r="F489" s="9"/>
      <c r="H489" s="9"/>
      <c r="M489" s="9"/>
      <c r="N489" s="9"/>
      <c r="O489" s="9"/>
      <c r="P489" s="9"/>
      <c r="Q489" s="9"/>
      <c r="R489" s="9"/>
      <c r="S489" s="9"/>
    </row>
    <row r="490" spans="5:19" ht="15.75" customHeight="1" x14ac:dyDescent="0.3">
      <c r="E490" s="9"/>
      <c r="F490" s="9"/>
      <c r="H490" s="9"/>
      <c r="M490" s="9"/>
      <c r="N490" s="9"/>
      <c r="O490" s="9"/>
      <c r="P490" s="9"/>
      <c r="Q490" s="9"/>
      <c r="R490" s="9"/>
      <c r="S490" s="9"/>
    </row>
    <row r="491" spans="5:19" ht="15.75" customHeight="1" x14ac:dyDescent="0.3">
      <c r="E491" s="9"/>
      <c r="F491" s="9"/>
      <c r="H491" s="9"/>
      <c r="M491" s="9"/>
      <c r="N491" s="9"/>
      <c r="O491" s="9"/>
      <c r="P491" s="9"/>
      <c r="Q491" s="9"/>
      <c r="R491" s="9"/>
      <c r="S491" s="9"/>
    </row>
    <row r="492" spans="5:19" ht="15.75" customHeight="1" x14ac:dyDescent="0.3">
      <c r="E492" s="9"/>
      <c r="F492" s="9"/>
      <c r="H492" s="9"/>
      <c r="M492" s="9"/>
      <c r="N492" s="9"/>
      <c r="O492" s="9"/>
      <c r="P492" s="9"/>
      <c r="Q492" s="9"/>
      <c r="R492" s="9"/>
      <c r="S492" s="9"/>
    </row>
    <row r="493" spans="5:19" ht="15.75" customHeight="1" x14ac:dyDescent="0.3">
      <c r="E493" s="9"/>
      <c r="F493" s="9"/>
      <c r="H493" s="9"/>
      <c r="M493" s="9"/>
      <c r="N493" s="9"/>
      <c r="O493" s="9"/>
      <c r="P493" s="9"/>
      <c r="Q493" s="9"/>
      <c r="R493" s="9"/>
      <c r="S493" s="9"/>
    </row>
    <row r="494" spans="5:19" ht="15.75" customHeight="1" x14ac:dyDescent="0.3">
      <c r="E494" s="9"/>
      <c r="F494" s="9"/>
      <c r="H494" s="9"/>
      <c r="M494" s="9"/>
      <c r="N494" s="9"/>
      <c r="O494" s="9"/>
      <c r="P494" s="9"/>
      <c r="Q494" s="9"/>
      <c r="R494" s="9"/>
      <c r="S494" s="9"/>
    </row>
    <row r="495" spans="5:19" ht="15.75" customHeight="1" x14ac:dyDescent="0.3">
      <c r="E495" s="9"/>
      <c r="F495" s="9"/>
      <c r="H495" s="9"/>
      <c r="M495" s="9"/>
      <c r="N495" s="9"/>
      <c r="O495" s="9"/>
      <c r="P495" s="9"/>
      <c r="Q495" s="9"/>
      <c r="R495" s="9"/>
      <c r="S495" s="9"/>
    </row>
    <row r="496" spans="5:19" ht="15.75" customHeight="1" x14ac:dyDescent="0.3">
      <c r="E496" s="9"/>
      <c r="F496" s="9"/>
      <c r="H496" s="9"/>
      <c r="M496" s="9"/>
      <c r="N496" s="9"/>
      <c r="O496" s="9"/>
      <c r="P496" s="9"/>
      <c r="Q496" s="9"/>
      <c r="R496" s="9"/>
      <c r="S496" s="9"/>
    </row>
    <row r="497" spans="5:19" ht="15.75" customHeight="1" x14ac:dyDescent="0.3">
      <c r="E497" s="9"/>
      <c r="F497" s="9"/>
      <c r="H497" s="9"/>
      <c r="M497" s="9"/>
      <c r="N497" s="9"/>
      <c r="O497" s="9"/>
      <c r="P497" s="9"/>
      <c r="Q497" s="9"/>
      <c r="R497" s="9"/>
      <c r="S497" s="9"/>
    </row>
    <row r="498" spans="5:19" ht="15.75" customHeight="1" x14ac:dyDescent="0.3">
      <c r="E498" s="9"/>
      <c r="F498" s="9"/>
      <c r="H498" s="9"/>
      <c r="M498" s="9"/>
      <c r="N498" s="9"/>
      <c r="O498" s="9"/>
      <c r="P498" s="9"/>
      <c r="Q498" s="9"/>
      <c r="R498" s="9"/>
      <c r="S498" s="9"/>
    </row>
    <row r="499" spans="5:19" ht="15.75" customHeight="1" x14ac:dyDescent="0.3">
      <c r="E499" s="9"/>
      <c r="F499" s="9"/>
      <c r="H499" s="9"/>
      <c r="M499" s="9"/>
      <c r="N499" s="9"/>
      <c r="O499" s="9"/>
      <c r="P499" s="9"/>
      <c r="Q499" s="9"/>
      <c r="R499" s="9"/>
      <c r="S499" s="9"/>
    </row>
    <row r="500" spans="5:19" ht="15.75" customHeight="1" x14ac:dyDescent="0.3">
      <c r="E500" s="9"/>
      <c r="F500" s="9"/>
      <c r="H500" s="9"/>
      <c r="M500" s="9"/>
      <c r="N500" s="9"/>
      <c r="O500" s="9"/>
      <c r="P500" s="9"/>
      <c r="Q500" s="9"/>
      <c r="R500" s="9"/>
      <c r="S500" s="9"/>
    </row>
    <row r="501" spans="5:19" ht="15.75" customHeight="1" x14ac:dyDescent="0.3">
      <c r="E501" s="9"/>
      <c r="F501" s="9"/>
      <c r="H501" s="9"/>
      <c r="M501" s="9"/>
      <c r="N501" s="9"/>
      <c r="O501" s="9"/>
      <c r="P501" s="9"/>
      <c r="Q501" s="9"/>
      <c r="R501" s="9"/>
      <c r="S501" s="9"/>
    </row>
    <row r="502" spans="5:19" ht="15.75" customHeight="1" x14ac:dyDescent="0.3">
      <c r="E502" s="9"/>
      <c r="F502" s="9"/>
      <c r="H502" s="9"/>
      <c r="M502" s="9"/>
      <c r="N502" s="9"/>
      <c r="O502" s="9"/>
      <c r="P502" s="9"/>
      <c r="Q502" s="9"/>
      <c r="R502" s="9"/>
      <c r="S502" s="9"/>
    </row>
    <row r="503" spans="5:19" ht="15.75" customHeight="1" x14ac:dyDescent="0.3">
      <c r="E503" s="9"/>
      <c r="F503" s="9"/>
      <c r="H503" s="9"/>
      <c r="M503" s="9"/>
      <c r="N503" s="9"/>
      <c r="O503" s="9"/>
      <c r="P503" s="9"/>
      <c r="Q503" s="9"/>
      <c r="R503" s="9"/>
      <c r="S503" s="9"/>
    </row>
    <row r="504" spans="5:19" ht="15.75" customHeight="1" x14ac:dyDescent="0.3">
      <c r="E504" s="9"/>
      <c r="F504" s="9"/>
      <c r="H504" s="9"/>
      <c r="M504" s="9"/>
      <c r="N504" s="9"/>
      <c r="O504" s="9"/>
      <c r="P504" s="9"/>
      <c r="Q504" s="9"/>
      <c r="R504" s="9"/>
      <c r="S504" s="9"/>
    </row>
    <row r="505" spans="5:19" ht="15.75" customHeight="1" x14ac:dyDescent="0.3">
      <c r="E505" s="9"/>
      <c r="F505" s="9"/>
      <c r="H505" s="9"/>
      <c r="M505" s="9"/>
      <c r="N505" s="9"/>
      <c r="O505" s="9"/>
      <c r="P505" s="9"/>
      <c r="Q505" s="9"/>
      <c r="R505" s="9"/>
      <c r="S505" s="9"/>
    </row>
    <row r="506" spans="5:19" ht="15.75" customHeight="1" x14ac:dyDescent="0.3">
      <c r="E506" s="9"/>
      <c r="F506" s="9"/>
      <c r="H506" s="9"/>
      <c r="M506" s="9"/>
      <c r="N506" s="9"/>
      <c r="O506" s="9"/>
      <c r="P506" s="9"/>
      <c r="Q506" s="9"/>
      <c r="R506" s="9"/>
      <c r="S506" s="9"/>
    </row>
    <row r="507" spans="5:19" ht="15.75" customHeight="1" x14ac:dyDescent="0.3">
      <c r="E507" s="9"/>
      <c r="F507" s="9"/>
      <c r="H507" s="9"/>
      <c r="M507" s="9"/>
      <c r="N507" s="9"/>
      <c r="O507" s="9"/>
      <c r="P507" s="9"/>
      <c r="Q507" s="9"/>
      <c r="R507" s="9"/>
      <c r="S507" s="9"/>
    </row>
    <row r="508" spans="5:19" ht="15.75" customHeight="1" x14ac:dyDescent="0.3">
      <c r="E508" s="9"/>
      <c r="F508" s="9"/>
      <c r="H508" s="9"/>
      <c r="M508" s="9"/>
      <c r="N508" s="9"/>
      <c r="O508" s="9"/>
      <c r="P508" s="9"/>
      <c r="Q508" s="9"/>
      <c r="R508" s="9"/>
      <c r="S508" s="9"/>
    </row>
    <row r="509" spans="5:19" ht="15.75" customHeight="1" x14ac:dyDescent="0.3">
      <c r="E509" s="9"/>
      <c r="F509" s="9"/>
      <c r="H509" s="9"/>
      <c r="M509" s="9"/>
      <c r="N509" s="9"/>
      <c r="O509" s="9"/>
      <c r="P509" s="9"/>
      <c r="Q509" s="9"/>
      <c r="R509" s="9"/>
      <c r="S509" s="9"/>
    </row>
    <row r="510" spans="5:19" ht="15.75" customHeight="1" x14ac:dyDescent="0.3">
      <c r="E510" s="9"/>
      <c r="F510" s="9"/>
      <c r="H510" s="9"/>
      <c r="M510" s="9"/>
      <c r="N510" s="9"/>
      <c r="O510" s="9"/>
      <c r="P510" s="9"/>
      <c r="Q510" s="9"/>
      <c r="R510" s="9"/>
      <c r="S510" s="9"/>
    </row>
    <row r="511" spans="5:19" ht="15.75" customHeight="1" x14ac:dyDescent="0.3">
      <c r="E511" s="9"/>
      <c r="F511" s="9"/>
      <c r="H511" s="9"/>
      <c r="M511" s="9"/>
      <c r="N511" s="9"/>
      <c r="O511" s="9"/>
      <c r="P511" s="9"/>
      <c r="Q511" s="9"/>
      <c r="R511" s="9"/>
      <c r="S511" s="9"/>
    </row>
    <row r="512" spans="5:19" ht="15.75" customHeight="1" x14ac:dyDescent="0.3">
      <c r="E512" s="9"/>
      <c r="F512" s="9"/>
      <c r="H512" s="9"/>
      <c r="M512" s="9"/>
      <c r="N512" s="9"/>
      <c r="O512" s="9"/>
      <c r="P512" s="9"/>
      <c r="Q512" s="9"/>
      <c r="R512" s="9"/>
      <c r="S512" s="9"/>
    </row>
    <row r="513" spans="5:19" ht="15.75" customHeight="1" x14ac:dyDescent="0.3">
      <c r="E513" s="9"/>
      <c r="F513" s="9"/>
      <c r="H513" s="9"/>
      <c r="M513" s="9"/>
      <c r="N513" s="9"/>
      <c r="O513" s="9"/>
      <c r="P513" s="9"/>
      <c r="Q513" s="9"/>
      <c r="R513" s="9"/>
      <c r="S513" s="9"/>
    </row>
    <row r="514" spans="5:19" ht="15.75" customHeight="1" x14ac:dyDescent="0.3">
      <c r="E514" s="9"/>
      <c r="F514" s="9"/>
      <c r="H514" s="9"/>
      <c r="M514" s="9"/>
      <c r="N514" s="9"/>
      <c r="O514" s="9"/>
      <c r="P514" s="9"/>
      <c r="Q514" s="9"/>
      <c r="R514" s="9"/>
      <c r="S514" s="9"/>
    </row>
    <row r="515" spans="5:19" ht="15.75" customHeight="1" x14ac:dyDescent="0.3">
      <c r="E515" s="9"/>
      <c r="F515" s="9"/>
      <c r="H515" s="9"/>
      <c r="M515" s="9"/>
      <c r="N515" s="9"/>
      <c r="O515" s="9"/>
      <c r="P515" s="9"/>
      <c r="Q515" s="9"/>
      <c r="R515" s="9"/>
      <c r="S515" s="9"/>
    </row>
    <row r="516" spans="5:19" ht="15.75" customHeight="1" x14ac:dyDescent="0.3">
      <c r="E516" s="9"/>
      <c r="F516" s="9"/>
      <c r="H516" s="9"/>
      <c r="M516" s="9"/>
      <c r="N516" s="9"/>
      <c r="O516" s="9"/>
      <c r="P516" s="9"/>
      <c r="Q516" s="9"/>
      <c r="R516" s="9"/>
      <c r="S516" s="9"/>
    </row>
    <row r="517" spans="5:19" ht="15.75" customHeight="1" x14ac:dyDescent="0.3">
      <c r="E517" s="9"/>
      <c r="F517" s="9"/>
      <c r="H517" s="9"/>
      <c r="M517" s="9"/>
      <c r="N517" s="9"/>
      <c r="O517" s="9"/>
      <c r="P517" s="9"/>
      <c r="Q517" s="9"/>
      <c r="R517" s="9"/>
      <c r="S517" s="9"/>
    </row>
    <row r="518" spans="5:19" ht="15.75" customHeight="1" x14ac:dyDescent="0.3">
      <c r="E518" s="9"/>
      <c r="F518" s="9"/>
      <c r="H518" s="9"/>
      <c r="M518" s="9"/>
      <c r="N518" s="9"/>
      <c r="O518" s="9"/>
      <c r="P518" s="9"/>
      <c r="Q518" s="9"/>
      <c r="R518" s="9"/>
      <c r="S518" s="9"/>
    </row>
    <row r="519" spans="5:19" ht="15.75" customHeight="1" x14ac:dyDescent="0.3">
      <c r="E519" s="9"/>
      <c r="F519" s="9"/>
      <c r="H519" s="9"/>
      <c r="M519" s="9"/>
      <c r="N519" s="9"/>
      <c r="O519" s="9"/>
      <c r="P519" s="9"/>
      <c r="Q519" s="9"/>
      <c r="R519" s="9"/>
      <c r="S519" s="9"/>
    </row>
    <row r="520" spans="5:19" ht="15.75" customHeight="1" x14ac:dyDescent="0.3">
      <c r="E520" s="9"/>
      <c r="F520" s="9"/>
      <c r="H520" s="9"/>
      <c r="M520" s="9"/>
      <c r="N520" s="9"/>
      <c r="O520" s="9"/>
      <c r="P520" s="9"/>
      <c r="Q520" s="9"/>
      <c r="R520" s="9"/>
      <c r="S520" s="9"/>
    </row>
    <row r="521" spans="5:19" ht="15.75" customHeight="1" x14ac:dyDescent="0.3">
      <c r="E521" s="9"/>
      <c r="F521" s="9"/>
      <c r="H521" s="9"/>
      <c r="M521" s="9"/>
      <c r="N521" s="9"/>
      <c r="O521" s="9"/>
      <c r="P521" s="9"/>
      <c r="Q521" s="9"/>
      <c r="R521" s="9"/>
      <c r="S521" s="9"/>
    </row>
    <row r="522" spans="5:19" ht="15.75" customHeight="1" x14ac:dyDescent="0.3">
      <c r="E522" s="9"/>
      <c r="F522" s="9"/>
      <c r="H522" s="9"/>
      <c r="M522" s="9"/>
      <c r="N522" s="9"/>
      <c r="O522" s="9"/>
      <c r="P522" s="9"/>
      <c r="Q522" s="9"/>
      <c r="R522" s="9"/>
      <c r="S522" s="9"/>
    </row>
    <row r="523" spans="5:19" ht="15.75" customHeight="1" x14ac:dyDescent="0.3">
      <c r="E523" s="9"/>
      <c r="F523" s="9"/>
      <c r="H523" s="9"/>
      <c r="M523" s="9"/>
      <c r="N523" s="9"/>
      <c r="O523" s="9"/>
      <c r="P523" s="9"/>
      <c r="Q523" s="9"/>
      <c r="R523" s="9"/>
      <c r="S523" s="9"/>
    </row>
    <row r="524" spans="5:19" ht="15.75" customHeight="1" x14ac:dyDescent="0.3">
      <c r="E524" s="9"/>
      <c r="F524" s="9"/>
      <c r="H524" s="9"/>
      <c r="M524" s="9"/>
      <c r="N524" s="9"/>
      <c r="O524" s="9"/>
      <c r="P524" s="9"/>
      <c r="Q524" s="9"/>
      <c r="R524" s="9"/>
      <c r="S524" s="9"/>
    </row>
    <row r="525" spans="5:19" ht="15.75" customHeight="1" x14ac:dyDescent="0.3">
      <c r="E525" s="9"/>
      <c r="F525" s="9"/>
      <c r="H525" s="9"/>
      <c r="M525" s="9"/>
      <c r="N525" s="9"/>
      <c r="O525" s="9"/>
      <c r="P525" s="9"/>
      <c r="Q525" s="9"/>
      <c r="R525" s="9"/>
      <c r="S525" s="9"/>
    </row>
    <row r="526" spans="5:19" ht="15.75" customHeight="1" x14ac:dyDescent="0.3">
      <c r="E526" s="9"/>
      <c r="F526" s="9"/>
      <c r="H526" s="9"/>
      <c r="M526" s="9"/>
      <c r="N526" s="9"/>
      <c r="O526" s="9"/>
      <c r="P526" s="9"/>
      <c r="Q526" s="9"/>
      <c r="R526" s="9"/>
      <c r="S526" s="9"/>
    </row>
    <row r="527" spans="5:19" ht="15.75" customHeight="1" x14ac:dyDescent="0.3">
      <c r="E527" s="9"/>
      <c r="F527" s="9"/>
      <c r="H527" s="9"/>
      <c r="M527" s="9"/>
      <c r="N527" s="9"/>
      <c r="O527" s="9"/>
      <c r="P527" s="9"/>
      <c r="Q527" s="9"/>
      <c r="R527" s="9"/>
      <c r="S527" s="9"/>
    </row>
    <row r="528" spans="5:19" ht="15.75" customHeight="1" x14ac:dyDescent="0.3">
      <c r="E528" s="9"/>
      <c r="F528" s="9"/>
      <c r="H528" s="9"/>
      <c r="M528" s="9"/>
      <c r="N528" s="9"/>
      <c r="O528" s="9"/>
      <c r="P528" s="9"/>
      <c r="Q528" s="9"/>
      <c r="R528" s="9"/>
      <c r="S528" s="9"/>
    </row>
    <row r="529" spans="5:19" ht="15.75" customHeight="1" x14ac:dyDescent="0.3">
      <c r="E529" s="9"/>
      <c r="F529" s="9"/>
      <c r="H529" s="9"/>
      <c r="M529" s="9"/>
      <c r="N529" s="9"/>
      <c r="O529" s="9"/>
      <c r="P529" s="9"/>
      <c r="Q529" s="9"/>
      <c r="R529" s="9"/>
      <c r="S529" s="9"/>
    </row>
    <row r="530" spans="5:19" ht="15.75" customHeight="1" x14ac:dyDescent="0.3">
      <c r="E530" s="9"/>
      <c r="F530" s="9"/>
      <c r="H530" s="9"/>
      <c r="M530" s="9"/>
      <c r="N530" s="9"/>
      <c r="O530" s="9"/>
      <c r="P530" s="9"/>
      <c r="Q530" s="9"/>
      <c r="R530" s="9"/>
      <c r="S530" s="9"/>
    </row>
    <row r="531" spans="5:19" ht="15.75" customHeight="1" x14ac:dyDescent="0.3">
      <c r="E531" s="9"/>
      <c r="F531" s="9"/>
      <c r="H531" s="9"/>
      <c r="M531" s="9"/>
      <c r="N531" s="9"/>
      <c r="O531" s="9"/>
      <c r="P531" s="9"/>
      <c r="Q531" s="9"/>
      <c r="R531" s="9"/>
      <c r="S531" s="9"/>
    </row>
    <row r="532" spans="5:19" ht="15.75" customHeight="1" x14ac:dyDescent="0.3">
      <c r="E532" s="9"/>
      <c r="F532" s="9"/>
      <c r="H532" s="9"/>
      <c r="M532" s="9"/>
      <c r="N532" s="9"/>
      <c r="O532" s="9"/>
      <c r="P532" s="9"/>
      <c r="Q532" s="9"/>
      <c r="R532" s="9"/>
      <c r="S532" s="9"/>
    </row>
    <row r="533" spans="5:19" ht="15.75" customHeight="1" x14ac:dyDescent="0.3">
      <c r="E533" s="9"/>
      <c r="F533" s="9"/>
      <c r="H533" s="9"/>
      <c r="M533" s="9"/>
      <c r="N533" s="9"/>
      <c r="O533" s="9"/>
      <c r="P533" s="9"/>
      <c r="Q533" s="9"/>
      <c r="R533" s="9"/>
      <c r="S533" s="9"/>
    </row>
    <row r="534" spans="5:19" ht="15.75" customHeight="1" x14ac:dyDescent="0.3">
      <c r="E534" s="9"/>
      <c r="F534" s="9"/>
      <c r="H534" s="9"/>
      <c r="M534" s="9"/>
      <c r="N534" s="9"/>
      <c r="O534" s="9"/>
      <c r="P534" s="9"/>
      <c r="Q534" s="9"/>
      <c r="R534" s="9"/>
      <c r="S534" s="9"/>
    </row>
    <row r="535" spans="5:19" ht="15.75" customHeight="1" x14ac:dyDescent="0.3">
      <c r="E535" s="9"/>
      <c r="F535" s="9"/>
      <c r="H535" s="9"/>
      <c r="M535" s="9"/>
      <c r="N535" s="9"/>
      <c r="O535" s="9"/>
      <c r="P535" s="9"/>
      <c r="Q535" s="9"/>
      <c r="R535" s="9"/>
      <c r="S535" s="9"/>
    </row>
    <row r="536" spans="5:19" ht="15.75" customHeight="1" x14ac:dyDescent="0.3">
      <c r="E536" s="9"/>
      <c r="F536" s="9"/>
      <c r="H536" s="9"/>
      <c r="M536" s="9"/>
      <c r="N536" s="9"/>
      <c r="O536" s="9"/>
      <c r="P536" s="9"/>
      <c r="Q536" s="9"/>
      <c r="R536" s="9"/>
      <c r="S536" s="9"/>
    </row>
    <row r="537" spans="5:19" ht="15.75" customHeight="1" x14ac:dyDescent="0.3">
      <c r="E537" s="9"/>
      <c r="F537" s="9"/>
      <c r="H537" s="9"/>
      <c r="M537" s="9"/>
      <c r="N537" s="9"/>
      <c r="O537" s="9"/>
      <c r="P537" s="9"/>
      <c r="Q537" s="9"/>
      <c r="R537" s="9"/>
      <c r="S537" s="9"/>
    </row>
    <row r="538" spans="5:19" ht="15.75" customHeight="1" x14ac:dyDescent="0.3">
      <c r="E538" s="9"/>
      <c r="F538" s="9"/>
      <c r="H538" s="9"/>
      <c r="M538" s="9"/>
      <c r="N538" s="9"/>
      <c r="O538" s="9"/>
      <c r="P538" s="9"/>
      <c r="Q538" s="9"/>
      <c r="R538" s="9"/>
      <c r="S538" s="9"/>
    </row>
    <row r="539" spans="5:19" ht="15.75" customHeight="1" x14ac:dyDescent="0.3">
      <c r="E539" s="9"/>
      <c r="F539" s="9"/>
      <c r="H539" s="9"/>
      <c r="M539" s="9"/>
      <c r="N539" s="9"/>
      <c r="O539" s="9"/>
      <c r="P539" s="9"/>
      <c r="Q539" s="9"/>
      <c r="R539" s="9"/>
      <c r="S539" s="9"/>
    </row>
    <row r="540" spans="5:19" ht="15.75" customHeight="1" x14ac:dyDescent="0.3">
      <c r="E540" s="9"/>
      <c r="F540" s="9"/>
      <c r="H540" s="9"/>
      <c r="M540" s="9"/>
      <c r="N540" s="9"/>
      <c r="O540" s="9"/>
      <c r="P540" s="9"/>
      <c r="Q540" s="9"/>
      <c r="R540" s="9"/>
      <c r="S540" s="9"/>
    </row>
    <row r="541" spans="5:19" ht="15.75" customHeight="1" x14ac:dyDescent="0.3">
      <c r="E541" s="9"/>
      <c r="F541" s="9"/>
      <c r="H541" s="9"/>
      <c r="M541" s="9"/>
      <c r="N541" s="9"/>
      <c r="O541" s="9"/>
      <c r="P541" s="9"/>
      <c r="Q541" s="9"/>
      <c r="R541" s="9"/>
      <c r="S541" s="9"/>
    </row>
    <row r="542" spans="5:19" ht="15.75" customHeight="1" x14ac:dyDescent="0.3">
      <c r="E542" s="9"/>
      <c r="F542" s="9"/>
      <c r="H542" s="9"/>
      <c r="M542" s="9"/>
      <c r="N542" s="9"/>
      <c r="O542" s="9"/>
      <c r="P542" s="9"/>
      <c r="Q542" s="9"/>
      <c r="R542" s="9"/>
      <c r="S542" s="9"/>
    </row>
    <row r="543" spans="5:19" ht="15.75" customHeight="1" x14ac:dyDescent="0.3">
      <c r="E543" s="9"/>
      <c r="F543" s="9"/>
      <c r="H543" s="9"/>
      <c r="M543" s="9"/>
      <c r="N543" s="9"/>
      <c r="O543" s="9"/>
      <c r="P543" s="9"/>
      <c r="Q543" s="9"/>
      <c r="R543" s="9"/>
      <c r="S543" s="9"/>
    </row>
    <row r="544" spans="5:19" ht="15.75" customHeight="1" x14ac:dyDescent="0.3">
      <c r="E544" s="9"/>
      <c r="F544" s="9"/>
      <c r="H544" s="9"/>
      <c r="M544" s="9"/>
      <c r="N544" s="9"/>
      <c r="O544" s="9"/>
      <c r="P544" s="9"/>
      <c r="Q544" s="9"/>
      <c r="R544" s="9"/>
      <c r="S544" s="9"/>
    </row>
    <row r="545" spans="5:19" ht="15.75" customHeight="1" x14ac:dyDescent="0.3">
      <c r="E545" s="9"/>
      <c r="F545" s="9"/>
      <c r="H545" s="9"/>
      <c r="M545" s="9"/>
      <c r="N545" s="9"/>
      <c r="O545" s="9"/>
      <c r="P545" s="9"/>
      <c r="Q545" s="9"/>
      <c r="R545" s="9"/>
      <c r="S545" s="9"/>
    </row>
    <row r="546" spans="5:19" ht="15.75" customHeight="1" x14ac:dyDescent="0.3">
      <c r="E546" s="9"/>
      <c r="F546" s="9"/>
      <c r="H546" s="9"/>
      <c r="M546" s="9"/>
      <c r="N546" s="9"/>
      <c r="O546" s="9"/>
      <c r="P546" s="9"/>
      <c r="Q546" s="9"/>
      <c r="R546" s="9"/>
      <c r="S546" s="9"/>
    </row>
    <row r="547" spans="5:19" ht="15.75" customHeight="1" x14ac:dyDescent="0.3">
      <c r="E547" s="9"/>
      <c r="F547" s="9"/>
      <c r="H547" s="9"/>
      <c r="M547" s="9"/>
      <c r="N547" s="9"/>
      <c r="O547" s="9"/>
      <c r="P547" s="9"/>
      <c r="Q547" s="9"/>
      <c r="R547" s="9"/>
      <c r="S547" s="9"/>
    </row>
    <row r="548" spans="5:19" ht="15.75" customHeight="1" x14ac:dyDescent="0.3">
      <c r="E548" s="9"/>
      <c r="F548" s="9"/>
      <c r="H548" s="9"/>
      <c r="M548" s="9"/>
      <c r="N548" s="9"/>
      <c r="O548" s="9"/>
      <c r="P548" s="9"/>
      <c r="Q548" s="9"/>
      <c r="R548" s="9"/>
      <c r="S548" s="9"/>
    </row>
    <row r="549" spans="5:19" ht="15.75" customHeight="1" x14ac:dyDescent="0.3">
      <c r="E549" s="9"/>
      <c r="F549" s="9"/>
      <c r="H549" s="9"/>
      <c r="M549" s="9"/>
      <c r="N549" s="9"/>
      <c r="O549" s="9"/>
      <c r="P549" s="9"/>
      <c r="Q549" s="9"/>
      <c r="R549" s="9"/>
      <c r="S549" s="9"/>
    </row>
    <row r="550" spans="5:19" ht="15.75" customHeight="1" x14ac:dyDescent="0.3">
      <c r="E550" s="9"/>
      <c r="F550" s="9"/>
      <c r="H550" s="9"/>
      <c r="M550" s="9"/>
      <c r="N550" s="9"/>
      <c r="O550" s="9"/>
      <c r="P550" s="9"/>
      <c r="Q550" s="9"/>
      <c r="R550" s="9"/>
      <c r="S550" s="9"/>
    </row>
    <row r="551" spans="5:19" ht="15.75" customHeight="1" x14ac:dyDescent="0.3">
      <c r="E551" s="9"/>
      <c r="F551" s="9"/>
      <c r="H551" s="9"/>
      <c r="M551" s="9"/>
      <c r="N551" s="9"/>
      <c r="O551" s="9"/>
      <c r="P551" s="9"/>
      <c r="Q551" s="9"/>
      <c r="R551" s="9"/>
      <c r="S551" s="9"/>
    </row>
    <row r="552" spans="5:19" ht="15.75" customHeight="1" x14ac:dyDescent="0.3">
      <c r="E552" s="9"/>
      <c r="F552" s="9"/>
      <c r="H552" s="9"/>
      <c r="M552" s="9"/>
      <c r="N552" s="9"/>
      <c r="O552" s="9"/>
      <c r="P552" s="9"/>
      <c r="Q552" s="9"/>
      <c r="R552" s="9"/>
      <c r="S552" s="9"/>
    </row>
    <row r="553" spans="5:19" ht="15.75" customHeight="1" x14ac:dyDescent="0.3">
      <c r="E553" s="9"/>
      <c r="F553" s="9"/>
      <c r="H553" s="9"/>
      <c r="M553" s="9"/>
      <c r="N553" s="9"/>
      <c r="O553" s="9"/>
      <c r="P553" s="9"/>
      <c r="Q553" s="9"/>
      <c r="R553" s="9"/>
      <c r="S553" s="9"/>
    </row>
    <row r="554" spans="5:19" ht="15.75" customHeight="1" x14ac:dyDescent="0.3">
      <c r="E554" s="9"/>
      <c r="F554" s="9"/>
      <c r="H554" s="9"/>
      <c r="M554" s="9"/>
      <c r="N554" s="9"/>
      <c r="O554" s="9"/>
      <c r="P554" s="9"/>
      <c r="Q554" s="9"/>
      <c r="R554" s="9"/>
      <c r="S554" s="9"/>
    </row>
    <row r="555" spans="5:19" ht="15.75" customHeight="1" x14ac:dyDescent="0.3">
      <c r="E555" s="9"/>
      <c r="F555" s="9"/>
      <c r="H555" s="9"/>
      <c r="M555" s="9"/>
      <c r="N555" s="9"/>
      <c r="O555" s="9"/>
      <c r="P555" s="9"/>
      <c r="Q555" s="9"/>
      <c r="R555" s="9"/>
      <c r="S555" s="9"/>
    </row>
    <row r="556" spans="5:19" ht="15.75" customHeight="1" x14ac:dyDescent="0.3">
      <c r="E556" s="9"/>
      <c r="F556" s="9"/>
      <c r="H556" s="9"/>
      <c r="M556" s="9"/>
      <c r="N556" s="9"/>
      <c r="O556" s="9"/>
      <c r="P556" s="9"/>
      <c r="Q556" s="9"/>
      <c r="R556" s="9"/>
      <c r="S556" s="9"/>
    </row>
    <row r="557" spans="5:19" ht="15.75" customHeight="1" x14ac:dyDescent="0.3">
      <c r="E557" s="9"/>
      <c r="F557" s="9"/>
      <c r="H557" s="9"/>
      <c r="M557" s="9"/>
      <c r="N557" s="9"/>
      <c r="O557" s="9"/>
      <c r="P557" s="9"/>
      <c r="Q557" s="9"/>
      <c r="R557" s="9"/>
      <c r="S557" s="9"/>
    </row>
    <row r="558" spans="5:19" ht="15.75" customHeight="1" x14ac:dyDescent="0.3">
      <c r="E558" s="9"/>
      <c r="F558" s="9"/>
      <c r="H558" s="9"/>
      <c r="M558" s="9"/>
      <c r="N558" s="9"/>
      <c r="O558" s="9"/>
      <c r="P558" s="9"/>
      <c r="Q558" s="9"/>
      <c r="R558" s="9"/>
      <c r="S558" s="9"/>
    </row>
    <row r="559" spans="5:19" ht="15.75" customHeight="1" x14ac:dyDescent="0.3">
      <c r="E559" s="9"/>
      <c r="F559" s="9"/>
      <c r="H559" s="9"/>
      <c r="M559" s="9"/>
      <c r="N559" s="9"/>
      <c r="O559" s="9"/>
      <c r="P559" s="9"/>
      <c r="Q559" s="9"/>
      <c r="R559" s="9"/>
      <c r="S559" s="9"/>
    </row>
    <row r="560" spans="5:19" ht="15.75" customHeight="1" x14ac:dyDescent="0.3">
      <c r="E560" s="9"/>
      <c r="F560" s="9"/>
      <c r="H560" s="9"/>
      <c r="M560" s="9"/>
      <c r="N560" s="9"/>
      <c r="O560" s="9"/>
      <c r="P560" s="9"/>
      <c r="Q560" s="9"/>
      <c r="R560" s="9"/>
      <c r="S560" s="9"/>
    </row>
    <row r="561" spans="5:19" ht="15.75" customHeight="1" x14ac:dyDescent="0.3">
      <c r="E561" s="9"/>
      <c r="F561" s="9"/>
      <c r="H561" s="9"/>
      <c r="M561" s="9"/>
      <c r="N561" s="9"/>
      <c r="O561" s="9"/>
      <c r="P561" s="9"/>
      <c r="Q561" s="9"/>
      <c r="R561" s="9"/>
      <c r="S561" s="9"/>
    </row>
    <row r="562" spans="5:19" ht="15.75" customHeight="1" x14ac:dyDescent="0.3">
      <c r="E562" s="9"/>
      <c r="F562" s="9"/>
      <c r="H562" s="9"/>
      <c r="M562" s="9"/>
      <c r="N562" s="9"/>
      <c r="O562" s="9"/>
      <c r="P562" s="9"/>
      <c r="Q562" s="9"/>
      <c r="R562" s="9"/>
      <c r="S562" s="9"/>
    </row>
    <row r="563" spans="5:19" ht="15.75" customHeight="1" x14ac:dyDescent="0.3">
      <c r="E563" s="9"/>
      <c r="F563" s="9"/>
      <c r="H563" s="9"/>
      <c r="M563" s="9"/>
      <c r="N563" s="9"/>
      <c r="O563" s="9"/>
      <c r="P563" s="9"/>
      <c r="Q563" s="9"/>
      <c r="R563" s="9"/>
      <c r="S563" s="9"/>
    </row>
    <row r="564" spans="5:19" ht="15.75" customHeight="1" x14ac:dyDescent="0.3">
      <c r="E564" s="9"/>
      <c r="F564" s="9"/>
      <c r="H564" s="9"/>
      <c r="M564" s="9"/>
      <c r="N564" s="9"/>
      <c r="O564" s="9"/>
      <c r="P564" s="9"/>
      <c r="Q564" s="9"/>
      <c r="R564" s="9"/>
      <c r="S564" s="9"/>
    </row>
    <row r="565" spans="5:19" ht="15.75" customHeight="1" x14ac:dyDescent="0.3">
      <c r="E565" s="9"/>
      <c r="F565" s="9"/>
      <c r="H565" s="9"/>
      <c r="M565" s="9"/>
      <c r="N565" s="9"/>
      <c r="O565" s="9"/>
      <c r="P565" s="9"/>
      <c r="Q565" s="9"/>
      <c r="R565" s="9"/>
      <c r="S565" s="9"/>
    </row>
    <row r="566" spans="5:19" ht="15.75" customHeight="1" x14ac:dyDescent="0.3">
      <c r="E566" s="9"/>
      <c r="F566" s="9"/>
      <c r="H566" s="9"/>
      <c r="M566" s="9"/>
      <c r="N566" s="9"/>
      <c r="O566" s="9"/>
      <c r="P566" s="9"/>
      <c r="Q566" s="9"/>
      <c r="R566" s="9"/>
      <c r="S566" s="9"/>
    </row>
    <row r="567" spans="5:19" ht="15.75" customHeight="1" x14ac:dyDescent="0.3">
      <c r="E567" s="9"/>
      <c r="F567" s="9"/>
      <c r="H567" s="9"/>
      <c r="M567" s="9"/>
      <c r="N567" s="9"/>
      <c r="O567" s="9"/>
      <c r="P567" s="9"/>
      <c r="Q567" s="9"/>
      <c r="R567" s="9"/>
      <c r="S567" s="9"/>
    </row>
    <row r="568" spans="5:19" ht="15.75" customHeight="1" x14ac:dyDescent="0.3">
      <c r="E568" s="9"/>
      <c r="F568" s="9"/>
      <c r="H568" s="9"/>
      <c r="M568" s="9"/>
      <c r="N568" s="9"/>
      <c r="O568" s="9"/>
      <c r="P568" s="9"/>
      <c r="Q568" s="9"/>
      <c r="R568" s="9"/>
      <c r="S568" s="9"/>
    </row>
    <row r="569" spans="5:19" ht="15.75" customHeight="1" x14ac:dyDescent="0.3">
      <c r="E569" s="9"/>
      <c r="F569" s="9"/>
      <c r="H569" s="9"/>
      <c r="M569" s="9"/>
      <c r="N569" s="9"/>
      <c r="O569" s="9"/>
      <c r="P569" s="9"/>
      <c r="Q569" s="9"/>
      <c r="R569" s="9"/>
      <c r="S569" s="9"/>
    </row>
    <row r="570" spans="5:19" ht="15.75" customHeight="1" x14ac:dyDescent="0.3">
      <c r="E570" s="9"/>
      <c r="F570" s="9"/>
      <c r="H570" s="9"/>
      <c r="M570" s="9"/>
      <c r="N570" s="9"/>
      <c r="O570" s="9"/>
      <c r="P570" s="9"/>
      <c r="Q570" s="9"/>
      <c r="R570" s="9"/>
      <c r="S570" s="9"/>
    </row>
    <row r="571" spans="5:19" ht="15.75" customHeight="1" x14ac:dyDescent="0.3">
      <c r="E571" s="9"/>
      <c r="F571" s="9"/>
      <c r="H571" s="9"/>
      <c r="M571" s="9"/>
      <c r="N571" s="9"/>
      <c r="O571" s="9"/>
      <c r="P571" s="9"/>
      <c r="Q571" s="9"/>
      <c r="R571" s="9"/>
      <c r="S571" s="9"/>
    </row>
    <row r="572" spans="5:19" ht="15.75" customHeight="1" x14ac:dyDescent="0.3">
      <c r="E572" s="9"/>
      <c r="F572" s="9"/>
      <c r="H572" s="9"/>
      <c r="M572" s="9"/>
      <c r="N572" s="9"/>
      <c r="O572" s="9"/>
      <c r="P572" s="9"/>
      <c r="Q572" s="9"/>
      <c r="R572" s="9"/>
      <c r="S572" s="9"/>
    </row>
    <row r="573" spans="5:19" ht="15.75" customHeight="1" x14ac:dyDescent="0.3">
      <c r="E573" s="9"/>
      <c r="F573" s="9"/>
      <c r="H573" s="9"/>
      <c r="M573" s="9"/>
      <c r="N573" s="9"/>
      <c r="O573" s="9"/>
      <c r="P573" s="9"/>
      <c r="Q573" s="9"/>
      <c r="R573" s="9"/>
      <c r="S573" s="9"/>
    </row>
    <row r="574" spans="5:19" ht="15.75" customHeight="1" x14ac:dyDescent="0.3">
      <c r="E574" s="9"/>
      <c r="F574" s="9"/>
      <c r="H574" s="9"/>
      <c r="M574" s="9"/>
      <c r="N574" s="9"/>
      <c r="O574" s="9"/>
      <c r="P574" s="9"/>
      <c r="Q574" s="9"/>
      <c r="R574" s="9"/>
      <c r="S574" s="9"/>
    </row>
    <row r="575" spans="5:19" ht="15.75" customHeight="1" x14ac:dyDescent="0.3">
      <c r="E575" s="9"/>
      <c r="F575" s="9"/>
      <c r="H575" s="9"/>
      <c r="M575" s="9"/>
      <c r="N575" s="9"/>
      <c r="O575" s="9"/>
      <c r="P575" s="9"/>
      <c r="Q575" s="9"/>
      <c r="R575" s="9"/>
      <c r="S575" s="9"/>
    </row>
    <row r="576" spans="5:19" ht="15.75" customHeight="1" x14ac:dyDescent="0.3">
      <c r="E576" s="9"/>
      <c r="F576" s="9"/>
      <c r="H576" s="9"/>
      <c r="M576" s="9"/>
      <c r="N576" s="9"/>
      <c r="O576" s="9"/>
      <c r="P576" s="9"/>
      <c r="Q576" s="9"/>
      <c r="R576" s="9"/>
      <c r="S576" s="9"/>
    </row>
    <row r="577" spans="5:19" ht="15.75" customHeight="1" x14ac:dyDescent="0.3">
      <c r="E577" s="9"/>
      <c r="F577" s="9"/>
      <c r="H577" s="9"/>
      <c r="M577" s="9"/>
      <c r="N577" s="9"/>
      <c r="O577" s="9"/>
      <c r="P577" s="9"/>
      <c r="Q577" s="9"/>
      <c r="R577" s="9"/>
      <c r="S577" s="9"/>
    </row>
    <row r="578" spans="5:19" ht="15.75" customHeight="1" x14ac:dyDescent="0.3">
      <c r="E578" s="9"/>
      <c r="F578" s="9"/>
      <c r="H578" s="9"/>
      <c r="M578" s="9"/>
      <c r="N578" s="9"/>
      <c r="O578" s="9"/>
      <c r="P578" s="9"/>
      <c r="Q578" s="9"/>
      <c r="R578" s="9"/>
      <c r="S578" s="9"/>
    </row>
    <row r="579" spans="5:19" ht="15.75" customHeight="1" x14ac:dyDescent="0.3">
      <c r="E579" s="9"/>
      <c r="F579" s="9"/>
      <c r="H579" s="9"/>
      <c r="M579" s="9"/>
      <c r="N579" s="9"/>
      <c r="O579" s="9"/>
      <c r="P579" s="9"/>
      <c r="Q579" s="9"/>
      <c r="R579" s="9"/>
      <c r="S579" s="9"/>
    </row>
    <row r="580" spans="5:19" ht="15.75" customHeight="1" x14ac:dyDescent="0.3">
      <c r="E580" s="9"/>
      <c r="F580" s="9"/>
      <c r="H580" s="9"/>
      <c r="M580" s="9"/>
      <c r="N580" s="9"/>
      <c r="O580" s="9"/>
      <c r="P580" s="9"/>
      <c r="Q580" s="9"/>
      <c r="R580" s="9"/>
      <c r="S580" s="9"/>
    </row>
    <row r="581" spans="5:19" ht="15.75" customHeight="1" x14ac:dyDescent="0.3">
      <c r="E581" s="9"/>
      <c r="F581" s="9"/>
      <c r="H581" s="9"/>
      <c r="M581" s="9"/>
      <c r="N581" s="9"/>
      <c r="O581" s="9"/>
      <c r="P581" s="9"/>
      <c r="Q581" s="9"/>
      <c r="R581" s="9"/>
      <c r="S581" s="9"/>
    </row>
    <row r="582" spans="5:19" ht="15.75" customHeight="1" x14ac:dyDescent="0.3">
      <c r="E582" s="9"/>
      <c r="F582" s="9"/>
      <c r="H582" s="9"/>
      <c r="M582" s="9"/>
      <c r="N582" s="9"/>
      <c r="O582" s="9"/>
      <c r="P582" s="9"/>
      <c r="Q582" s="9"/>
      <c r="R582" s="9"/>
      <c r="S582" s="9"/>
    </row>
    <row r="583" spans="5:19" ht="15.75" customHeight="1" x14ac:dyDescent="0.3">
      <c r="E583" s="9"/>
      <c r="F583" s="9"/>
      <c r="H583" s="9"/>
      <c r="M583" s="9"/>
      <c r="N583" s="9"/>
      <c r="O583" s="9"/>
      <c r="P583" s="9"/>
      <c r="Q583" s="9"/>
      <c r="R583" s="9"/>
      <c r="S583" s="9"/>
    </row>
    <row r="584" spans="5:19" ht="15.75" customHeight="1" x14ac:dyDescent="0.3">
      <c r="E584" s="9"/>
      <c r="F584" s="9"/>
      <c r="H584" s="9"/>
      <c r="M584" s="9"/>
      <c r="N584" s="9"/>
      <c r="O584" s="9"/>
      <c r="P584" s="9"/>
      <c r="Q584" s="9"/>
      <c r="R584" s="9"/>
      <c r="S584" s="9"/>
    </row>
    <row r="585" spans="5:19" ht="15.75" customHeight="1" x14ac:dyDescent="0.3">
      <c r="E585" s="9"/>
      <c r="F585" s="9"/>
      <c r="H585" s="9"/>
      <c r="M585" s="9"/>
      <c r="N585" s="9"/>
      <c r="O585" s="9"/>
      <c r="P585" s="9"/>
      <c r="Q585" s="9"/>
      <c r="R585" s="9"/>
      <c r="S585" s="9"/>
    </row>
    <row r="586" spans="5:19" ht="15.75" customHeight="1" x14ac:dyDescent="0.3">
      <c r="E586" s="9"/>
      <c r="F586" s="9"/>
      <c r="H586" s="9"/>
      <c r="M586" s="9"/>
      <c r="N586" s="9"/>
      <c r="O586" s="9"/>
      <c r="P586" s="9"/>
      <c r="Q586" s="9"/>
      <c r="R586" s="9"/>
      <c r="S586" s="9"/>
    </row>
    <row r="587" spans="5:19" ht="15.75" customHeight="1" x14ac:dyDescent="0.3">
      <c r="E587" s="9"/>
      <c r="F587" s="9"/>
      <c r="H587" s="9"/>
      <c r="M587" s="9"/>
      <c r="N587" s="9"/>
      <c r="O587" s="9"/>
      <c r="P587" s="9"/>
      <c r="Q587" s="9"/>
      <c r="R587" s="9"/>
      <c r="S587" s="9"/>
    </row>
    <row r="588" spans="5:19" ht="15.75" customHeight="1" x14ac:dyDescent="0.3">
      <c r="E588" s="9"/>
      <c r="F588" s="9"/>
      <c r="H588" s="9"/>
      <c r="M588" s="9"/>
      <c r="N588" s="9"/>
      <c r="O588" s="9"/>
      <c r="P588" s="9"/>
      <c r="Q588" s="9"/>
      <c r="R588" s="9"/>
      <c r="S588" s="9"/>
    </row>
    <row r="589" spans="5:19" ht="15.75" customHeight="1" x14ac:dyDescent="0.3">
      <c r="E589" s="9"/>
      <c r="F589" s="9"/>
      <c r="H589" s="9"/>
      <c r="M589" s="9"/>
      <c r="N589" s="9"/>
      <c r="O589" s="9"/>
      <c r="P589" s="9"/>
      <c r="Q589" s="9"/>
      <c r="R589" s="9"/>
      <c r="S589" s="9"/>
    </row>
    <row r="590" spans="5:19" ht="15.75" customHeight="1" x14ac:dyDescent="0.3">
      <c r="E590" s="9"/>
      <c r="F590" s="9"/>
      <c r="H590" s="9"/>
      <c r="M590" s="9"/>
      <c r="N590" s="9"/>
      <c r="O590" s="9"/>
      <c r="P590" s="9"/>
      <c r="Q590" s="9"/>
      <c r="R590" s="9"/>
      <c r="S590" s="9"/>
    </row>
    <row r="591" spans="5:19" ht="15.75" customHeight="1" x14ac:dyDescent="0.3">
      <c r="E591" s="9"/>
      <c r="F591" s="9"/>
      <c r="H591" s="9"/>
      <c r="M591" s="9"/>
      <c r="N591" s="9"/>
      <c r="O591" s="9"/>
      <c r="P591" s="9"/>
      <c r="Q591" s="9"/>
      <c r="R591" s="9"/>
      <c r="S591" s="9"/>
    </row>
    <row r="592" spans="5:19" ht="15.75" customHeight="1" x14ac:dyDescent="0.3">
      <c r="E592" s="9"/>
      <c r="F592" s="9"/>
      <c r="H592" s="9"/>
      <c r="M592" s="9"/>
      <c r="N592" s="9"/>
      <c r="O592" s="9"/>
      <c r="P592" s="9"/>
      <c r="Q592" s="9"/>
      <c r="R592" s="9"/>
      <c r="S592" s="9"/>
    </row>
    <row r="593" spans="5:19" ht="15.75" customHeight="1" x14ac:dyDescent="0.3">
      <c r="E593" s="9"/>
      <c r="F593" s="9"/>
      <c r="H593" s="9"/>
      <c r="M593" s="9"/>
      <c r="N593" s="9"/>
      <c r="O593" s="9"/>
      <c r="P593" s="9"/>
      <c r="Q593" s="9"/>
      <c r="R593" s="9"/>
      <c r="S593" s="9"/>
    </row>
    <row r="594" spans="5:19" ht="15.75" customHeight="1" x14ac:dyDescent="0.3">
      <c r="E594" s="9"/>
      <c r="F594" s="9"/>
      <c r="H594" s="9"/>
      <c r="M594" s="9"/>
      <c r="N594" s="9"/>
      <c r="O594" s="9"/>
      <c r="P594" s="9"/>
      <c r="Q594" s="9"/>
      <c r="R594" s="9"/>
      <c r="S594" s="9"/>
    </row>
    <row r="595" spans="5:19" ht="15.75" customHeight="1" x14ac:dyDescent="0.3">
      <c r="E595" s="9"/>
      <c r="F595" s="9"/>
      <c r="H595" s="9"/>
      <c r="M595" s="9"/>
      <c r="N595" s="9"/>
      <c r="O595" s="9"/>
      <c r="P595" s="9"/>
      <c r="Q595" s="9"/>
      <c r="R595" s="9"/>
      <c r="S595" s="9"/>
    </row>
    <row r="596" spans="5:19" ht="15.75" customHeight="1" x14ac:dyDescent="0.3">
      <c r="E596" s="9"/>
      <c r="F596" s="9"/>
      <c r="H596" s="9"/>
      <c r="M596" s="9"/>
      <c r="N596" s="9"/>
      <c r="O596" s="9"/>
      <c r="P596" s="9"/>
      <c r="Q596" s="9"/>
      <c r="R596" s="9"/>
      <c r="S596" s="9"/>
    </row>
    <row r="597" spans="5:19" ht="15.75" customHeight="1" x14ac:dyDescent="0.3">
      <c r="E597" s="9"/>
      <c r="F597" s="9"/>
      <c r="H597" s="9"/>
      <c r="M597" s="9"/>
      <c r="N597" s="9"/>
      <c r="O597" s="9"/>
      <c r="P597" s="9"/>
      <c r="Q597" s="9"/>
      <c r="R597" s="9"/>
      <c r="S597" s="9"/>
    </row>
    <row r="598" spans="5:19" ht="15.75" customHeight="1" x14ac:dyDescent="0.3">
      <c r="E598" s="9"/>
      <c r="F598" s="9"/>
      <c r="H598" s="9"/>
      <c r="M598" s="9"/>
      <c r="N598" s="9"/>
      <c r="O598" s="9"/>
      <c r="P598" s="9"/>
      <c r="Q598" s="9"/>
      <c r="R598" s="9"/>
      <c r="S598" s="9"/>
    </row>
    <row r="599" spans="5:19" ht="15.75" customHeight="1" x14ac:dyDescent="0.3">
      <c r="E599" s="9"/>
      <c r="F599" s="9"/>
      <c r="H599" s="9"/>
      <c r="M599" s="9"/>
      <c r="N599" s="9"/>
      <c r="O599" s="9"/>
      <c r="P599" s="9"/>
      <c r="Q599" s="9"/>
      <c r="R599" s="9"/>
      <c r="S599" s="9"/>
    </row>
    <row r="600" spans="5:19" ht="15.75" customHeight="1" x14ac:dyDescent="0.3">
      <c r="E600" s="9"/>
      <c r="F600" s="9"/>
      <c r="H600" s="9"/>
      <c r="M600" s="9"/>
      <c r="N600" s="9"/>
      <c r="O600" s="9"/>
      <c r="P600" s="9"/>
      <c r="Q600" s="9"/>
      <c r="R600" s="9"/>
      <c r="S600" s="9"/>
    </row>
    <row r="601" spans="5:19" ht="15.75" customHeight="1" x14ac:dyDescent="0.3">
      <c r="E601" s="9"/>
      <c r="F601" s="9"/>
      <c r="H601" s="9"/>
      <c r="M601" s="9"/>
      <c r="N601" s="9"/>
      <c r="O601" s="9"/>
      <c r="P601" s="9"/>
      <c r="Q601" s="9"/>
      <c r="R601" s="9"/>
      <c r="S601" s="9"/>
    </row>
    <row r="602" spans="5:19" ht="15.75" customHeight="1" x14ac:dyDescent="0.3">
      <c r="E602" s="9"/>
      <c r="F602" s="9"/>
      <c r="H602" s="9"/>
      <c r="M602" s="9"/>
      <c r="N602" s="9"/>
      <c r="O602" s="9"/>
      <c r="P602" s="9"/>
      <c r="Q602" s="9"/>
      <c r="R602" s="9"/>
      <c r="S602" s="9"/>
    </row>
    <row r="603" spans="5:19" ht="15.75" customHeight="1" x14ac:dyDescent="0.3">
      <c r="E603" s="9"/>
      <c r="F603" s="9"/>
      <c r="H603" s="9"/>
      <c r="M603" s="9"/>
      <c r="N603" s="9"/>
      <c r="O603" s="9"/>
      <c r="P603" s="9"/>
      <c r="Q603" s="9"/>
      <c r="R603" s="9"/>
      <c r="S603" s="9"/>
    </row>
    <row r="604" spans="5:19" ht="15.75" customHeight="1" x14ac:dyDescent="0.3">
      <c r="E604" s="9"/>
      <c r="F604" s="9"/>
      <c r="H604" s="9"/>
      <c r="M604" s="9"/>
      <c r="N604" s="9"/>
      <c r="O604" s="9"/>
      <c r="P604" s="9"/>
      <c r="Q604" s="9"/>
      <c r="R604" s="9"/>
      <c r="S604" s="9"/>
    </row>
    <row r="605" spans="5:19" ht="15.75" customHeight="1" x14ac:dyDescent="0.3">
      <c r="E605" s="9"/>
      <c r="F605" s="9"/>
      <c r="H605" s="9"/>
      <c r="M605" s="9"/>
      <c r="N605" s="9"/>
      <c r="O605" s="9"/>
      <c r="P605" s="9"/>
      <c r="Q605" s="9"/>
      <c r="R605" s="9"/>
      <c r="S605" s="9"/>
    </row>
    <row r="606" spans="5:19" ht="15.75" customHeight="1" x14ac:dyDescent="0.3">
      <c r="E606" s="9"/>
      <c r="F606" s="9"/>
      <c r="H606" s="9"/>
      <c r="M606" s="9"/>
      <c r="N606" s="9"/>
      <c r="O606" s="9"/>
      <c r="P606" s="9"/>
      <c r="Q606" s="9"/>
      <c r="R606" s="9"/>
      <c r="S606" s="9"/>
    </row>
    <row r="607" spans="5:19" ht="15.75" customHeight="1" x14ac:dyDescent="0.3">
      <c r="E607" s="9"/>
      <c r="F607" s="9"/>
      <c r="H607" s="9"/>
      <c r="M607" s="9"/>
      <c r="N607" s="9"/>
      <c r="O607" s="9"/>
      <c r="P607" s="9"/>
      <c r="Q607" s="9"/>
      <c r="R607" s="9"/>
      <c r="S607" s="9"/>
    </row>
    <row r="608" spans="5:19" ht="15.75" customHeight="1" x14ac:dyDescent="0.3">
      <c r="E608" s="9"/>
      <c r="F608" s="9"/>
      <c r="H608" s="9"/>
      <c r="M608" s="9"/>
      <c r="N608" s="9"/>
      <c r="O608" s="9"/>
      <c r="P608" s="9"/>
      <c r="Q608" s="9"/>
      <c r="R608" s="9"/>
      <c r="S608" s="9"/>
    </row>
    <row r="609" spans="5:19" ht="15.75" customHeight="1" x14ac:dyDescent="0.3">
      <c r="E609" s="9"/>
      <c r="F609" s="9"/>
      <c r="H609" s="9"/>
      <c r="M609" s="9"/>
      <c r="N609" s="9"/>
      <c r="O609" s="9"/>
      <c r="P609" s="9"/>
      <c r="Q609" s="9"/>
      <c r="R609" s="9"/>
      <c r="S609" s="9"/>
    </row>
    <row r="610" spans="5:19" ht="15.75" customHeight="1" x14ac:dyDescent="0.3">
      <c r="E610" s="9"/>
      <c r="F610" s="9"/>
      <c r="H610" s="9"/>
      <c r="M610" s="9"/>
      <c r="N610" s="9"/>
      <c r="O610" s="9"/>
      <c r="P610" s="9"/>
      <c r="Q610" s="9"/>
      <c r="R610" s="9"/>
      <c r="S610" s="9"/>
    </row>
    <row r="611" spans="5:19" ht="15.75" customHeight="1" x14ac:dyDescent="0.3">
      <c r="E611" s="9"/>
      <c r="F611" s="9"/>
      <c r="H611" s="9"/>
      <c r="M611" s="9"/>
      <c r="N611" s="9"/>
      <c r="O611" s="9"/>
      <c r="P611" s="9"/>
      <c r="Q611" s="9"/>
      <c r="R611" s="9"/>
      <c r="S611" s="9"/>
    </row>
    <row r="612" spans="5:19" ht="15.75" customHeight="1" x14ac:dyDescent="0.3">
      <c r="E612" s="9"/>
      <c r="F612" s="9"/>
      <c r="H612" s="9"/>
      <c r="M612" s="9"/>
      <c r="N612" s="9"/>
      <c r="O612" s="9"/>
      <c r="P612" s="9"/>
      <c r="Q612" s="9"/>
      <c r="R612" s="9"/>
      <c r="S612" s="9"/>
    </row>
    <row r="613" spans="5:19" ht="15.75" customHeight="1" x14ac:dyDescent="0.3">
      <c r="E613" s="9"/>
      <c r="F613" s="9"/>
      <c r="H613" s="9"/>
      <c r="M613" s="9"/>
      <c r="N613" s="9"/>
      <c r="O613" s="9"/>
      <c r="P613" s="9"/>
      <c r="Q613" s="9"/>
      <c r="R613" s="9"/>
      <c r="S613" s="9"/>
    </row>
    <row r="614" spans="5:19" ht="15.75" customHeight="1" x14ac:dyDescent="0.3">
      <c r="E614" s="9"/>
      <c r="F614" s="9"/>
      <c r="H614" s="9"/>
      <c r="M614" s="9"/>
      <c r="N614" s="9"/>
      <c r="O614" s="9"/>
      <c r="P614" s="9"/>
      <c r="Q614" s="9"/>
      <c r="R614" s="9"/>
      <c r="S614" s="9"/>
    </row>
    <row r="615" spans="5:19" ht="15.75" customHeight="1" x14ac:dyDescent="0.3">
      <c r="E615" s="9"/>
      <c r="F615" s="9"/>
      <c r="H615" s="9"/>
      <c r="M615" s="9"/>
      <c r="N615" s="9"/>
      <c r="O615" s="9"/>
      <c r="P615" s="9"/>
      <c r="Q615" s="9"/>
      <c r="R615" s="9"/>
      <c r="S615" s="9"/>
    </row>
    <row r="616" spans="5:19" ht="15.75" customHeight="1" x14ac:dyDescent="0.3">
      <c r="E616" s="9"/>
      <c r="F616" s="9"/>
      <c r="H616" s="9"/>
      <c r="M616" s="9"/>
      <c r="N616" s="9"/>
      <c r="O616" s="9"/>
      <c r="P616" s="9"/>
      <c r="Q616" s="9"/>
      <c r="R616" s="9"/>
      <c r="S616" s="9"/>
    </row>
    <row r="617" spans="5:19" ht="15.75" customHeight="1" x14ac:dyDescent="0.3">
      <c r="E617" s="9"/>
      <c r="F617" s="9"/>
      <c r="H617" s="9"/>
      <c r="M617" s="9"/>
      <c r="N617" s="9"/>
      <c r="O617" s="9"/>
      <c r="P617" s="9"/>
      <c r="Q617" s="9"/>
      <c r="R617" s="9"/>
      <c r="S617" s="9"/>
    </row>
    <row r="618" spans="5:19" ht="15.75" customHeight="1" x14ac:dyDescent="0.3">
      <c r="E618" s="9"/>
      <c r="F618" s="9"/>
      <c r="H618" s="9"/>
      <c r="M618" s="9"/>
      <c r="N618" s="9"/>
      <c r="O618" s="9"/>
      <c r="P618" s="9"/>
      <c r="Q618" s="9"/>
      <c r="R618" s="9"/>
      <c r="S618" s="9"/>
    </row>
    <row r="619" spans="5:19" ht="15.75" customHeight="1" x14ac:dyDescent="0.3">
      <c r="E619" s="9"/>
      <c r="F619" s="9"/>
      <c r="H619" s="9"/>
      <c r="M619" s="9"/>
      <c r="N619" s="9"/>
      <c r="O619" s="9"/>
      <c r="P619" s="9"/>
      <c r="Q619" s="9"/>
      <c r="R619" s="9"/>
      <c r="S619" s="9"/>
    </row>
    <row r="620" spans="5:19" ht="15.75" customHeight="1" x14ac:dyDescent="0.3">
      <c r="E620" s="9"/>
      <c r="F620" s="9"/>
      <c r="H620" s="9"/>
      <c r="M620" s="9"/>
      <c r="N620" s="9"/>
      <c r="O620" s="9"/>
      <c r="P620" s="9"/>
      <c r="Q620" s="9"/>
      <c r="R620" s="9"/>
      <c r="S620" s="9"/>
    </row>
    <row r="621" spans="5:19" ht="15.75" customHeight="1" x14ac:dyDescent="0.3">
      <c r="E621" s="9"/>
      <c r="F621" s="9"/>
      <c r="H621" s="9"/>
      <c r="M621" s="9"/>
      <c r="N621" s="9"/>
      <c r="O621" s="9"/>
      <c r="P621" s="9"/>
      <c r="Q621" s="9"/>
      <c r="R621" s="9"/>
      <c r="S621" s="9"/>
    </row>
    <row r="622" spans="5:19" ht="15.75" customHeight="1" x14ac:dyDescent="0.3">
      <c r="E622" s="9"/>
      <c r="F622" s="9"/>
      <c r="H622" s="9"/>
      <c r="M622" s="9"/>
      <c r="N622" s="9"/>
      <c r="O622" s="9"/>
      <c r="P622" s="9"/>
      <c r="Q622" s="9"/>
      <c r="R622" s="9"/>
      <c r="S622" s="9"/>
    </row>
    <row r="623" spans="5:19" ht="15.75" customHeight="1" x14ac:dyDescent="0.3">
      <c r="E623" s="9"/>
      <c r="F623" s="9"/>
      <c r="H623" s="9"/>
      <c r="M623" s="9"/>
      <c r="N623" s="9"/>
      <c r="O623" s="9"/>
      <c r="P623" s="9"/>
      <c r="Q623" s="9"/>
      <c r="R623" s="9"/>
      <c r="S623" s="9"/>
    </row>
    <row r="624" spans="5:19" ht="15.75" customHeight="1" x14ac:dyDescent="0.3">
      <c r="E624" s="9"/>
      <c r="F624" s="9"/>
      <c r="H624" s="9"/>
      <c r="M624" s="9"/>
      <c r="N624" s="9"/>
      <c r="O624" s="9"/>
      <c r="P624" s="9"/>
      <c r="Q624" s="9"/>
      <c r="R624" s="9"/>
      <c r="S624" s="9"/>
    </row>
    <row r="625" spans="5:19" ht="15.75" customHeight="1" x14ac:dyDescent="0.3">
      <c r="E625" s="9"/>
      <c r="F625" s="9"/>
      <c r="H625" s="9"/>
      <c r="M625" s="9"/>
      <c r="N625" s="9"/>
      <c r="O625" s="9"/>
      <c r="P625" s="9"/>
      <c r="Q625" s="9"/>
      <c r="R625" s="9"/>
      <c r="S625" s="9"/>
    </row>
    <row r="626" spans="5:19" ht="15.75" customHeight="1" x14ac:dyDescent="0.3">
      <c r="E626" s="9"/>
      <c r="F626" s="9"/>
      <c r="H626" s="9"/>
      <c r="M626" s="9"/>
      <c r="N626" s="9"/>
      <c r="O626" s="9"/>
      <c r="P626" s="9"/>
      <c r="Q626" s="9"/>
      <c r="R626" s="9"/>
      <c r="S626" s="9"/>
    </row>
    <row r="627" spans="5:19" ht="15.75" customHeight="1" x14ac:dyDescent="0.3">
      <c r="E627" s="9"/>
      <c r="F627" s="9"/>
      <c r="H627" s="9"/>
      <c r="M627" s="9"/>
      <c r="N627" s="9"/>
      <c r="O627" s="9"/>
      <c r="P627" s="9"/>
      <c r="Q627" s="9"/>
      <c r="R627" s="9"/>
      <c r="S627" s="9"/>
    </row>
    <row r="628" spans="5:19" ht="15.75" customHeight="1" x14ac:dyDescent="0.3">
      <c r="E628" s="9"/>
      <c r="F628" s="9"/>
      <c r="H628" s="9"/>
      <c r="M628" s="9"/>
      <c r="N628" s="9"/>
      <c r="O628" s="9"/>
      <c r="P628" s="9"/>
      <c r="Q628" s="9"/>
      <c r="R628" s="9"/>
      <c r="S628" s="9"/>
    </row>
    <row r="629" spans="5:19" ht="15.75" customHeight="1" x14ac:dyDescent="0.3">
      <c r="E629" s="9"/>
      <c r="F629" s="9"/>
      <c r="H629" s="9"/>
      <c r="M629" s="9"/>
      <c r="N629" s="9"/>
      <c r="O629" s="9"/>
      <c r="P629" s="9"/>
      <c r="Q629" s="9"/>
      <c r="R629" s="9"/>
      <c r="S629" s="9"/>
    </row>
    <row r="630" spans="5:19" ht="15.75" customHeight="1" x14ac:dyDescent="0.3">
      <c r="E630" s="9"/>
      <c r="F630" s="9"/>
      <c r="H630" s="9"/>
      <c r="M630" s="9"/>
      <c r="N630" s="9"/>
      <c r="O630" s="9"/>
      <c r="P630" s="9"/>
      <c r="Q630" s="9"/>
      <c r="R630" s="9"/>
      <c r="S630" s="9"/>
    </row>
    <row r="631" spans="5:19" ht="15.75" customHeight="1" x14ac:dyDescent="0.3">
      <c r="E631" s="9"/>
      <c r="F631" s="9"/>
      <c r="H631" s="9"/>
      <c r="M631" s="9"/>
      <c r="N631" s="9"/>
      <c r="O631" s="9"/>
      <c r="P631" s="9"/>
      <c r="Q631" s="9"/>
      <c r="R631" s="9"/>
      <c r="S631" s="9"/>
    </row>
    <row r="632" spans="5:19" ht="15.75" customHeight="1" x14ac:dyDescent="0.3">
      <c r="E632" s="9"/>
      <c r="F632" s="9"/>
      <c r="H632" s="9"/>
      <c r="M632" s="9"/>
      <c r="N632" s="9"/>
      <c r="O632" s="9"/>
      <c r="P632" s="9"/>
      <c r="Q632" s="9"/>
      <c r="R632" s="9"/>
      <c r="S632" s="9"/>
    </row>
    <row r="633" spans="5:19" ht="15.75" customHeight="1" x14ac:dyDescent="0.3">
      <c r="E633" s="9"/>
      <c r="F633" s="9"/>
      <c r="H633" s="9"/>
      <c r="M633" s="9"/>
      <c r="N633" s="9"/>
      <c r="O633" s="9"/>
      <c r="P633" s="9"/>
      <c r="Q633" s="9"/>
      <c r="R633" s="9"/>
      <c r="S633" s="9"/>
    </row>
    <row r="634" spans="5:19" ht="15.75" customHeight="1" x14ac:dyDescent="0.3">
      <c r="E634" s="9"/>
      <c r="F634" s="9"/>
      <c r="H634" s="9"/>
      <c r="M634" s="9"/>
      <c r="N634" s="9"/>
      <c r="O634" s="9"/>
      <c r="P634" s="9"/>
      <c r="Q634" s="9"/>
      <c r="R634" s="9"/>
      <c r="S634" s="9"/>
    </row>
    <row r="635" spans="5:19" ht="15.75" customHeight="1" x14ac:dyDescent="0.3">
      <c r="E635" s="9"/>
      <c r="F635" s="9"/>
      <c r="H635" s="9"/>
      <c r="M635" s="9"/>
      <c r="N635" s="9"/>
      <c r="O635" s="9"/>
      <c r="P635" s="9"/>
      <c r="Q635" s="9"/>
      <c r="R635" s="9"/>
      <c r="S635" s="9"/>
    </row>
    <row r="636" spans="5:19" ht="15.75" customHeight="1" x14ac:dyDescent="0.3">
      <c r="E636" s="9"/>
      <c r="F636" s="9"/>
      <c r="H636" s="9"/>
      <c r="M636" s="9"/>
      <c r="N636" s="9"/>
      <c r="O636" s="9"/>
      <c r="P636" s="9"/>
      <c r="Q636" s="9"/>
      <c r="R636" s="9"/>
      <c r="S636" s="9"/>
    </row>
    <row r="637" spans="5:19" ht="15.75" customHeight="1" x14ac:dyDescent="0.3">
      <c r="E637" s="9"/>
      <c r="F637" s="9"/>
      <c r="H637" s="9"/>
      <c r="M637" s="9"/>
      <c r="N637" s="9"/>
      <c r="O637" s="9"/>
      <c r="P637" s="9"/>
      <c r="Q637" s="9"/>
      <c r="R637" s="9"/>
      <c r="S637" s="9"/>
    </row>
    <row r="638" spans="5:19" ht="15.75" customHeight="1" x14ac:dyDescent="0.3">
      <c r="E638" s="9"/>
      <c r="F638" s="9"/>
      <c r="H638" s="9"/>
      <c r="M638" s="9"/>
      <c r="N638" s="9"/>
      <c r="O638" s="9"/>
      <c r="P638" s="9"/>
      <c r="Q638" s="9"/>
      <c r="R638" s="9"/>
      <c r="S638" s="9"/>
    </row>
    <row r="639" spans="5:19" ht="15.75" customHeight="1" x14ac:dyDescent="0.3">
      <c r="E639" s="9"/>
      <c r="F639" s="9"/>
      <c r="H639" s="9"/>
      <c r="M639" s="9"/>
      <c r="N639" s="9"/>
      <c r="O639" s="9"/>
      <c r="P639" s="9"/>
      <c r="Q639" s="9"/>
      <c r="R639" s="9"/>
      <c r="S639" s="9"/>
    </row>
    <row r="640" spans="5:19" ht="15.75" customHeight="1" x14ac:dyDescent="0.3">
      <c r="E640" s="9"/>
      <c r="F640" s="9"/>
      <c r="H640" s="9"/>
      <c r="M640" s="9"/>
      <c r="N640" s="9"/>
      <c r="O640" s="9"/>
      <c r="P640" s="9"/>
      <c r="Q640" s="9"/>
      <c r="R640" s="9"/>
      <c r="S640" s="9"/>
    </row>
    <row r="641" spans="5:19" ht="15.75" customHeight="1" x14ac:dyDescent="0.3">
      <c r="E641" s="9"/>
      <c r="F641" s="9"/>
      <c r="H641" s="9"/>
      <c r="M641" s="9"/>
      <c r="N641" s="9"/>
      <c r="O641" s="9"/>
      <c r="P641" s="9"/>
      <c r="Q641" s="9"/>
      <c r="R641" s="9"/>
      <c r="S641" s="9"/>
    </row>
    <row r="642" spans="5:19" ht="15.75" customHeight="1" x14ac:dyDescent="0.3">
      <c r="E642" s="9"/>
      <c r="F642" s="9"/>
      <c r="H642" s="9"/>
      <c r="M642" s="9"/>
      <c r="N642" s="9"/>
      <c r="O642" s="9"/>
      <c r="P642" s="9"/>
      <c r="Q642" s="9"/>
      <c r="R642" s="9"/>
      <c r="S642" s="9"/>
    </row>
    <row r="643" spans="5:19" ht="15.75" customHeight="1" x14ac:dyDescent="0.3">
      <c r="E643" s="9"/>
      <c r="F643" s="9"/>
      <c r="H643" s="9"/>
      <c r="M643" s="9"/>
      <c r="N643" s="9"/>
      <c r="O643" s="9"/>
      <c r="P643" s="9"/>
      <c r="Q643" s="9"/>
      <c r="R643" s="9"/>
      <c r="S643" s="9"/>
    </row>
    <row r="644" spans="5:19" ht="15.75" customHeight="1" x14ac:dyDescent="0.3">
      <c r="E644" s="9"/>
      <c r="F644" s="9"/>
      <c r="H644" s="9"/>
      <c r="M644" s="9"/>
      <c r="N644" s="9"/>
      <c r="O644" s="9"/>
      <c r="P644" s="9"/>
      <c r="Q644" s="9"/>
      <c r="R644" s="9"/>
      <c r="S644" s="9"/>
    </row>
    <row r="645" spans="5:19" ht="15.75" customHeight="1" x14ac:dyDescent="0.3">
      <c r="E645" s="9"/>
      <c r="F645" s="9"/>
      <c r="H645" s="9"/>
      <c r="M645" s="9"/>
      <c r="N645" s="9"/>
      <c r="O645" s="9"/>
      <c r="P645" s="9"/>
      <c r="Q645" s="9"/>
      <c r="R645" s="9"/>
      <c r="S645" s="9"/>
    </row>
    <row r="646" spans="5:19" ht="15.75" customHeight="1" x14ac:dyDescent="0.3">
      <c r="E646" s="9"/>
      <c r="F646" s="9"/>
      <c r="H646" s="9"/>
      <c r="M646" s="9"/>
      <c r="N646" s="9"/>
      <c r="O646" s="9"/>
      <c r="P646" s="9"/>
      <c r="Q646" s="9"/>
      <c r="R646" s="9"/>
      <c r="S646" s="9"/>
    </row>
    <row r="647" spans="5:19" ht="15.75" customHeight="1" x14ac:dyDescent="0.3">
      <c r="E647" s="9"/>
      <c r="F647" s="9"/>
      <c r="H647" s="9"/>
      <c r="M647" s="9"/>
      <c r="N647" s="9"/>
      <c r="O647" s="9"/>
      <c r="P647" s="9"/>
      <c r="Q647" s="9"/>
      <c r="R647" s="9"/>
      <c r="S647" s="9"/>
    </row>
    <row r="648" spans="5:19" ht="15.75" customHeight="1" x14ac:dyDescent="0.3">
      <c r="E648" s="9"/>
      <c r="F648" s="9"/>
      <c r="H648" s="9"/>
      <c r="M648" s="9"/>
      <c r="N648" s="9"/>
      <c r="O648" s="9"/>
      <c r="P648" s="9"/>
      <c r="Q648" s="9"/>
      <c r="R648" s="9"/>
      <c r="S648" s="9"/>
    </row>
    <row r="649" spans="5:19" ht="15.75" customHeight="1" x14ac:dyDescent="0.3">
      <c r="E649" s="9"/>
      <c r="F649" s="9"/>
      <c r="H649" s="9"/>
      <c r="M649" s="9"/>
      <c r="N649" s="9"/>
      <c r="O649" s="9"/>
      <c r="P649" s="9"/>
      <c r="Q649" s="9"/>
      <c r="R649" s="9"/>
      <c r="S649" s="9"/>
    </row>
    <row r="650" spans="5:19" ht="15.75" customHeight="1" x14ac:dyDescent="0.3">
      <c r="E650" s="9"/>
      <c r="F650" s="9"/>
      <c r="H650" s="9"/>
      <c r="M650" s="9"/>
      <c r="N650" s="9"/>
      <c r="O650" s="9"/>
      <c r="P650" s="9"/>
      <c r="Q650" s="9"/>
      <c r="R650" s="9"/>
      <c r="S650" s="9"/>
    </row>
    <row r="651" spans="5:19" ht="15.75" customHeight="1" x14ac:dyDescent="0.3">
      <c r="E651" s="9"/>
      <c r="F651" s="9"/>
      <c r="H651" s="9"/>
      <c r="M651" s="9"/>
      <c r="N651" s="9"/>
      <c r="O651" s="9"/>
      <c r="P651" s="9"/>
      <c r="Q651" s="9"/>
      <c r="R651" s="9"/>
      <c r="S651" s="9"/>
    </row>
    <row r="652" spans="5:19" ht="15.75" customHeight="1" x14ac:dyDescent="0.3">
      <c r="E652" s="9"/>
      <c r="F652" s="9"/>
      <c r="H652" s="9"/>
      <c r="M652" s="9"/>
      <c r="N652" s="9"/>
      <c r="O652" s="9"/>
      <c r="P652" s="9"/>
      <c r="Q652" s="9"/>
      <c r="R652" s="9"/>
      <c r="S652" s="9"/>
    </row>
    <row r="653" spans="5:19" ht="15.75" customHeight="1" x14ac:dyDescent="0.3">
      <c r="E653" s="9"/>
      <c r="F653" s="9"/>
      <c r="H653" s="9"/>
      <c r="M653" s="9"/>
      <c r="N653" s="9"/>
      <c r="O653" s="9"/>
      <c r="P653" s="9"/>
      <c r="Q653" s="9"/>
      <c r="R653" s="9"/>
      <c r="S653" s="9"/>
    </row>
    <row r="654" spans="5:19" ht="15.75" customHeight="1" x14ac:dyDescent="0.3">
      <c r="E654" s="9"/>
      <c r="F654" s="9"/>
      <c r="H654" s="9"/>
      <c r="M654" s="9"/>
      <c r="N654" s="9"/>
      <c r="O654" s="9"/>
      <c r="P654" s="9"/>
      <c r="Q654" s="9"/>
      <c r="R654" s="9"/>
      <c r="S654" s="9"/>
    </row>
    <row r="655" spans="5:19" ht="15.75" customHeight="1" x14ac:dyDescent="0.3">
      <c r="E655" s="9"/>
      <c r="F655" s="9"/>
      <c r="H655" s="9"/>
      <c r="M655" s="9"/>
      <c r="N655" s="9"/>
      <c r="O655" s="9"/>
      <c r="P655" s="9"/>
      <c r="Q655" s="9"/>
      <c r="R655" s="9"/>
      <c r="S655" s="9"/>
    </row>
    <row r="656" spans="5:19" ht="15.75" customHeight="1" x14ac:dyDescent="0.3">
      <c r="E656" s="9"/>
      <c r="F656" s="9"/>
      <c r="H656" s="9"/>
      <c r="M656" s="9"/>
      <c r="N656" s="9"/>
      <c r="O656" s="9"/>
      <c r="P656" s="9"/>
      <c r="Q656" s="9"/>
      <c r="R656" s="9"/>
      <c r="S656" s="9"/>
    </row>
    <row r="657" spans="5:19" ht="15.75" customHeight="1" x14ac:dyDescent="0.3">
      <c r="E657" s="9"/>
      <c r="F657" s="9"/>
      <c r="H657" s="9"/>
      <c r="M657" s="9"/>
      <c r="N657" s="9"/>
      <c r="O657" s="9"/>
      <c r="P657" s="9"/>
      <c r="Q657" s="9"/>
      <c r="R657" s="9"/>
      <c r="S657" s="9"/>
    </row>
    <row r="658" spans="5:19" ht="15.75" customHeight="1" x14ac:dyDescent="0.3">
      <c r="E658" s="9"/>
      <c r="F658" s="9"/>
      <c r="H658" s="9"/>
      <c r="M658" s="9"/>
      <c r="N658" s="9"/>
      <c r="O658" s="9"/>
      <c r="P658" s="9"/>
      <c r="Q658" s="9"/>
      <c r="R658" s="9"/>
      <c r="S658" s="9"/>
    </row>
    <row r="659" spans="5:19" ht="15.75" customHeight="1" x14ac:dyDescent="0.3">
      <c r="E659" s="9"/>
      <c r="F659" s="9"/>
      <c r="H659" s="9"/>
      <c r="M659" s="9"/>
      <c r="N659" s="9"/>
      <c r="O659" s="9"/>
      <c r="P659" s="9"/>
      <c r="Q659" s="9"/>
      <c r="R659" s="9"/>
      <c r="S659" s="9"/>
    </row>
    <row r="660" spans="5:19" ht="15.75" customHeight="1" x14ac:dyDescent="0.3">
      <c r="E660" s="9"/>
      <c r="F660" s="9"/>
      <c r="H660" s="9"/>
      <c r="M660" s="9"/>
      <c r="N660" s="9"/>
      <c r="O660" s="9"/>
      <c r="P660" s="9"/>
      <c r="Q660" s="9"/>
      <c r="R660" s="9"/>
      <c r="S660" s="9"/>
    </row>
    <row r="661" spans="5:19" ht="15.75" customHeight="1" x14ac:dyDescent="0.3">
      <c r="E661" s="9"/>
      <c r="F661" s="9"/>
      <c r="H661" s="9"/>
      <c r="M661" s="9"/>
      <c r="N661" s="9"/>
      <c r="O661" s="9"/>
      <c r="P661" s="9"/>
      <c r="Q661" s="9"/>
      <c r="R661" s="9"/>
      <c r="S661" s="9"/>
    </row>
    <row r="662" spans="5:19" ht="15.75" customHeight="1" x14ac:dyDescent="0.3">
      <c r="E662" s="9"/>
      <c r="F662" s="9"/>
      <c r="H662" s="9"/>
      <c r="M662" s="9"/>
      <c r="N662" s="9"/>
      <c r="O662" s="9"/>
      <c r="P662" s="9"/>
      <c r="Q662" s="9"/>
      <c r="R662" s="9"/>
      <c r="S662" s="9"/>
    </row>
    <row r="663" spans="5:19" ht="15.75" customHeight="1" x14ac:dyDescent="0.3">
      <c r="E663" s="9"/>
      <c r="F663" s="9"/>
      <c r="H663" s="9"/>
      <c r="M663" s="9"/>
      <c r="N663" s="9"/>
      <c r="O663" s="9"/>
      <c r="P663" s="9"/>
      <c r="Q663" s="9"/>
      <c r="R663" s="9"/>
      <c r="S663" s="9"/>
    </row>
    <row r="664" spans="5:19" ht="15.75" customHeight="1" x14ac:dyDescent="0.3">
      <c r="E664" s="9"/>
      <c r="F664" s="9"/>
      <c r="H664" s="9"/>
      <c r="M664" s="9"/>
      <c r="N664" s="9"/>
      <c r="O664" s="9"/>
      <c r="P664" s="9"/>
      <c r="Q664" s="9"/>
      <c r="R664" s="9"/>
      <c r="S664" s="9"/>
    </row>
    <row r="665" spans="5:19" ht="15.75" customHeight="1" x14ac:dyDescent="0.3">
      <c r="E665" s="9"/>
      <c r="F665" s="9"/>
      <c r="H665" s="9"/>
      <c r="M665" s="9"/>
      <c r="N665" s="9"/>
      <c r="O665" s="9"/>
      <c r="P665" s="9"/>
      <c r="Q665" s="9"/>
      <c r="R665" s="9"/>
      <c r="S665" s="9"/>
    </row>
    <row r="666" spans="5:19" ht="15.75" customHeight="1" x14ac:dyDescent="0.3">
      <c r="E666" s="9"/>
      <c r="F666" s="9"/>
      <c r="H666" s="9"/>
      <c r="M666" s="9"/>
      <c r="N666" s="9"/>
      <c r="O666" s="9"/>
      <c r="P666" s="9"/>
      <c r="Q666" s="9"/>
      <c r="R666" s="9"/>
      <c r="S666" s="9"/>
    </row>
    <row r="667" spans="5:19" ht="15.75" customHeight="1" x14ac:dyDescent="0.3">
      <c r="E667" s="9"/>
      <c r="F667" s="9"/>
      <c r="H667" s="9"/>
      <c r="M667" s="9"/>
      <c r="N667" s="9"/>
      <c r="O667" s="9"/>
      <c r="P667" s="9"/>
      <c r="Q667" s="9"/>
      <c r="R667" s="9"/>
      <c r="S667" s="9"/>
    </row>
    <row r="668" spans="5:19" ht="15.75" customHeight="1" x14ac:dyDescent="0.3">
      <c r="E668" s="9"/>
      <c r="F668" s="9"/>
      <c r="H668" s="9"/>
      <c r="M668" s="9"/>
      <c r="N668" s="9"/>
      <c r="O668" s="9"/>
      <c r="P668" s="9"/>
      <c r="Q668" s="9"/>
      <c r="R668" s="9"/>
      <c r="S668" s="9"/>
    </row>
    <row r="669" spans="5:19" ht="15.75" customHeight="1" x14ac:dyDescent="0.3">
      <c r="E669" s="9"/>
      <c r="F669" s="9"/>
      <c r="H669" s="9"/>
      <c r="M669" s="9"/>
      <c r="N669" s="9"/>
      <c r="O669" s="9"/>
      <c r="P669" s="9"/>
      <c r="Q669" s="9"/>
      <c r="R669" s="9"/>
      <c r="S669" s="9"/>
    </row>
    <row r="670" spans="5:19" ht="15.75" customHeight="1" x14ac:dyDescent="0.3">
      <c r="E670" s="9"/>
      <c r="F670" s="9"/>
      <c r="H670" s="9"/>
      <c r="M670" s="9"/>
      <c r="N670" s="9"/>
      <c r="O670" s="9"/>
      <c r="P670" s="9"/>
      <c r="Q670" s="9"/>
      <c r="R670" s="9"/>
      <c r="S670" s="9"/>
    </row>
    <row r="671" spans="5:19" ht="15.75" customHeight="1" x14ac:dyDescent="0.3">
      <c r="E671" s="9"/>
      <c r="F671" s="9"/>
      <c r="H671" s="9"/>
      <c r="M671" s="9"/>
      <c r="N671" s="9"/>
      <c r="O671" s="9"/>
      <c r="P671" s="9"/>
      <c r="Q671" s="9"/>
      <c r="R671" s="9"/>
      <c r="S671" s="9"/>
    </row>
    <row r="672" spans="5:19" ht="15.75" customHeight="1" x14ac:dyDescent="0.3">
      <c r="E672" s="9"/>
      <c r="F672" s="9"/>
      <c r="H672" s="9"/>
      <c r="M672" s="9"/>
      <c r="N672" s="9"/>
      <c r="O672" s="9"/>
      <c r="P672" s="9"/>
      <c r="Q672" s="9"/>
      <c r="R672" s="9"/>
      <c r="S672" s="9"/>
    </row>
    <row r="673" spans="5:19" ht="15.75" customHeight="1" x14ac:dyDescent="0.3">
      <c r="E673" s="9"/>
      <c r="F673" s="9"/>
      <c r="H673" s="9"/>
      <c r="M673" s="9"/>
      <c r="N673" s="9"/>
      <c r="O673" s="9"/>
      <c r="P673" s="9"/>
      <c r="Q673" s="9"/>
      <c r="R673" s="9"/>
      <c r="S673" s="9"/>
    </row>
    <row r="674" spans="5:19" ht="15.75" customHeight="1" x14ac:dyDescent="0.3">
      <c r="E674" s="9"/>
      <c r="F674" s="9"/>
      <c r="H674" s="9"/>
      <c r="M674" s="9"/>
      <c r="N674" s="9"/>
      <c r="O674" s="9"/>
      <c r="P674" s="9"/>
      <c r="Q674" s="9"/>
      <c r="R674" s="9"/>
      <c r="S674" s="9"/>
    </row>
    <row r="675" spans="5:19" ht="15.75" customHeight="1" x14ac:dyDescent="0.3">
      <c r="E675" s="9"/>
      <c r="F675" s="9"/>
      <c r="H675" s="9"/>
      <c r="M675" s="9"/>
      <c r="N675" s="9"/>
      <c r="O675" s="9"/>
      <c r="P675" s="9"/>
      <c r="Q675" s="9"/>
      <c r="R675" s="9"/>
      <c r="S675" s="9"/>
    </row>
    <row r="676" spans="5:19" ht="15.75" customHeight="1" x14ac:dyDescent="0.3">
      <c r="E676" s="9"/>
      <c r="F676" s="9"/>
      <c r="H676" s="9"/>
      <c r="M676" s="9"/>
      <c r="N676" s="9"/>
      <c r="O676" s="9"/>
      <c r="P676" s="9"/>
      <c r="Q676" s="9"/>
      <c r="R676" s="9"/>
      <c r="S676" s="9"/>
    </row>
    <row r="677" spans="5:19" ht="15.75" customHeight="1" x14ac:dyDescent="0.3">
      <c r="E677" s="9"/>
      <c r="F677" s="9"/>
      <c r="H677" s="9"/>
      <c r="M677" s="9"/>
      <c r="N677" s="9"/>
      <c r="O677" s="9"/>
      <c r="P677" s="9"/>
      <c r="Q677" s="9"/>
      <c r="R677" s="9"/>
      <c r="S677" s="9"/>
    </row>
    <row r="678" spans="5:19" ht="15.75" customHeight="1" x14ac:dyDescent="0.3">
      <c r="E678" s="9"/>
      <c r="F678" s="9"/>
      <c r="H678" s="9"/>
      <c r="M678" s="9"/>
      <c r="N678" s="9"/>
      <c r="O678" s="9"/>
      <c r="P678" s="9"/>
      <c r="Q678" s="9"/>
      <c r="R678" s="9"/>
      <c r="S678" s="9"/>
    </row>
    <row r="679" spans="5:19" ht="15.75" customHeight="1" x14ac:dyDescent="0.3">
      <c r="E679" s="9"/>
      <c r="F679" s="9"/>
      <c r="H679" s="9"/>
      <c r="M679" s="9"/>
      <c r="N679" s="9"/>
      <c r="O679" s="9"/>
      <c r="P679" s="9"/>
      <c r="Q679" s="9"/>
      <c r="R679" s="9"/>
      <c r="S679" s="9"/>
    </row>
    <row r="680" spans="5:19" ht="15.75" customHeight="1" x14ac:dyDescent="0.3">
      <c r="E680" s="9"/>
      <c r="F680" s="9"/>
      <c r="H680" s="9"/>
      <c r="M680" s="9"/>
      <c r="N680" s="9"/>
      <c r="O680" s="9"/>
      <c r="P680" s="9"/>
      <c r="Q680" s="9"/>
      <c r="R680" s="9"/>
      <c r="S680" s="9"/>
    </row>
    <row r="681" spans="5:19" ht="15.75" customHeight="1" x14ac:dyDescent="0.3">
      <c r="E681" s="9"/>
      <c r="F681" s="9"/>
      <c r="H681" s="9"/>
      <c r="M681" s="9"/>
      <c r="N681" s="9"/>
      <c r="O681" s="9"/>
      <c r="P681" s="9"/>
      <c r="Q681" s="9"/>
      <c r="R681" s="9"/>
      <c r="S681" s="9"/>
    </row>
    <row r="682" spans="5:19" ht="15.75" customHeight="1" x14ac:dyDescent="0.3">
      <c r="E682" s="9"/>
      <c r="F682" s="9"/>
      <c r="H682" s="9"/>
      <c r="M682" s="9"/>
      <c r="N682" s="9"/>
      <c r="O682" s="9"/>
      <c r="P682" s="9"/>
      <c r="Q682" s="9"/>
      <c r="R682" s="9"/>
      <c r="S682" s="9"/>
    </row>
    <row r="683" spans="5:19" ht="15.75" customHeight="1" x14ac:dyDescent="0.3">
      <c r="E683" s="9"/>
      <c r="F683" s="9"/>
      <c r="H683" s="9"/>
      <c r="M683" s="9"/>
      <c r="N683" s="9"/>
      <c r="O683" s="9"/>
      <c r="P683" s="9"/>
      <c r="Q683" s="9"/>
      <c r="R683" s="9"/>
      <c r="S683" s="9"/>
    </row>
    <row r="684" spans="5:19" ht="15.75" customHeight="1" x14ac:dyDescent="0.3">
      <c r="E684" s="9"/>
      <c r="F684" s="9"/>
      <c r="H684" s="9"/>
      <c r="M684" s="9"/>
      <c r="N684" s="9"/>
      <c r="O684" s="9"/>
      <c r="P684" s="9"/>
      <c r="Q684" s="9"/>
      <c r="R684" s="9"/>
      <c r="S684" s="9"/>
    </row>
    <row r="685" spans="5:19" ht="15.75" customHeight="1" x14ac:dyDescent="0.3">
      <c r="E685" s="9"/>
      <c r="F685" s="9"/>
      <c r="H685" s="9"/>
      <c r="M685" s="9"/>
      <c r="N685" s="9"/>
      <c r="O685" s="9"/>
      <c r="P685" s="9"/>
      <c r="Q685" s="9"/>
      <c r="R685" s="9"/>
      <c r="S685" s="9"/>
    </row>
    <row r="686" spans="5:19" ht="15.75" customHeight="1" x14ac:dyDescent="0.3">
      <c r="E686" s="9"/>
      <c r="F686" s="9"/>
      <c r="H686" s="9"/>
      <c r="M686" s="9"/>
      <c r="N686" s="9"/>
      <c r="O686" s="9"/>
      <c r="P686" s="9"/>
      <c r="Q686" s="9"/>
      <c r="R686" s="9"/>
      <c r="S686" s="9"/>
    </row>
    <row r="687" spans="5:19" ht="15.75" customHeight="1" x14ac:dyDescent="0.3">
      <c r="E687" s="9"/>
      <c r="F687" s="9"/>
      <c r="H687" s="9"/>
      <c r="M687" s="9"/>
      <c r="N687" s="9"/>
      <c r="O687" s="9"/>
      <c r="P687" s="9"/>
      <c r="Q687" s="9"/>
      <c r="R687" s="9"/>
      <c r="S687" s="9"/>
    </row>
    <row r="688" spans="5:19" ht="15.75" customHeight="1" x14ac:dyDescent="0.3">
      <c r="E688" s="9"/>
      <c r="F688" s="9"/>
      <c r="H688" s="9"/>
      <c r="M688" s="9"/>
      <c r="N688" s="9"/>
      <c r="O688" s="9"/>
      <c r="P688" s="9"/>
      <c r="Q688" s="9"/>
      <c r="R688" s="9"/>
      <c r="S688" s="9"/>
    </row>
    <row r="689" spans="5:19" ht="15.75" customHeight="1" x14ac:dyDescent="0.3">
      <c r="E689" s="9"/>
      <c r="F689" s="9"/>
      <c r="H689" s="9"/>
      <c r="M689" s="9"/>
      <c r="N689" s="9"/>
      <c r="O689" s="9"/>
      <c r="P689" s="9"/>
      <c r="Q689" s="9"/>
      <c r="R689" s="9"/>
      <c r="S689" s="9"/>
    </row>
    <row r="690" spans="5:19" ht="15.75" customHeight="1" x14ac:dyDescent="0.3">
      <c r="E690" s="9"/>
      <c r="F690" s="9"/>
      <c r="H690" s="9"/>
      <c r="M690" s="9"/>
      <c r="N690" s="9"/>
      <c r="O690" s="9"/>
      <c r="P690" s="9"/>
      <c r="Q690" s="9"/>
      <c r="R690" s="9"/>
      <c r="S690" s="9"/>
    </row>
    <row r="691" spans="5:19" ht="15.75" customHeight="1" x14ac:dyDescent="0.3">
      <c r="E691" s="9"/>
      <c r="F691" s="9"/>
      <c r="H691" s="9"/>
      <c r="M691" s="9"/>
      <c r="N691" s="9"/>
      <c r="O691" s="9"/>
      <c r="P691" s="9"/>
      <c r="Q691" s="9"/>
      <c r="R691" s="9"/>
      <c r="S691" s="9"/>
    </row>
    <row r="692" spans="5:19" ht="15.75" customHeight="1" x14ac:dyDescent="0.3">
      <c r="E692" s="9"/>
      <c r="F692" s="9"/>
      <c r="H692" s="9"/>
      <c r="M692" s="9"/>
      <c r="N692" s="9"/>
      <c r="O692" s="9"/>
      <c r="P692" s="9"/>
      <c r="Q692" s="9"/>
      <c r="R692" s="9"/>
      <c r="S692" s="9"/>
    </row>
    <row r="693" spans="5:19" ht="15.75" customHeight="1" x14ac:dyDescent="0.3">
      <c r="E693" s="9"/>
      <c r="F693" s="9"/>
      <c r="H693" s="9"/>
      <c r="M693" s="9"/>
      <c r="N693" s="9"/>
      <c r="O693" s="9"/>
      <c r="P693" s="9"/>
      <c r="Q693" s="9"/>
      <c r="R693" s="9"/>
      <c r="S693" s="9"/>
    </row>
    <row r="694" spans="5:19" ht="15.75" customHeight="1" x14ac:dyDescent="0.3">
      <c r="E694" s="9"/>
      <c r="F694" s="9"/>
      <c r="H694" s="9"/>
      <c r="M694" s="9"/>
      <c r="N694" s="9"/>
      <c r="O694" s="9"/>
      <c r="P694" s="9"/>
      <c r="Q694" s="9"/>
      <c r="R694" s="9"/>
      <c r="S694" s="9"/>
    </row>
    <row r="695" spans="5:19" ht="15.75" customHeight="1" x14ac:dyDescent="0.3">
      <c r="E695" s="9"/>
      <c r="F695" s="9"/>
      <c r="H695" s="9"/>
      <c r="M695" s="9"/>
      <c r="N695" s="9"/>
      <c r="O695" s="9"/>
      <c r="P695" s="9"/>
      <c r="Q695" s="9"/>
      <c r="R695" s="9"/>
      <c r="S695" s="9"/>
    </row>
    <row r="696" spans="5:19" ht="15.75" customHeight="1" x14ac:dyDescent="0.3">
      <c r="E696" s="9"/>
      <c r="F696" s="9"/>
      <c r="H696" s="9"/>
      <c r="M696" s="9"/>
      <c r="N696" s="9"/>
      <c r="O696" s="9"/>
      <c r="P696" s="9"/>
      <c r="Q696" s="9"/>
      <c r="R696" s="9"/>
      <c r="S696" s="9"/>
    </row>
    <row r="697" spans="5:19" ht="15.75" customHeight="1" x14ac:dyDescent="0.3">
      <c r="E697" s="9"/>
      <c r="F697" s="9"/>
      <c r="H697" s="9"/>
      <c r="M697" s="9"/>
      <c r="N697" s="9"/>
      <c r="O697" s="9"/>
      <c r="P697" s="9"/>
      <c r="Q697" s="9"/>
      <c r="R697" s="9"/>
      <c r="S697" s="9"/>
    </row>
    <row r="698" spans="5:19" ht="15.75" customHeight="1" x14ac:dyDescent="0.3">
      <c r="E698" s="9"/>
      <c r="F698" s="9"/>
      <c r="H698" s="9"/>
      <c r="M698" s="9"/>
      <c r="N698" s="9"/>
      <c r="O698" s="9"/>
      <c r="P698" s="9"/>
      <c r="Q698" s="9"/>
      <c r="R698" s="9"/>
      <c r="S698" s="9"/>
    </row>
    <row r="699" spans="5:19" ht="15.75" customHeight="1" x14ac:dyDescent="0.3">
      <c r="E699" s="9"/>
      <c r="F699" s="9"/>
      <c r="H699" s="9"/>
      <c r="M699" s="9"/>
      <c r="N699" s="9"/>
      <c r="O699" s="9"/>
      <c r="P699" s="9"/>
      <c r="Q699" s="9"/>
      <c r="R699" s="9"/>
      <c r="S699" s="9"/>
    </row>
    <row r="700" spans="5:19" ht="15.75" customHeight="1" x14ac:dyDescent="0.3">
      <c r="E700" s="9"/>
      <c r="F700" s="9"/>
      <c r="H700" s="9"/>
      <c r="M700" s="9"/>
      <c r="N700" s="9"/>
      <c r="O700" s="9"/>
      <c r="P700" s="9"/>
      <c r="Q700" s="9"/>
      <c r="R700" s="9"/>
      <c r="S700" s="9"/>
    </row>
    <row r="701" spans="5:19" ht="15.75" customHeight="1" x14ac:dyDescent="0.3">
      <c r="E701" s="9"/>
      <c r="F701" s="9"/>
      <c r="H701" s="9"/>
      <c r="M701" s="9"/>
      <c r="N701" s="9"/>
      <c r="O701" s="9"/>
      <c r="P701" s="9"/>
      <c r="Q701" s="9"/>
      <c r="R701" s="9"/>
      <c r="S701" s="9"/>
    </row>
    <row r="702" spans="5:19" ht="15.75" customHeight="1" x14ac:dyDescent="0.3">
      <c r="E702" s="9"/>
      <c r="F702" s="9"/>
      <c r="H702" s="9"/>
      <c r="M702" s="9"/>
      <c r="N702" s="9"/>
      <c r="O702" s="9"/>
      <c r="P702" s="9"/>
      <c r="Q702" s="9"/>
      <c r="R702" s="9"/>
      <c r="S702" s="9"/>
    </row>
    <row r="703" spans="5:19" ht="15.75" customHeight="1" x14ac:dyDescent="0.3">
      <c r="E703" s="9"/>
      <c r="F703" s="9"/>
      <c r="H703" s="9"/>
      <c r="M703" s="9"/>
      <c r="N703" s="9"/>
      <c r="O703" s="9"/>
      <c r="P703" s="9"/>
      <c r="Q703" s="9"/>
      <c r="R703" s="9"/>
      <c r="S703" s="9"/>
    </row>
    <row r="704" spans="5:19" ht="15.75" customHeight="1" x14ac:dyDescent="0.3">
      <c r="E704" s="9"/>
      <c r="F704" s="9"/>
      <c r="H704" s="9"/>
      <c r="M704" s="9"/>
      <c r="N704" s="9"/>
      <c r="O704" s="9"/>
      <c r="P704" s="9"/>
      <c r="Q704" s="9"/>
      <c r="R704" s="9"/>
      <c r="S704" s="9"/>
    </row>
    <row r="705" spans="5:19" ht="15.75" customHeight="1" x14ac:dyDescent="0.3">
      <c r="E705" s="9"/>
      <c r="F705" s="9"/>
      <c r="H705" s="9"/>
      <c r="M705" s="9"/>
      <c r="N705" s="9"/>
      <c r="O705" s="9"/>
      <c r="P705" s="9"/>
      <c r="Q705" s="9"/>
      <c r="R705" s="9"/>
      <c r="S705" s="9"/>
    </row>
    <row r="706" spans="5:19" ht="15.75" customHeight="1" x14ac:dyDescent="0.3">
      <c r="E706" s="9"/>
      <c r="F706" s="9"/>
      <c r="H706" s="9"/>
      <c r="M706" s="9"/>
      <c r="N706" s="9"/>
      <c r="O706" s="9"/>
      <c r="P706" s="9"/>
      <c r="Q706" s="9"/>
      <c r="R706" s="9"/>
      <c r="S706" s="9"/>
    </row>
    <row r="707" spans="5:19" ht="15.75" customHeight="1" x14ac:dyDescent="0.3">
      <c r="E707" s="9"/>
      <c r="F707" s="9"/>
      <c r="H707" s="9"/>
      <c r="M707" s="9"/>
      <c r="N707" s="9"/>
      <c r="O707" s="9"/>
      <c r="P707" s="9"/>
      <c r="Q707" s="9"/>
      <c r="R707" s="9"/>
      <c r="S707" s="9"/>
    </row>
    <row r="708" spans="5:19" ht="15.75" customHeight="1" x14ac:dyDescent="0.3">
      <c r="E708" s="9"/>
      <c r="F708" s="9"/>
      <c r="H708" s="9"/>
      <c r="M708" s="9"/>
      <c r="N708" s="9"/>
      <c r="O708" s="9"/>
      <c r="P708" s="9"/>
      <c r="Q708" s="9"/>
      <c r="R708" s="9"/>
      <c r="S708" s="9"/>
    </row>
    <row r="709" spans="5:19" ht="15.75" customHeight="1" x14ac:dyDescent="0.3">
      <c r="E709" s="9"/>
      <c r="F709" s="9"/>
      <c r="H709" s="9"/>
      <c r="M709" s="9"/>
      <c r="N709" s="9"/>
      <c r="O709" s="9"/>
      <c r="P709" s="9"/>
      <c r="Q709" s="9"/>
      <c r="R709" s="9"/>
      <c r="S709" s="9"/>
    </row>
    <row r="710" spans="5:19" ht="15.75" customHeight="1" x14ac:dyDescent="0.3">
      <c r="E710" s="9"/>
      <c r="F710" s="9"/>
      <c r="H710" s="9"/>
      <c r="M710" s="9"/>
      <c r="N710" s="9"/>
      <c r="O710" s="9"/>
      <c r="P710" s="9"/>
      <c r="Q710" s="9"/>
      <c r="R710" s="9"/>
      <c r="S710" s="9"/>
    </row>
    <row r="711" spans="5:19" ht="15.75" customHeight="1" x14ac:dyDescent="0.3">
      <c r="E711" s="9"/>
      <c r="F711" s="9"/>
      <c r="H711" s="9"/>
      <c r="M711" s="9"/>
      <c r="N711" s="9"/>
      <c r="O711" s="9"/>
      <c r="P711" s="9"/>
      <c r="Q711" s="9"/>
      <c r="R711" s="9"/>
      <c r="S711" s="9"/>
    </row>
    <row r="712" spans="5:19" ht="15.75" customHeight="1" x14ac:dyDescent="0.3">
      <c r="E712" s="9"/>
      <c r="F712" s="9"/>
      <c r="H712" s="9"/>
      <c r="M712" s="9"/>
      <c r="N712" s="9"/>
      <c r="O712" s="9"/>
      <c r="P712" s="9"/>
      <c r="Q712" s="9"/>
      <c r="R712" s="9"/>
      <c r="S712" s="9"/>
    </row>
    <row r="713" spans="5:19" ht="15.75" customHeight="1" x14ac:dyDescent="0.3">
      <c r="E713" s="9"/>
      <c r="F713" s="9"/>
      <c r="H713" s="9"/>
      <c r="M713" s="9"/>
      <c r="N713" s="9"/>
      <c r="O713" s="9"/>
      <c r="P713" s="9"/>
      <c r="Q713" s="9"/>
      <c r="R713" s="9"/>
      <c r="S713" s="9"/>
    </row>
    <row r="714" spans="5:19" ht="15.75" customHeight="1" x14ac:dyDescent="0.3">
      <c r="E714" s="9"/>
      <c r="F714" s="9"/>
      <c r="H714" s="9"/>
      <c r="M714" s="9"/>
      <c r="N714" s="9"/>
      <c r="O714" s="9"/>
      <c r="P714" s="9"/>
      <c r="Q714" s="9"/>
      <c r="R714" s="9"/>
      <c r="S714" s="9"/>
    </row>
    <row r="715" spans="5:19" ht="15.75" customHeight="1" x14ac:dyDescent="0.3">
      <c r="E715" s="9"/>
      <c r="F715" s="9"/>
      <c r="H715" s="9"/>
      <c r="M715" s="9"/>
      <c r="N715" s="9"/>
      <c r="O715" s="9"/>
      <c r="P715" s="9"/>
      <c r="Q715" s="9"/>
      <c r="R715" s="9"/>
      <c r="S715" s="9"/>
    </row>
    <row r="716" spans="5:19" ht="15.75" customHeight="1" x14ac:dyDescent="0.3">
      <c r="E716" s="9"/>
      <c r="F716" s="9"/>
      <c r="H716" s="9"/>
      <c r="M716" s="9"/>
      <c r="N716" s="9"/>
      <c r="O716" s="9"/>
      <c r="P716" s="9"/>
      <c r="Q716" s="9"/>
      <c r="R716" s="9"/>
      <c r="S716" s="9"/>
    </row>
    <row r="717" spans="5:19" ht="15.75" customHeight="1" x14ac:dyDescent="0.3">
      <c r="E717" s="9"/>
      <c r="F717" s="9"/>
      <c r="H717" s="9"/>
      <c r="M717" s="9"/>
      <c r="N717" s="9"/>
      <c r="O717" s="9"/>
      <c r="P717" s="9"/>
      <c r="Q717" s="9"/>
      <c r="R717" s="9"/>
      <c r="S717" s="9"/>
    </row>
    <row r="718" spans="5:19" ht="15.75" customHeight="1" x14ac:dyDescent="0.3">
      <c r="E718" s="9"/>
      <c r="F718" s="9"/>
      <c r="H718" s="9"/>
      <c r="M718" s="9"/>
      <c r="N718" s="9"/>
      <c r="O718" s="9"/>
      <c r="P718" s="9"/>
      <c r="Q718" s="9"/>
      <c r="R718" s="9"/>
      <c r="S718" s="9"/>
    </row>
    <row r="719" spans="5:19" ht="15.75" customHeight="1" x14ac:dyDescent="0.3">
      <c r="E719" s="9"/>
      <c r="F719" s="9"/>
      <c r="H719" s="9"/>
      <c r="M719" s="9"/>
      <c r="N719" s="9"/>
      <c r="O719" s="9"/>
      <c r="P719" s="9"/>
      <c r="Q719" s="9"/>
      <c r="R719" s="9"/>
      <c r="S719" s="9"/>
    </row>
    <row r="720" spans="5:19" ht="15.75" customHeight="1" x14ac:dyDescent="0.3">
      <c r="E720" s="9"/>
      <c r="F720" s="9"/>
      <c r="H720" s="9"/>
      <c r="M720" s="9"/>
      <c r="N720" s="9"/>
      <c r="O720" s="9"/>
      <c r="P720" s="9"/>
      <c r="Q720" s="9"/>
      <c r="R720" s="9"/>
      <c r="S720" s="9"/>
    </row>
    <row r="721" spans="5:19" ht="15.75" customHeight="1" x14ac:dyDescent="0.3">
      <c r="E721" s="9"/>
      <c r="F721" s="9"/>
      <c r="H721" s="9"/>
      <c r="M721" s="9"/>
      <c r="N721" s="9"/>
      <c r="O721" s="9"/>
      <c r="P721" s="9"/>
      <c r="Q721" s="9"/>
      <c r="R721" s="9"/>
      <c r="S721" s="9"/>
    </row>
    <row r="722" spans="5:19" ht="15.75" customHeight="1" x14ac:dyDescent="0.3">
      <c r="E722" s="9"/>
      <c r="F722" s="9"/>
      <c r="H722" s="9"/>
      <c r="M722" s="9"/>
      <c r="N722" s="9"/>
      <c r="O722" s="9"/>
      <c r="P722" s="9"/>
      <c r="Q722" s="9"/>
      <c r="R722" s="9"/>
      <c r="S722" s="9"/>
    </row>
    <row r="723" spans="5:19" ht="15.75" customHeight="1" x14ac:dyDescent="0.3">
      <c r="E723" s="9"/>
      <c r="F723" s="9"/>
      <c r="H723" s="9"/>
      <c r="M723" s="9"/>
      <c r="N723" s="9"/>
      <c r="O723" s="9"/>
      <c r="P723" s="9"/>
      <c r="Q723" s="9"/>
      <c r="R723" s="9"/>
      <c r="S723" s="9"/>
    </row>
    <row r="724" spans="5:19" ht="15.75" customHeight="1" x14ac:dyDescent="0.3">
      <c r="E724" s="9"/>
      <c r="F724" s="9"/>
      <c r="H724" s="9"/>
      <c r="M724" s="9"/>
      <c r="N724" s="9"/>
      <c r="O724" s="9"/>
      <c r="P724" s="9"/>
      <c r="Q724" s="9"/>
      <c r="R724" s="9"/>
      <c r="S724" s="9"/>
    </row>
    <row r="725" spans="5:19" ht="15.75" customHeight="1" x14ac:dyDescent="0.3">
      <c r="E725" s="9"/>
      <c r="F725" s="9"/>
      <c r="H725" s="9"/>
      <c r="M725" s="9"/>
      <c r="N725" s="9"/>
      <c r="O725" s="9"/>
      <c r="P725" s="9"/>
      <c r="Q725" s="9"/>
      <c r="R725" s="9"/>
      <c r="S725" s="9"/>
    </row>
    <row r="726" spans="5:19" ht="15.75" customHeight="1" x14ac:dyDescent="0.3">
      <c r="E726" s="9"/>
      <c r="F726" s="9"/>
      <c r="H726" s="9"/>
      <c r="M726" s="9"/>
      <c r="N726" s="9"/>
      <c r="O726" s="9"/>
      <c r="P726" s="9"/>
      <c r="Q726" s="9"/>
      <c r="R726" s="9"/>
      <c r="S726" s="9"/>
    </row>
    <row r="727" spans="5:19" ht="15.75" customHeight="1" x14ac:dyDescent="0.3">
      <c r="E727" s="9"/>
      <c r="F727" s="9"/>
      <c r="H727" s="9"/>
      <c r="M727" s="9"/>
      <c r="N727" s="9"/>
      <c r="O727" s="9"/>
      <c r="P727" s="9"/>
      <c r="Q727" s="9"/>
      <c r="R727" s="9"/>
      <c r="S727" s="9"/>
    </row>
    <row r="728" spans="5:19" ht="15.75" customHeight="1" x14ac:dyDescent="0.3">
      <c r="E728" s="9"/>
      <c r="F728" s="9"/>
      <c r="H728" s="9"/>
      <c r="M728" s="9"/>
      <c r="N728" s="9"/>
      <c r="O728" s="9"/>
      <c r="P728" s="9"/>
      <c r="Q728" s="9"/>
      <c r="R728" s="9"/>
      <c r="S728" s="9"/>
    </row>
    <row r="729" spans="5:19" ht="15.75" customHeight="1" x14ac:dyDescent="0.3">
      <c r="E729" s="9"/>
      <c r="F729" s="9"/>
      <c r="H729" s="9"/>
      <c r="M729" s="9"/>
      <c r="N729" s="9"/>
      <c r="O729" s="9"/>
      <c r="P729" s="9"/>
      <c r="Q729" s="9"/>
      <c r="R729" s="9"/>
      <c r="S729" s="9"/>
    </row>
    <row r="730" spans="5:19" ht="15.75" customHeight="1" x14ac:dyDescent="0.3">
      <c r="E730" s="9"/>
      <c r="F730" s="9"/>
      <c r="H730" s="9"/>
      <c r="M730" s="9"/>
      <c r="N730" s="9"/>
      <c r="O730" s="9"/>
      <c r="P730" s="9"/>
      <c r="Q730" s="9"/>
      <c r="R730" s="9"/>
      <c r="S730" s="9"/>
    </row>
    <row r="731" spans="5:19" ht="15.75" customHeight="1" x14ac:dyDescent="0.3">
      <c r="E731" s="9"/>
      <c r="F731" s="9"/>
      <c r="H731" s="9"/>
      <c r="M731" s="9"/>
      <c r="N731" s="9"/>
      <c r="O731" s="9"/>
      <c r="P731" s="9"/>
      <c r="Q731" s="9"/>
      <c r="R731" s="9"/>
      <c r="S731" s="9"/>
    </row>
    <row r="732" spans="5:19" ht="15.75" customHeight="1" x14ac:dyDescent="0.3">
      <c r="E732" s="9"/>
      <c r="F732" s="9"/>
      <c r="H732" s="9"/>
      <c r="M732" s="9"/>
      <c r="N732" s="9"/>
      <c r="O732" s="9"/>
      <c r="P732" s="9"/>
      <c r="Q732" s="9"/>
      <c r="R732" s="9"/>
      <c r="S732" s="9"/>
    </row>
    <row r="733" spans="5:19" ht="15.75" customHeight="1" x14ac:dyDescent="0.3">
      <c r="E733" s="9"/>
      <c r="F733" s="9"/>
      <c r="H733" s="9"/>
      <c r="M733" s="9"/>
      <c r="N733" s="9"/>
      <c r="O733" s="9"/>
      <c r="P733" s="9"/>
      <c r="Q733" s="9"/>
      <c r="R733" s="9"/>
      <c r="S733" s="9"/>
    </row>
    <row r="734" spans="5:19" ht="15.75" customHeight="1" x14ac:dyDescent="0.3">
      <c r="E734" s="9"/>
      <c r="F734" s="9"/>
      <c r="H734" s="9"/>
      <c r="M734" s="9"/>
      <c r="N734" s="9"/>
      <c r="O734" s="9"/>
      <c r="P734" s="9"/>
      <c r="Q734" s="9"/>
      <c r="R734" s="9"/>
      <c r="S734" s="9"/>
    </row>
    <row r="735" spans="5:19" ht="15.75" customHeight="1" x14ac:dyDescent="0.3">
      <c r="E735" s="9"/>
      <c r="F735" s="9"/>
      <c r="H735" s="9"/>
      <c r="M735" s="9"/>
      <c r="N735" s="9"/>
      <c r="O735" s="9"/>
      <c r="P735" s="9"/>
      <c r="Q735" s="9"/>
      <c r="R735" s="9"/>
      <c r="S735" s="9"/>
    </row>
    <row r="736" spans="5:19" ht="15.75" customHeight="1" x14ac:dyDescent="0.3">
      <c r="E736" s="9"/>
      <c r="F736" s="9"/>
      <c r="H736" s="9"/>
      <c r="M736" s="9"/>
      <c r="N736" s="9"/>
      <c r="O736" s="9"/>
      <c r="P736" s="9"/>
      <c r="Q736" s="9"/>
      <c r="R736" s="9"/>
      <c r="S736" s="9"/>
    </row>
    <row r="737" spans="5:19" ht="15.75" customHeight="1" x14ac:dyDescent="0.3">
      <c r="E737" s="9"/>
      <c r="F737" s="9"/>
      <c r="H737" s="9"/>
      <c r="M737" s="9"/>
      <c r="N737" s="9"/>
      <c r="O737" s="9"/>
      <c r="P737" s="9"/>
      <c r="Q737" s="9"/>
      <c r="R737" s="9"/>
      <c r="S737" s="9"/>
    </row>
    <row r="738" spans="5:19" ht="15.75" customHeight="1" x14ac:dyDescent="0.3">
      <c r="E738" s="9"/>
      <c r="F738" s="9"/>
      <c r="H738" s="9"/>
      <c r="M738" s="9"/>
      <c r="N738" s="9"/>
      <c r="O738" s="9"/>
      <c r="P738" s="9"/>
      <c r="Q738" s="9"/>
      <c r="R738" s="9"/>
      <c r="S738" s="9"/>
    </row>
    <row r="739" spans="5:19" ht="15.75" customHeight="1" x14ac:dyDescent="0.3">
      <c r="E739" s="9"/>
      <c r="F739" s="9"/>
      <c r="H739" s="9"/>
      <c r="M739" s="9"/>
      <c r="N739" s="9"/>
      <c r="O739" s="9"/>
      <c r="P739" s="9"/>
      <c r="Q739" s="9"/>
      <c r="R739" s="9"/>
      <c r="S739" s="9"/>
    </row>
    <row r="740" spans="5:19" ht="15.75" customHeight="1" x14ac:dyDescent="0.3">
      <c r="E740" s="9"/>
      <c r="F740" s="9"/>
      <c r="H740" s="9"/>
      <c r="M740" s="9"/>
      <c r="N740" s="9"/>
      <c r="O740" s="9"/>
      <c r="P740" s="9"/>
      <c r="Q740" s="9"/>
      <c r="R740" s="9"/>
      <c r="S740" s="9"/>
    </row>
    <row r="741" spans="5:19" ht="15.75" customHeight="1" x14ac:dyDescent="0.3">
      <c r="E741" s="9"/>
      <c r="F741" s="9"/>
      <c r="H741" s="9"/>
      <c r="M741" s="9"/>
      <c r="N741" s="9"/>
      <c r="O741" s="9"/>
      <c r="P741" s="9"/>
      <c r="Q741" s="9"/>
      <c r="R741" s="9"/>
      <c r="S741" s="9"/>
    </row>
    <row r="742" spans="5:19" ht="15.75" customHeight="1" x14ac:dyDescent="0.3">
      <c r="E742" s="9"/>
      <c r="F742" s="9"/>
      <c r="H742" s="9"/>
      <c r="M742" s="9"/>
      <c r="N742" s="9"/>
      <c r="O742" s="9"/>
      <c r="P742" s="9"/>
      <c r="Q742" s="9"/>
      <c r="R742" s="9"/>
      <c r="S742" s="9"/>
    </row>
    <row r="743" spans="5:19" ht="15.75" customHeight="1" x14ac:dyDescent="0.3">
      <c r="E743" s="9"/>
      <c r="F743" s="9"/>
      <c r="H743" s="9"/>
      <c r="M743" s="9"/>
      <c r="N743" s="9"/>
      <c r="O743" s="9"/>
      <c r="P743" s="9"/>
      <c r="Q743" s="9"/>
      <c r="R743" s="9"/>
      <c r="S743" s="9"/>
    </row>
    <row r="744" spans="5:19" ht="15.75" customHeight="1" x14ac:dyDescent="0.3">
      <c r="E744" s="9"/>
      <c r="F744" s="9"/>
      <c r="H744" s="9"/>
      <c r="M744" s="9"/>
      <c r="N744" s="9"/>
      <c r="O744" s="9"/>
      <c r="P744" s="9"/>
      <c r="Q744" s="9"/>
      <c r="R744" s="9"/>
      <c r="S744" s="9"/>
    </row>
    <row r="745" spans="5:19" ht="15.75" customHeight="1" x14ac:dyDescent="0.3">
      <c r="E745" s="9"/>
      <c r="F745" s="9"/>
      <c r="H745" s="9"/>
      <c r="M745" s="9"/>
      <c r="N745" s="9"/>
      <c r="O745" s="9"/>
      <c r="P745" s="9"/>
      <c r="Q745" s="9"/>
      <c r="R745" s="9"/>
      <c r="S745" s="9"/>
    </row>
    <row r="746" spans="5:19" ht="15.75" customHeight="1" x14ac:dyDescent="0.3">
      <c r="E746" s="9"/>
      <c r="F746" s="9"/>
      <c r="H746" s="9"/>
      <c r="M746" s="9"/>
      <c r="N746" s="9"/>
      <c r="O746" s="9"/>
      <c r="P746" s="9"/>
      <c r="Q746" s="9"/>
      <c r="R746" s="9"/>
      <c r="S746" s="9"/>
    </row>
    <row r="747" spans="5:19" ht="15.75" customHeight="1" x14ac:dyDescent="0.3">
      <c r="E747" s="9"/>
      <c r="F747" s="9"/>
      <c r="H747" s="9"/>
      <c r="M747" s="9"/>
      <c r="N747" s="9"/>
      <c r="O747" s="9"/>
      <c r="P747" s="9"/>
      <c r="Q747" s="9"/>
      <c r="R747" s="9"/>
      <c r="S747" s="9"/>
    </row>
    <row r="748" spans="5:19" ht="15.75" customHeight="1" x14ac:dyDescent="0.3">
      <c r="E748" s="9"/>
      <c r="F748" s="9"/>
      <c r="H748" s="9"/>
      <c r="M748" s="9"/>
      <c r="N748" s="9"/>
      <c r="O748" s="9"/>
      <c r="P748" s="9"/>
      <c r="Q748" s="9"/>
      <c r="R748" s="9"/>
      <c r="S748" s="9"/>
    </row>
    <row r="749" spans="5:19" ht="15.75" customHeight="1" x14ac:dyDescent="0.3">
      <c r="E749" s="9"/>
      <c r="F749" s="9"/>
      <c r="H749" s="9"/>
      <c r="M749" s="9"/>
      <c r="N749" s="9"/>
      <c r="O749" s="9"/>
      <c r="P749" s="9"/>
      <c r="Q749" s="9"/>
      <c r="R749" s="9"/>
      <c r="S749" s="9"/>
    </row>
    <row r="750" spans="5:19" ht="15.75" customHeight="1" x14ac:dyDescent="0.3">
      <c r="E750" s="9"/>
      <c r="F750" s="9"/>
      <c r="H750" s="9"/>
      <c r="M750" s="9"/>
      <c r="N750" s="9"/>
      <c r="O750" s="9"/>
      <c r="P750" s="9"/>
      <c r="Q750" s="9"/>
      <c r="R750" s="9"/>
      <c r="S750" s="9"/>
    </row>
    <row r="751" spans="5:19" ht="15.75" customHeight="1" x14ac:dyDescent="0.3">
      <c r="E751" s="9"/>
      <c r="F751" s="9"/>
      <c r="H751" s="9"/>
      <c r="M751" s="9"/>
      <c r="N751" s="9"/>
      <c r="O751" s="9"/>
      <c r="P751" s="9"/>
      <c r="Q751" s="9"/>
      <c r="R751" s="9"/>
      <c r="S751" s="9"/>
    </row>
    <row r="752" spans="5:19" ht="15.75" customHeight="1" x14ac:dyDescent="0.3">
      <c r="E752" s="9"/>
      <c r="F752" s="9"/>
      <c r="H752" s="9"/>
      <c r="M752" s="9"/>
      <c r="N752" s="9"/>
      <c r="O752" s="9"/>
      <c r="P752" s="9"/>
      <c r="Q752" s="9"/>
      <c r="R752" s="9"/>
      <c r="S752" s="9"/>
    </row>
    <row r="753" spans="5:19" ht="15.75" customHeight="1" x14ac:dyDescent="0.3">
      <c r="E753" s="9"/>
      <c r="F753" s="9"/>
      <c r="H753" s="9"/>
      <c r="M753" s="9"/>
      <c r="N753" s="9"/>
      <c r="O753" s="9"/>
      <c r="P753" s="9"/>
      <c r="Q753" s="9"/>
      <c r="R753" s="9"/>
      <c r="S753" s="9"/>
    </row>
    <row r="754" spans="5:19" ht="15.75" customHeight="1" x14ac:dyDescent="0.3">
      <c r="E754" s="9"/>
      <c r="F754" s="9"/>
      <c r="H754" s="9"/>
      <c r="M754" s="9"/>
      <c r="N754" s="9"/>
      <c r="O754" s="9"/>
      <c r="P754" s="9"/>
      <c r="Q754" s="9"/>
      <c r="R754" s="9"/>
      <c r="S754" s="9"/>
    </row>
    <row r="755" spans="5:19" ht="15.75" customHeight="1" x14ac:dyDescent="0.3">
      <c r="E755" s="9"/>
      <c r="F755" s="9"/>
      <c r="H755" s="9"/>
      <c r="M755" s="9"/>
      <c r="N755" s="9"/>
      <c r="O755" s="9"/>
      <c r="P755" s="9"/>
      <c r="Q755" s="9"/>
      <c r="R755" s="9"/>
      <c r="S755" s="9"/>
    </row>
    <row r="756" spans="5:19" ht="15.75" customHeight="1" x14ac:dyDescent="0.3">
      <c r="E756" s="9"/>
      <c r="F756" s="9"/>
      <c r="H756" s="9"/>
      <c r="M756" s="9"/>
      <c r="N756" s="9"/>
      <c r="O756" s="9"/>
      <c r="P756" s="9"/>
      <c r="Q756" s="9"/>
      <c r="R756" s="9"/>
      <c r="S756" s="9"/>
    </row>
    <row r="757" spans="5:19" ht="15.75" customHeight="1" x14ac:dyDescent="0.3">
      <c r="E757" s="9"/>
      <c r="F757" s="9"/>
      <c r="H757" s="9"/>
      <c r="M757" s="9"/>
      <c r="N757" s="9"/>
      <c r="O757" s="9"/>
      <c r="P757" s="9"/>
      <c r="Q757" s="9"/>
      <c r="R757" s="9"/>
      <c r="S757" s="9"/>
    </row>
    <row r="758" spans="5:19" ht="15.75" customHeight="1" x14ac:dyDescent="0.3">
      <c r="E758" s="9"/>
      <c r="F758" s="9"/>
      <c r="H758" s="9"/>
      <c r="M758" s="9"/>
      <c r="N758" s="9"/>
      <c r="O758" s="9"/>
      <c r="P758" s="9"/>
      <c r="Q758" s="9"/>
      <c r="R758" s="9"/>
      <c r="S758" s="9"/>
    </row>
    <row r="759" spans="5:19" ht="15.75" customHeight="1" x14ac:dyDescent="0.3">
      <c r="E759" s="9"/>
      <c r="F759" s="9"/>
      <c r="H759" s="9"/>
      <c r="M759" s="9"/>
      <c r="N759" s="9"/>
      <c r="O759" s="9"/>
      <c r="P759" s="9"/>
      <c r="Q759" s="9"/>
      <c r="R759" s="9"/>
      <c r="S759" s="9"/>
    </row>
    <row r="760" spans="5:19" ht="15.75" customHeight="1" x14ac:dyDescent="0.3">
      <c r="E760" s="9"/>
      <c r="F760" s="9"/>
      <c r="H760" s="9"/>
      <c r="M760" s="9"/>
      <c r="N760" s="9"/>
      <c r="O760" s="9"/>
      <c r="P760" s="9"/>
      <c r="Q760" s="9"/>
      <c r="R760" s="9"/>
      <c r="S760" s="9"/>
    </row>
    <row r="761" spans="5:19" ht="15.75" customHeight="1" x14ac:dyDescent="0.3">
      <c r="E761" s="9"/>
      <c r="F761" s="9"/>
      <c r="H761" s="9"/>
      <c r="M761" s="9"/>
      <c r="N761" s="9"/>
      <c r="O761" s="9"/>
      <c r="P761" s="9"/>
      <c r="Q761" s="9"/>
      <c r="R761" s="9"/>
      <c r="S761" s="9"/>
    </row>
    <row r="762" spans="5:19" ht="15.75" customHeight="1" x14ac:dyDescent="0.3">
      <c r="E762" s="9"/>
      <c r="F762" s="9"/>
      <c r="H762" s="9"/>
      <c r="M762" s="9"/>
      <c r="N762" s="9"/>
      <c r="O762" s="9"/>
      <c r="P762" s="9"/>
      <c r="Q762" s="9"/>
      <c r="R762" s="9"/>
      <c r="S762" s="9"/>
    </row>
    <row r="763" spans="5:19" ht="15.75" customHeight="1" x14ac:dyDescent="0.3">
      <c r="E763" s="9"/>
      <c r="F763" s="9"/>
      <c r="H763" s="9"/>
      <c r="M763" s="9"/>
      <c r="N763" s="9"/>
      <c r="O763" s="9"/>
      <c r="P763" s="9"/>
      <c r="Q763" s="9"/>
      <c r="R763" s="9"/>
      <c r="S763" s="9"/>
    </row>
    <row r="764" spans="5:19" ht="15.75" customHeight="1" x14ac:dyDescent="0.3">
      <c r="E764" s="9"/>
      <c r="F764" s="9"/>
      <c r="H764" s="9"/>
      <c r="M764" s="9"/>
      <c r="N764" s="9"/>
      <c r="O764" s="9"/>
      <c r="P764" s="9"/>
      <c r="Q764" s="9"/>
      <c r="R764" s="9"/>
      <c r="S764" s="9"/>
    </row>
    <row r="765" spans="5:19" ht="15.75" customHeight="1" x14ac:dyDescent="0.3">
      <c r="E765" s="9"/>
      <c r="F765" s="9"/>
      <c r="H765" s="9"/>
      <c r="M765" s="9"/>
      <c r="N765" s="9"/>
      <c r="O765" s="9"/>
      <c r="P765" s="9"/>
      <c r="Q765" s="9"/>
      <c r="R765" s="9"/>
      <c r="S765" s="9"/>
    </row>
    <row r="766" spans="5:19" ht="15.75" customHeight="1" x14ac:dyDescent="0.3">
      <c r="E766" s="9"/>
      <c r="F766" s="9"/>
      <c r="H766" s="9"/>
      <c r="M766" s="9"/>
      <c r="N766" s="9"/>
      <c r="O766" s="9"/>
      <c r="P766" s="9"/>
      <c r="Q766" s="9"/>
      <c r="R766" s="9"/>
      <c r="S766" s="9"/>
    </row>
    <row r="767" spans="5:19" ht="15.75" customHeight="1" x14ac:dyDescent="0.3">
      <c r="E767" s="9"/>
      <c r="F767" s="9"/>
      <c r="H767" s="9"/>
      <c r="M767" s="9"/>
      <c r="N767" s="9"/>
      <c r="O767" s="9"/>
      <c r="P767" s="9"/>
      <c r="Q767" s="9"/>
      <c r="R767" s="9"/>
      <c r="S767" s="9"/>
    </row>
    <row r="768" spans="5:19" ht="15.75" customHeight="1" x14ac:dyDescent="0.3">
      <c r="E768" s="9"/>
      <c r="F768" s="9"/>
      <c r="H768" s="9"/>
      <c r="M768" s="9"/>
      <c r="N768" s="9"/>
      <c r="O768" s="9"/>
      <c r="P768" s="9"/>
      <c r="Q768" s="9"/>
      <c r="R768" s="9"/>
      <c r="S768" s="9"/>
    </row>
    <row r="769" spans="5:19" ht="15.75" customHeight="1" x14ac:dyDescent="0.3">
      <c r="E769" s="9"/>
      <c r="F769" s="9"/>
      <c r="H769" s="9"/>
      <c r="M769" s="9"/>
      <c r="N769" s="9"/>
      <c r="O769" s="9"/>
      <c r="P769" s="9"/>
      <c r="Q769" s="9"/>
      <c r="R769" s="9"/>
      <c r="S769" s="9"/>
    </row>
    <row r="770" spans="5:19" ht="15.75" customHeight="1" x14ac:dyDescent="0.3">
      <c r="E770" s="9"/>
      <c r="F770" s="9"/>
      <c r="H770" s="9"/>
      <c r="M770" s="9"/>
      <c r="N770" s="9"/>
      <c r="O770" s="9"/>
      <c r="P770" s="9"/>
      <c r="Q770" s="9"/>
      <c r="R770" s="9"/>
      <c r="S770" s="9"/>
    </row>
    <row r="771" spans="5:19" ht="15.75" customHeight="1" x14ac:dyDescent="0.3">
      <c r="E771" s="9"/>
      <c r="F771" s="9"/>
      <c r="H771" s="9"/>
      <c r="M771" s="9"/>
      <c r="N771" s="9"/>
      <c r="O771" s="9"/>
      <c r="P771" s="9"/>
      <c r="Q771" s="9"/>
      <c r="R771" s="9"/>
      <c r="S771" s="9"/>
    </row>
    <row r="772" spans="5:19" ht="15.75" customHeight="1" x14ac:dyDescent="0.3">
      <c r="E772" s="9"/>
      <c r="F772" s="9"/>
      <c r="H772" s="9"/>
      <c r="M772" s="9"/>
      <c r="N772" s="9"/>
      <c r="O772" s="9"/>
      <c r="P772" s="9"/>
      <c r="Q772" s="9"/>
      <c r="R772" s="9"/>
      <c r="S772" s="9"/>
    </row>
    <row r="773" spans="5:19" ht="15.75" customHeight="1" x14ac:dyDescent="0.3">
      <c r="E773" s="9"/>
      <c r="F773" s="9"/>
      <c r="H773" s="9"/>
      <c r="M773" s="9"/>
      <c r="N773" s="9"/>
      <c r="O773" s="9"/>
      <c r="P773" s="9"/>
      <c r="Q773" s="9"/>
      <c r="R773" s="9"/>
      <c r="S773" s="9"/>
    </row>
    <row r="774" spans="5:19" ht="15.75" customHeight="1" x14ac:dyDescent="0.3">
      <c r="E774" s="9"/>
      <c r="F774" s="9"/>
      <c r="H774" s="9"/>
      <c r="M774" s="9"/>
      <c r="N774" s="9"/>
      <c r="O774" s="9"/>
      <c r="P774" s="9"/>
      <c r="Q774" s="9"/>
      <c r="R774" s="9"/>
      <c r="S774" s="9"/>
    </row>
    <row r="775" spans="5:19" ht="15.75" customHeight="1" x14ac:dyDescent="0.3">
      <c r="E775" s="9"/>
      <c r="F775" s="9"/>
      <c r="H775" s="9"/>
      <c r="M775" s="9"/>
      <c r="N775" s="9"/>
      <c r="O775" s="9"/>
      <c r="P775" s="9"/>
      <c r="Q775" s="9"/>
      <c r="R775" s="9"/>
      <c r="S775" s="9"/>
    </row>
    <row r="776" spans="5:19" ht="15.75" customHeight="1" x14ac:dyDescent="0.3">
      <c r="E776" s="9"/>
      <c r="F776" s="9"/>
      <c r="H776" s="9"/>
      <c r="M776" s="9"/>
      <c r="N776" s="9"/>
      <c r="O776" s="9"/>
      <c r="P776" s="9"/>
      <c r="Q776" s="9"/>
      <c r="R776" s="9"/>
      <c r="S776" s="9"/>
    </row>
    <row r="777" spans="5:19" ht="15.75" customHeight="1" x14ac:dyDescent="0.3">
      <c r="E777" s="9"/>
      <c r="F777" s="9"/>
      <c r="H777" s="9"/>
      <c r="M777" s="9"/>
      <c r="N777" s="9"/>
      <c r="O777" s="9"/>
      <c r="P777" s="9"/>
      <c r="Q777" s="9"/>
      <c r="R777" s="9"/>
      <c r="S777" s="9"/>
    </row>
    <row r="778" spans="5:19" ht="15.75" customHeight="1" x14ac:dyDescent="0.3">
      <c r="E778" s="9"/>
      <c r="F778" s="9"/>
      <c r="H778" s="9"/>
      <c r="M778" s="9"/>
      <c r="N778" s="9"/>
      <c r="O778" s="9"/>
      <c r="P778" s="9"/>
      <c r="Q778" s="9"/>
      <c r="R778" s="9"/>
      <c r="S778" s="9"/>
    </row>
    <row r="779" spans="5:19" ht="15.75" customHeight="1" x14ac:dyDescent="0.3">
      <c r="E779" s="9"/>
      <c r="F779" s="9"/>
      <c r="H779" s="9"/>
      <c r="M779" s="9"/>
      <c r="N779" s="9"/>
      <c r="O779" s="9"/>
      <c r="P779" s="9"/>
      <c r="Q779" s="9"/>
      <c r="R779" s="9"/>
      <c r="S779" s="9"/>
    </row>
    <row r="780" spans="5:19" ht="15.75" customHeight="1" x14ac:dyDescent="0.3">
      <c r="E780" s="9"/>
      <c r="F780" s="9"/>
      <c r="H780" s="9"/>
      <c r="M780" s="9"/>
      <c r="N780" s="9"/>
      <c r="O780" s="9"/>
      <c r="P780" s="9"/>
      <c r="Q780" s="9"/>
      <c r="R780" s="9"/>
      <c r="S780" s="9"/>
    </row>
    <row r="781" spans="5:19" ht="15.75" customHeight="1" x14ac:dyDescent="0.3">
      <c r="E781" s="9"/>
      <c r="F781" s="9"/>
      <c r="H781" s="9"/>
      <c r="M781" s="9"/>
      <c r="N781" s="9"/>
      <c r="O781" s="9"/>
      <c r="P781" s="9"/>
      <c r="Q781" s="9"/>
      <c r="R781" s="9"/>
      <c r="S781" s="9"/>
    </row>
    <row r="782" spans="5:19" ht="15.75" customHeight="1" x14ac:dyDescent="0.3">
      <c r="E782" s="9"/>
      <c r="F782" s="9"/>
      <c r="H782" s="9"/>
      <c r="M782" s="9"/>
      <c r="N782" s="9"/>
      <c r="O782" s="9"/>
      <c r="P782" s="9"/>
      <c r="Q782" s="9"/>
      <c r="R782" s="9"/>
      <c r="S782" s="9"/>
    </row>
    <row r="783" spans="5:19" ht="15.75" customHeight="1" x14ac:dyDescent="0.3">
      <c r="E783" s="9"/>
      <c r="F783" s="9"/>
      <c r="H783" s="9"/>
      <c r="M783" s="9"/>
      <c r="N783" s="9"/>
      <c r="O783" s="9"/>
      <c r="P783" s="9"/>
      <c r="Q783" s="9"/>
      <c r="R783" s="9"/>
      <c r="S783" s="9"/>
    </row>
    <row r="784" spans="5:19" ht="15.75" customHeight="1" x14ac:dyDescent="0.3">
      <c r="E784" s="9"/>
      <c r="F784" s="9"/>
      <c r="H784" s="9"/>
      <c r="M784" s="9"/>
      <c r="N784" s="9"/>
      <c r="O784" s="9"/>
      <c r="P784" s="9"/>
      <c r="Q784" s="9"/>
      <c r="R784" s="9"/>
      <c r="S784" s="9"/>
    </row>
    <row r="785" spans="5:19" ht="15.75" customHeight="1" x14ac:dyDescent="0.3">
      <c r="E785" s="9"/>
      <c r="F785" s="9"/>
      <c r="H785" s="9"/>
      <c r="M785" s="9"/>
      <c r="N785" s="9"/>
      <c r="O785" s="9"/>
      <c r="P785" s="9"/>
      <c r="Q785" s="9"/>
      <c r="R785" s="9"/>
      <c r="S785" s="9"/>
    </row>
    <row r="786" spans="5:19" ht="15.75" customHeight="1" x14ac:dyDescent="0.3">
      <c r="E786" s="9"/>
      <c r="F786" s="9"/>
      <c r="H786" s="9"/>
      <c r="M786" s="9"/>
      <c r="N786" s="9"/>
      <c r="O786" s="9"/>
      <c r="P786" s="9"/>
      <c r="Q786" s="9"/>
      <c r="R786" s="9"/>
      <c r="S786" s="9"/>
    </row>
    <row r="787" spans="5:19" ht="15.75" customHeight="1" x14ac:dyDescent="0.3">
      <c r="E787" s="9"/>
      <c r="F787" s="9"/>
      <c r="H787" s="9"/>
      <c r="M787" s="9"/>
      <c r="N787" s="9"/>
      <c r="O787" s="9"/>
      <c r="P787" s="9"/>
      <c r="Q787" s="9"/>
      <c r="R787" s="9"/>
      <c r="S787" s="9"/>
    </row>
    <row r="788" spans="5:19" ht="15.75" customHeight="1" x14ac:dyDescent="0.3">
      <c r="E788" s="9"/>
      <c r="F788" s="9"/>
      <c r="H788" s="9"/>
      <c r="M788" s="9"/>
      <c r="N788" s="9"/>
      <c r="O788" s="9"/>
      <c r="P788" s="9"/>
      <c r="Q788" s="9"/>
      <c r="R788" s="9"/>
      <c r="S788" s="9"/>
    </row>
    <row r="789" spans="5:19" ht="15.75" customHeight="1" x14ac:dyDescent="0.3">
      <c r="E789" s="9"/>
      <c r="F789" s="9"/>
      <c r="H789" s="9"/>
      <c r="M789" s="9"/>
      <c r="N789" s="9"/>
      <c r="O789" s="9"/>
      <c r="P789" s="9"/>
      <c r="Q789" s="9"/>
      <c r="R789" s="9"/>
      <c r="S789" s="9"/>
    </row>
    <row r="790" spans="5:19" ht="15.75" customHeight="1" x14ac:dyDescent="0.3">
      <c r="E790" s="9"/>
      <c r="F790" s="9"/>
      <c r="H790" s="9"/>
      <c r="M790" s="9"/>
      <c r="N790" s="9"/>
      <c r="O790" s="9"/>
      <c r="P790" s="9"/>
      <c r="Q790" s="9"/>
      <c r="R790" s="9"/>
      <c r="S790" s="9"/>
    </row>
    <row r="791" spans="5:19" ht="15.75" customHeight="1" x14ac:dyDescent="0.3">
      <c r="E791" s="9"/>
      <c r="F791" s="9"/>
      <c r="H791" s="9"/>
      <c r="M791" s="9"/>
      <c r="N791" s="9"/>
      <c r="O791" s="9"/>
      <c r="P791" s="9"/>
      <c r="Q791" s="9"/>
      <c r="R791" s="9"/>
      <c r="S791" s="9"/>
    </row>
    <row r="792" spans="5:19" ht="15.75" customHeight="1" x14ac:dyDescent="0.3">
      <c r="E792" s="9"/>
      <c r="F792" s="9"/>
      <c r="H792" s="9"/>
      <c r="M792" s="9"/>
      <c r="N792" s="9"/>
      <c r="O792" s="9"/>
      <c r="P792" s="9"/>
      <c r="Q792" s="9"/>
      <c r="R792" s="9"/>
      <c r="S792" s="9"/>
    </row>
    <row r="793" spans="5:19" ht="15.75" customHeight="1" x14ac:dyDescent="0.3">
      <c r="E793" s="9"/>
      <c r="F793" s="9"/>
      <c r="H793" s="9"/>
      <c r="M793" s="9"/>
      <c r="N793" s="9"/>
      <c r="O793" s="9"/>
      <c r="P793" s="9"/>
      <c r="Q793" s="9"/>
      <c r="R793" s="9"/>
      <c r="S793" s="9"/>
    </row>
    <row r="794" spans="5:19" ht="15.75" customHeight="1" x14ac:dyDescent="0.3">
      <c r="E794" s="9"/>
      <c r="F794" s="9"/>
      <c r="H794" s="9"/>
      <c r="M794" s="9"/>
      <c r="N794" s="9"/>
      <c r="O794" s="9"/>
      <c r="P794" s="9"/>
      <c r="Q794" s="9"/>
      <c r="R794" s="9"/>
      <c r="S794" s="9"/>
    </row>
    <row r="795" spans="5:19" ht="15.75" customHeight="1" x14ac:dyDescent="0.3">
      <c r="E795" s="9"/>
      <c r="F795" s="9"/>
      <c r="H795" s="9"/>
      <c r="M795" s="9"/>
      <c r="N795" s="9"/>
      <c r="O795" s="9"/>
      <c r="P795" s="9"/>
      <c r="Q795" s="9"/>
      <c r="R795" s="9"/>
      <c r="S795" s="9"/>
    </row>
    <row r="796" spans="5:19" ht="15.75" customHeight="1" x14ac:dyDescent="0.3">
      <c r="E796" s="9"/>
      <c r="F796" s="9"/>
      <c r="H796" s="9"/>
      <c r="M796" s="9"/>
      <c r="N796" s="9"/>
      <c r="O796" s="9"/>
      <c r="P796" s="9"/>
      <c r="Q796" s="9"/>
      <c r="R796" s="9"/>
      <c r="S796" s="9"/>
    </row>
    <row r="797" spans="5:19" ht="15.75" customHeight="1" x14ac:dyDescent="0.3">
      <c r="E797" s="9"/>
      <c r="F797" s="9"/>
      <c r="H797" s="9"/>
      <c r="M797" s="9"/>
      <c r="N797" s="9"/>
      <c r="O797" s="9"/>
      <c r="P797" s="9"/>
      <c r="Q797" s="9"/>
      <c r="R797" s="9"/>
      <c r="S797" s="9"/>
    </row>
    <row r="798" spans="5:19" ht="15.75" customHeight="1" x14ac:dyDescent="0.3">
      <c r="E798" s="9"/>
      <c r="F798" s="9"/>
      <c r="H798" s="9"/>
      <c r="M798" s="9"/>
      <c r="N798" s="9"/>
      <c r="O798" s="9"/>
      <c r="P798" s="9"/>
      <c r="Q798" s="9"/>
      <c r="R798" s="9"/>
      <c r="S798" s="9"/>
    </row>
    <row r="799" spans="5:19" ht="15.75" customHeight="1" x14ac:dyDescent="0.3">
      <c r="E799" s="9"/>
      <c r="F799" s="9"/>
      <c r="H799" s="9"/>
      <c r="M799" s="9"/>
      <c r="N799" s="9"/>
      <c r="O799" s="9"/>
      <c r="P799" s="9"/>
      <c r="Q799" s="9"/>
      <c r="R799" s="9"/>
      <c r="S799" s="9"/>
    </row>
    <row r="800" spans="5:19" ht="15.75" customHeight="1" x14ac:dyDescent="0.3">
      <c r="E800" s="9"/>
      <c r="F800" s="9"/>
      <c r="H800" s="9"/>
      <c r="M800" s="9"/>
      <c r="N800" s="9"/>
      <c r="O800" s="9"/>
      <c r="P800" s="9"/>
      <c r="Q800" s="9"/>
      <c r="R800" s="9"/>
      <c r="S800" s="9"/>
    </row>
    <row r="801" spans="5:19" ht="15.75" customHeight="1" x14ac:dyDescent="0.3">
      <c r="E801" s="9"/>
      <c r="F801" s="9"/>
      <c r="H801" s="9"/>
      <c r="M801" s="9"/>
      <c r="N801" s="9"/>
      <c r="O801" s="9"/>
      <c r="P801" s="9"/>
      <c r="Q801" s="9"/>
      <c r="R801" s="9"/>
      <c r="S801" s="9"/>
    </row>
    <row r="802" spans="5:19" ht="15.75" customHeight="1" x14ac:dyDescent="0.3">
      <c r="E802" s="9"/>
      <c r="F802" s="9"/>
      <c r="H802" s="9"/>
      <c r="M802" s="9"/>
      <c r="N802" s="9"/>
      <c r="O802" s="9"/>
      <c r="P802" s="9"/>
      <c r="Q802" s="9"/>
      <c r="R802" s="9"/>
      <c r="S802" s="9"/>
    </row>
    <row r="803" spans="5:19" ht="15.75" customHeight="1" x14ac:dyDescent="0.3">
      <c r="E803" s="9"/>
      <c r="F803" s="9"/>
      <c r="H803" s="9"/>
      <c r="M803" s="9"/>
      <c r="N803" s="9"/>
      <c r="O803" s="9"/>
      <c r="P803" s="9"/>
      <c r="Q803" s="9"/>
      <c r="R803" s="9"/>
      <c r="S803" s="9"/>
    </row>
    <row r="804" spans="5:19" ht="15.75" customHeight="1" x14ac:dyDescent="0.3">
      <c r="E804" s="9"/>
      <c r="F804" s="9"/>
      <c r="H804" s="9"/>
      <c r="M804" s="9"/>
      <c r="N804" s="9"/>
      <c r="O804" s="9"/>
      <c r="P804" s="9"/>
      <c r="Q804" s="9"/>
      <c r="R804" s="9"/>
      <c r="S804" s="9"/>
    </row>
    <row r="805" spans="5:19" ht="15.75" customHeight="1" x14ac:dyDescent="0.3">
      <c r="E805" s="9"/>
      <c r="F805" s="9"/>
      <c r="H805" s="9"/>
      <c r="M805" s="9"/>
      <c r="N805" s="9"/>
      <c r="O805" s="9"/>
      <c r="P805" s="9"/>
      <c r="Q805" s="9"/>
      <c r="R805" s="9"/>
      <c r="S805" s="9"/>
    </row>
    <row r="806" spans="5:19" ht="15.75" customHeight="1" x14ac:dyDescent="0.3">
      <c r="E806" s="9"/>
      <c r="F806" s="9"/>
      <c r="H806" s="9"/>
      <c r="M806" s="9"/>
      <c r="N806" s="9"/>
      <c r="O806" s="9"/>
      <c r="P806" s="9"/>
      <c r="Q806" s="9"/>
      <c r="R806" s="9"/>
      <c r="S806" s="9"/>
    </row>
    <row r="807" spans="5:19" ht="15.75" customHeight="1" x14ac:dyDescent="0.3">
      <c r="E807" s="9"/>
      <c r="F807" s="9"/>
      <c r="H807" s="9"/>
      <c r="M807" s="9"/>
      <c r="N807" s="9"/>
      <c r="O807" s="9"/>
      <c r="P807" s="9"/>
      <c r="Q807" s="9"/>
      <c r="R807" s="9"/>
      <c r="S807" s="9"/>
    </row>
    <row r="808" spans="5:19" ht="15.75" customHeight="1" x14ac:dyDescent="0.3">
      <c r="E808" s="9"/>
      <c r="F808" s="9"/>
      <c r="H808" s="9"/>
      <c r="M808" s="9"/>
      <c r="N808" s="9"/>
      <c r="O808" s="9"/>
      <c r="P808" s="9"/>
      <c r="Q808" s="9"/>
      <c r="R808" s="9"/>
      <c r="S808" s="9"/>
    </row>
    <row r="809" spans="5:19" ht="15.75" customHeight="1" x14ac:dyDescent="0.3">
      <c r="E809" s="9"/>
      <c r="F809" s="9"/>
      <c r="H809" s="9"/>
      <c r="M809" s="9"/>
      <c r="N809" s="9"/>
      <c r="O809" s="9"/>
      <c r="P809" s="9"/>
      <c r="Q809" s="9"/>
      <c r="R809" s="9"/>
      <c r="S809" s="9"/>
    </row>
    <row r="810" spans="5:19" ht="15.75" customHeight="1" x14ac:dyDescent="0.3">
      <c r="E810" s="9"/>
      <c r="F810" s="9"/>
      <c r="H810" s="9"/>
      <c r="M810" s="9"/>
      <c r="N810" s="9"/>
      <c r="O810" s="9"/>
      <c r="P810" s="9"/>
      <c r="Q810" s="9"/>
      <c r="R810" s="9"/>
      <c r="S810" s="9"/>
    </row>
    <row r="811" spans="5:19" ht="15.75" customHeight="1" x14ac:dyDescent="0.3">
      <c r="E811" s="9"/>
      <c r="F811" s="9"/>
      <c r="H811" s="9"/>
      <c r="M811" s="9"/>
      <c r="N811" s="9"/>
      <c r="O811" s="9"/>
      <c r="P811" s="9"/>
      <c r="Q811" s="9"/>
      <c r="R811" s="9"/>
      <c r="S811" s="9"/>
    </row>
    <row r="812" spans="5:19" ht="15.75" customHeight="1" x14ac:dyDescent="0.3">
      <c r="E812" s="9"/>
      <c r="F812" s="9"/>
      <c r="H812" s="9"/>
      <c r="M812" s="9"/>
      <c r="N812" s="9"/>
      <c r="O812" s="9"/>
      <c r="P812" s="9"/>
      <c r="Q812" s="9"/>
      <c r="R812" s="9"/>
      <c r="S812" s="9"/>
    </row>
    <row r="813" spans="5:19" ht="15.75" customHeight="1" x14ac:dyDescent="0.3">
      <c r="E813" s="9"/>
      <c r="F813" s="9"/>
      <c r="H813" s="9"/>
      <c r="M813" s="9"/>
      <c r="N813" s="9"/>
      <c r="O813" s="9"/>
      <c r="P813" s="9"/>
      <c r="Q813" s="9"/>
      <c r="R813" s="9"/>
      <c r="S813" s="9"/>
    </row>
    <row r="814" spans="5:19" ht="15.75" customHeight="1" x14ac:dyDescent="0.3">
      <c r="E814" s="9"/>
      <c r="F814" s="9"/>
      <c r="H814" s="9"/>
      <c r="M814" s="9"/>
      <c r="N814" s="9"/>
      <c r="O814" s="9"/>
      <c r="P814" s="9"/>
      <c r="Q814" s="9"/>
      <c r="R814" s="9"/>
      <c r="S814" s="9"/>
    </row>
    <row r="815" spans="5:19" ht="15.75" customHeight="1" x14ac:dyDescent="0.3">
      <c r="E815" s="9"/>
      <c r="F815" s="9"/>
      <c r="H815" s="9"/>
      <c r="M815" s="9"/>
      <c r="N815" s="9"/>
      <c r="O815" s="9"/>
      <c r="P815" s="9"/>
      <c r="Q815" s="9"/>
      <c r="R815" s="9"/>
      <c r="S815" s="9"/>
    </row>
    <row r="816" spans="5:19" ht="15.75" customHeight="1" x14ac:dyDescent="0.3">
      <c r="E816" s="9"/>
      <c r="F816" s="9"/>
      <c r="H816" s="9"/>
      <c r="M816" s="9"/>
      <c r="N816" s="9"/>
      <c r="O816" s="9"/>
      <c r="P816" s="9"/>
      <c r="Q816" s="9"/>
      <c r="R816" s="9"/>
      <c r="S816" s="9"/>
    </row>
    <row r="817" spans="5:19" ht="15.75" customHeight="1" x14ac:dyDescent="0.3">
      <c r="E817" s="9"/>
      <c r="F817" s="9"/>
      <c r="H817" s="9"/>
      <c r="M817" s="9"/>
      <c r="N817" s="9"/>
      <c r="O817" s="9"/>
      <c r="P817" s="9"/>
      <c r="Q817" s="9"/>
      <c r="R817" s="9"/>
      <c r="S817" s="9"/>
    </row>
    <row r="818" spans="5:19" ht="15.75" customHeight="1" x14ac:dyDescent="0.3">
      <c r="E818" s="9"/>
      <c r="F818" s="9"/>
      <c r="H818" s="9"/>
      <c r="M818" s="9"/>
      <c r="N818" s="9"/>
      <c r="O818" s="9"/>
      <c r="P818" s="9"/>
      <c r="Q818" s="9"/>
      <c r="R818" s="9"/>
      <c r="S818" s="9"/>
    </row>
    <row r="819" spans="5:19" ht="15.75" customHeight="1" x14ac:dyDescent="0.3">
      <c r="E819" s="9"/>
      <c r="F819" s="9"/>
      <c r="H819" s="9"/>
      <c r="M819" s="9"/>
      <c r="N819" s="9"/>
      <c r="O819" s="9"/>
      <c r="P819" s="9"/>
      <c r="Q819" s="9"/>
      <c r="R819" s="9"/>
      <c r="S819" s="9"/>
    </row>
    <row r="820" spans="5:19" ht="15.75" customHeight="1" x14ac:dyDescent="0.3">
      <c r="E820" s="9"/>
      <c r="F820" s="9"/>
      <c r="H820" s="9"/>
      <c r="M820" s="9"/>
      <c r="N820" s="9"/>
      <c r="O820" s="9"/>
      <c r="P820" s="9"/>
      <c r="Q820" s="9"/>
      <c r="R820" s="9"/>
      <c r="S820" s="9"/>
    </row>
    <row r="821" spans="5:19" ht="15.75" customHeight="1" x14ac:dyDescent="0.3">
      <c r="E821" s="9"/>
      <c r="F821" s="9"/>
      <c r="H821" s="9"/>
      <c r="M821" s="9"/>
      <c r="N821" s="9"/>
      <c r="O821" s="9"/>
      <c r="P821" s="9"/>
      <c r="Q821" s="9"/>
      <c r="R821" s="9"/>
      <c r="S821" s="9"/>
    </row>
    <row r="822" spans="5:19" ht="15.75" customHeight="1" x14ac:dyDescent="0.3">
      <c r="E822" s="9"/>
      <c r="F822" s="9"/>
      <c r="H822" s="9"/>
      <c r="M822" s="9"/>
      <c r="N822" s="9"/>
      <c r="O822" s="9"/>
      <c r="P822" s="9"/>
      <c r="Q822" s="9"/>
      <c r="R822" s="9"/>
      <c r="S822" s="9"/>
    </row>
    <row r="823" spans="5:19" ht="15.75" customHeight="1" x14ac:dyDescent="0.3">
      <c r="E823" s="9"/>
      <c r="F823" s="9"/>
      <c r="H823" s="9"/>
      <c r="M823" s="9"/>
      <c r="N823" s="9"/>
      <c r="O823" s="9"/>
      <c r="P823" s="9"/>
      <c r="Q823" s="9"/>
      <c r="R823" s="9"/>
      <c r="S823" s="9"/>
    </row>
    <row r="824" spans="5:19" ht="15.75" customHeight="1" x14ac:dyDescent="0.3">
      <c r="E824" s="9"/>
      <c r="F824" s="9"/>
      <c r="H824" s="9"/>
      <c r="M824" s="9"/>
      <c r="N824" s="9"/>
      <c r="O824" s="9"/>
      <c r="P824" s="9"/>
      <c r="Q824" s="9"/>
      <c r="R824" s="9"/>
      <c r="S824" s="9"/>
    </row>
    <row r="825" spans="5:19" ht="15.75" customHeight="1" x14ac:dyDescent="0.3">
      <c r="E825" s="9"/>
      <c r="F825" s="9"/>
      <c r="H825" s="9"/>
      <c r="M825" s="9"/>
      <c r="N825" s="9"/>
      <c r="O825" s="9"/>
      <c r="P825" s="9"/>
      <c r="Q825" s="9"/>
      <c r="R825" s="9"/>
      <c r="S825" s="9"/>
    </row>
    <row r="826" spans="5:19" ht="15.75" customHeight="1" x14ac:dyDescent="0.3">
      <c r="E826" s="9"/>
      <c r="F826" s="9"/>
      <c r="H826" s="9"/>
      <c r="M826" s="9"/>
      <c r="N826" s="9"/>
      <c r="O826" s="9"/>
      <c r="P826" s="9"/>
      <c r="Q826" s="9"/>
      <c r="R826" s="9"/>
      <c r="S826" s="9"/>
    </row>
    <row r="827" spans="5:19" ht="15.75" customHeight="1" x14ac:dyDescent="0.3">
      <c r="E827" s="9"/>
      <c r="F827" s="9"/>
      <c r="H827" s="9"/>
      <c r="M827" s="9"/>
      <c r="N827" s="9"/>
      <c r="O827" s="9"/>
      <c r="P827" s="9"/>
      <c r="Q827" s="9"/>
      <c r="R827" s="9"/>
      <c r="S827" s="9"/>
    </row>
    <row r="828" spans="5:19" ht="15.75" customHeight="1" x14ac:dyDescent="0.3">
      <c r="E828" s="9"/>
      <c r="F828" s="9"/>
      <c r="H828" s="9"/>
      <c r="M828" s="9"/>
      <c r="N828" s="9"/>
      <c r="O828" s="9"/>
      <c r="P828" s="9"/>
      <c r="Q828" s="9"/>
      <c r="R828" s="9"/>
      <c r="S828" s="9"/>
    </row>
    <row r="829" spans="5:19" ht="15.75" customHeight="1" x14ac:dyDescent="0.3">
      <c r="E829" s="9"/>
      <c r="F829" s="9"/>
      <c r="H829" s="9"/>
      <c r="M829" s="9"/>
      <c r="N829" s="9"/>
      <c r="O829" s="9"/>
      <c r="P829" s="9"/>
      <c r="Q829" s="9"/>
      <c r="R829" s="9"/>
      <c r="S829" s="9"/>
    </row>
    <row r="830" spans="5:19" ht="15.75" customHeight="1" x14ac:dyDescent="0.3">
      <c r="E830" s="9"/>
      <c r="F830" s="9"/>
      <c r="H830" s="9"/>
      <c r="M830" s="9"/>
      <c r="N830" s="9"/>
      <c r="O830" s="9"/>
      <c r="P830" s="9"/>
      <c r="Q830" s="9"/>
      <c r="R830" s="9"/>
      <c r="S830" s="9"/>
    </row>
    <row r="831" spans="5:19" ht="15.75" customHeight="1" x14ac:dyDescent="0.3">
      <c r="E831" s="9"/>
      <c r="F831" s="9"/>
      <c r="H831" s="9"/>
      <c r="M831" s="9"/>
      <c r="N831" s="9"/>
      <c r="O831" s="9"/>
      <c r="P831" s="9"/>
      <c r="Q831" s="9"/>
      <c r="R831" s="9"/>
      <c r="S831" s="9"/>
    </row>
    <row r="832" spans="5:19" ht="15.75" customHeight="1" x14ac:dyDescent="0.3">
      <c r="E832" s="9"/>
      <c r="F832" s="9"/>
      <c r="H832" s="9"/>
      <c r="M832" s="9"/>
      <c r="N832" s="9"/>
      <c r="O832" s="9"/>
      <c r="P832" s="9"/>
      <c r="Q832" s="9"/>
      <c r="R832" s="9"/>
      <c r="S832" s="9"/>
    </row>
    <row r="833" spans="5:19" ht="15.75" customHeight="1" x14ac:dyDescent="0.3">
      <c r="E833" s="9"/>
      <c r="F833" s="9"/>
      <c r="H833" s="9"/>
      <c r="M833" s="9"/>
      <c r="N833" s="9"/>
      <c r="O833" s="9"/>
      <c r="P833" s="9"/>
      <c r="Q833" s="9"/>
      <c r="R833" s="9"/>
      <c r="S833" s="9"/>
    </row>
    <row r="834" spans="5:19" ht="15.75" customHeight="1" x14ac:dyDescent="0.3">
      <c r="E834" s="9"/>
      <c r="F834" s="9"/>
      <c r="H834" s="9"/>
      <c r="M834" s="9"/>
      <c r="N834" s="9"/>
      <c r="O834" s="9"/>
      <c r="P834" s="9"/>
      <c r="Q834" s="9"/>
      <c r="R834" s="9"/>
      <c r="S834" s="9"/>
    </row>
    <row r="835" spans="5:19" ht="15.75" customHeight="1" x14ac:dyDescent="0.3">
      <c r="E835" s="9"/>
      <c r="F835" s="9"/>
      <c r="H835" s="9"/>
      <c r="M835" s="9"/>
      <c r="N835" s="9"/>
      <c r="O835" s="9"/>
      <c r="P835" s="9"/>
      <c r="Q835" s="9"/>
      <c r="R835" s="9"/>
      <c r="S835" s="9"/>
    </row>
    <row r="836" spans="5:19" ht="15.75" customHeight="1" x14ac:dyDescent="0.3">
      <c r="E836" s="9"/>
      <c r="F836" s="9"/>
      <c r="H836" s="9"/>
      <c r="M836" s="9"/>
      <c r="N836" s="9"/>
      <c r="O836" s="9"/>
      <c r="P836" s="9"/>
      <c r="Q836" s="9"/>
      <c r="R836" s="9"/>
      <c r="S836" s="9"/>
    </row>
    <row r="837" spans="5:19" ht="15.75" customHeight="1" x14ac:dyDescent="0.3">
      <c r="E837" s="9"/>
      <c r="F837" s="9"/>
      <c r="H837" s="9"/>
      <c r="M837" s="9"/>
      <c r="N837" s="9"/>
      <c r="O837" s="9"/>
      <c r="P837" s="9"/>
      <c r="Q837" s="9"/>
      <c r="R837" s="9"/>
      <c r="S837" s="9"/>
    </row>
    <row r="838" spans="5:19" ht="15.75" customHeight="1" x14ac:dyDescent="0.3">
      <c r="E838" s="9"/>
      <c r="F838" s="9"/>
      <c r="H838" s="9"/>
      <c r="M838" s="9"/>
      <c r="N838" s="9"/>
      <c r="O838" s="9"/>
      <c r="P838" s="9"/>
      <c r="Q838" s="9"/>
      <c r="R838" s="9"/>
      <c r="S838" s="9"/>
    </row>
    <row r="839" spans="5:19" ht="15.75" customHeight="1" x14ac:dyDescent="0.3">
      <c r="E839" s="9"/>
      <c r="F839" s="9"/>
      <c r="H839" s="9"/>
      <c r="M839" s="9"/>
      <c r="N839" s="9"/>
      <c r="O839" s="9"/>
      <c r="P839" s="9"/>
      <c r="Q839" s="9"/>
      <c r="R839" s="9"/>
      <c r="S839" s="9"/>
    </row>
    <row r="840" spans="5:19" ht="15.75" customHeight="1" x14ac:dyDescent="0.3">
      <c r="E840" s="9"/>
      <c r="F840" s="9"/>
      <c r="H840" s="9"/>
      <c r="M840" s="9"/>
      <c r="N840" s="9"/>
      <c r="O840" s="9"/>
      <c r="P840" s="9"/>
      <c r="Q840" s="9"/>
      <c r="R840" s="9"/>
      <c r="S840" s="9"/>
    </row>
    <row r="841" spans="5:19" ht="15.75" customHeight="1" x14ac:dyDescent="0.3">
      <c r="E841" s="9"/>
      <c r="F841" s="9"/>
      <c r="H841" s="9"/>
      <c r="M841" s="9"/>
      <c r="N841" s="9"/>
      <c r="O841" s="9"/>
      <c r="P841" s="9"/>
      <c r="Q841" s="9"/>
      <c r="R841" s="9"/>
      <c r="S841" s="9"/>
    </row>
    <row r="842" spans="5:19" ht="15.75" customHeight="1" x14ac:dyDescent="0.3">
      <c r="E842" s="9"/>
      <c r="F842" s="9"/>
      <c r="H842" s="9"/>
      <c r="M842" s="9"/>
      <c r="N842" s="9"/>
      <c r="O842" s="9"/>
      <c r="P842" s="9"/>
      <c r="Q842" s="9"/>
      <c r="R842" s="9"/>
      <c r="S842" s="9"/>
    </row>
    <row r="843" spans="5:19" ht="15.75" customHeight="1" x14ac:dyDescent="0.3">
      <c r="E843" s="9"/>
      <c r="F843" s="9"/>
      <c r="H843" s="9"/>
      <c r="M843" s="9"/>
      <c r="N843" s="9"/>
      <c r="O843" s="9"/>
      <c r="P843" s="9"/>
      <c r="Q843" s="9"/>
      <c r="R843" s="9"/>
      <c r="S843" s="9"/>
    </row>
    <row r="844" spans="5:19" ht="15.75" customHeight="1" x14ac:dyDescent="0.3">
      <c r="E844" s="9"/>
      <c r="F844" s="9"/>
      <c r="H844" s="9"/>
      <c r="M844" s="9"/>
      <c r="N844" s="9"/>
      <c r="O844" s="9"/>
      <c r="P844" s="9"/>
      <c r="Q844" s="9"/>
      <c r="R844" s="9"/>
      <c r="S844" s="9"/>
    </row>
    <row r="845" spans="5:19" ht="15.75" customHeight="1" x14ac:dyDescent="0.3">
      <c r="E845" s="9"/>
      <c r="F845" s="9"/>
      <c r="H845" s="9"/>
      <c r="M845" s="9"/>
      <c r="N845" s="9"/>
      <c r="O845" s="9"/>
      <c r="P845" s="9"/>
      <c r="Q845" s="9"/>
      <c r="R845" s="9"/>
      <c r="S845" s="9"/>
    </row>
    <row r="846" spans="5:19" ht="15.75" customHeight="1" x14ac:dyDescent="0.3">
      <c r="E846" s="9"/>
      <c r="F846" s="9"/>
      <c r="H846" s="9"/>
      <c r="M846" s="9"/>
      <c r="N846" s="9"/>
      <c r="O846" s="9"/>
      <c r="P846" s="9"/>
      <c r="Q846" s="9"/>
      <c r="R846" s="9"/>
      <c r="S846" s="9"/>
    </row>
    <row r="847" spans="5:19" ht="15.75" customHeight="1" x14ac:dyDescent="0.3">
      <c r="E847" s="9"/>
      <c r="F847" s="9"/>
      <c r="H847" s="9"/>
      <c r="M847" s="9"/>
      <c r="N847" s="9"/>
      <c r="O847" s="9"/>
      <c r="P847" s="9"/>
      <c r="Q847" s="9"/>
      <c r="R847" s="9"/>
      <c r="S847" s="9"/>
    </row>
    <row r="848" spans="5:19" ht="15.75" customHeight="1" x14ac:dyDescent="0.3">
      <c r="E848" s="9"/>
      <c r="F848" s="9"/>
      <c r="H848" s="9"/>
      <c r="M848" s="9"/>
      <c r="N848" s="9"/>
      <c r="O848" s="9"/>
      <c r="P848" s="9"/>
      <c r="Q848" s="9"/>
      <c r="R848" s="9"/>
      <c r="S848" s="9"/>
    </row>
    <row r="849" spans="5:19" ht="15.75" customHeight="1" x14ac:dyDescent="0.3">
      <c r="E849" s="9"/>
      <c r="F849" s="9"/>
      <c r="H849" s="9"/>
      <c r="M849" s="9"/>
      <c r="N849" s="9"/>
      <c r="O849" s="9"/>
      <c r="P849" s="9"/>
      <c r="Q849" s="9"/>
      <c r="R849" s="9"/>
      <c r="S849" s="9"/>
    </row>
    <row r="850" spans="5:19" ht="15.75" customHeight="1" x14ac:dyDescent="0.3">
      <c r="E850" s="9"/>
      <c r="F850" s="9"/>
      <c r="H850" s="9"/>
      <c r="M850" s="9"/>
      <c r="N850" s="9"/>
      <c r="O850" s="9"/>
      <c r="P850" s="9"/>
      <c r="Q850" s="9"/>
      <c r="R850" s="9"/>
      <c r="S850" s="9"/>
    </row>
    <row r="851" spans="5:19" ht="15.75" customHeight="1" x14ac:dyDescent="0.3">
      <c r="E851" s="9"/>
      <c r="F851" s="9"/>
      <c r="H851" s="9"/>
      <c r="M851" s="9"/>
      <c r="N851" s="9"/>
      <c r="O851" s="9"/>
      <c r="P851" s="9"/>
      <c r="Q851" s="9"/>
      <c r="R851" s="9"/>
      <c r="S851" s="9"/>
    </row>
    <row r="852" spans="5:19" ht="15.75" customHeight="1" x14ac:dyDescent="0.3">
      <c r="E852" s="9"/>
      <c r="F852" s="9"/>
      <c r="H852" s="9"/>
      <c r="M852" s="9"/>
      <c r="N852" s="9"/>
      <c r="O852" s="9"/>
      <c r="P852" s="9"/>
      <c r="Q852" s="9"/>
      <c r="R852" s="9"/>
      <c r="S852" s="9"/>
    </row>
    <row r="853" spans="5:19" ht="15.75" customHeight="1" x14ac:dyDescent="0.3">
      <c r="E853" s="9"/>
      <c r="F853" s="9"/>
      <c r="H853" s="9"/>
      <c r="M853" s="9"/>
      <c r="N853" s="9"/>
      <c r="O853" s="9"/>
      <c r="P853" s="9"/>
      <c r="Q853" s="9"/>
      <c r="R853" s="9"/>
      <c r="S853" s="9"/>
    </row>
    <row r="854" spans="5:19" ht="15.75" customHeight="1" x14ac:dyDescent="0.3">
      <c r="E854" s="9"/>
      <c r="F854" s="9"/>
      <c r="H854" s="9"/>
      <c r="M854" s="9"/>
      <c r="N854" s="9"/>
      <c r="O854" s="9"/>
      <c r="P854" s="9"/>
      <c r="Q854" s="9"/>
      <c r="R854" s="9"/>
      <c r="S854" s="9"/>
    </row>
    <row r="855" spans="5:19" ht="15.75" customHeight="1" x14ac:dyDescent="0.3">
      <c r="E855" s="9"/>
      <c r="F855" s="9"/>
      <c r="H855" s="9"/>
      <c r="M855" s="9"/>
      <c r="N855" s="9"/>
      <c r="O855" s="9"/>
      <c r="P855" s="9"/>
      <c r="Q855" s="9"/>
      <c r="R855" s="9"/>
      <c r="S855" s="9"/>
    </row>
    <row r="856" spans="5:19" ht="15.75" customHeight="1" x14ac:dyDescent="0.3">
      <c r="E856" s="9"/>
      <c r="F856" s="9"/>
      <c r="H856" s="9"/>
      <c r="M856" s="9"/>
      <c r="N856" s="9"/>
      <c r="O856" s="9"/>
      <c r="P856" s="9"/>
      <c r="Q856" s="9"/>
      <c r="R856" s="9"/>
      <c r="S856" s="9"/>
    </row>
    <row r="857" spans="5:19" ht="15.75" customHeight="1" x14ac:dyDescent="0.3">
      <c r="E857" s="9"/>
      <c r="F857" s="9"/>
      <c r="H857" s="9"/>
      <c r="M857" s="9"/>
      <c r="N857" s="9"/>
      <c r="O857" s="9"/>
      <c r="P857" s="9"/>
      <c r="Q857" s="9"/>
      <c r="R857" s="9"/>
      <c r="S857" s="9"/>
    </row>
    <row r="858" spans="5:19" ht="15.75" customHeight="1" x14ac:dyDescent="0.3">
      <c r="E858" s="9"/>
      <c r="F858" s="9"/>
      <c r="H858" s="9"/>
      <c r="M858" s="9"/>
      <c r="N858" s="9"/>
      <c r="O858" s="9"/>
      <c r="P858" s="9"/>
      <c r="Q858" s="9"/>
      <c r="R858" s="9"/>
      <c r="S858" s="9"/>
    </row>
    <row r="859" spans="5:19" ht="15.75" customHeight="1" x14ac:dyDescent="0.3">
      <c r="E859" s="9"/>
      <c r="F859" s="9"/>
      <c r="H859" s="9"/>
      <c r="M859" s="9"/>
      <c r="N859" s="9"/>
      <c r="O859" s="9"/>
      <c r="P859" s="9"/>
      <c r="Q859" s="9"/>
      <c r="R859" s="9"/>
      <c r="S859" s="9"/>
    </row>
    <row r="860" spans="5:19" ht="15.75" customHeight="1" x14ac:dyDescent="0.3">
      <c r="E860" s="9"/>
      <c r="F860" s="9"/>
      <c r="H860" s="9"/>
      <c r="M860" s="9"/>
      <c r="N860" s="9"/>
      <c r="O860" s="9"/>
      <c r="P860" s="9"/>
      <c r="Q860" s="9"/>
      <c r="R860" s="9"/>
      <c r="S860" s="9"/>
    </row>
    <row r="861" spans="5:19" ht="15.75" customHeight="1" x14ac:dyDescent="0.3">
      <c r="E861" s="9"/>
      <c r="F861" s="9"/>
      <c r="H861" s="9"/>
      <c r="M861" s="9"/>
      <c r="N861" s="9"/>
      <c r="O861" s="9"/>
      <c r="P861" s="9"/>
      <c r="Q861" s="9"/>
      <c r="R861" s="9"/>
      <c r="S861" s="9"/>
    </row>
    <row r="862" spans="5:19" ht="15.75" customHeight="1" x14ac:dyDescent="0.3">
      <c r="E862" s="9"/>
      <c r="F862" s="9"/>
      <c r="H862" s="9"/>
      <c r="M862" s="9"/>
      <c r="N862" s="9"/>
      <c r="O862" s="9"/>
      <c r="P862" s="9"/>
      <c r="Q862" s="9"/>
      <c r="R862" s="9"/>
      <c r="S862" s="9"/>
    </row>
    <row r="863" spans="5:19" ht="15.75" customHeight="1" x14ac:dyDescent="0.3">
      <c r="E863" s="9"/>
      <c r="F863" s="9"/>
      <c r="H863" s="9"/>
      <c r="M863" s="9"/>
      <c r="N863" s="9"/>
      <c r="O863" s="9"/>
      <c r="P863" s="9"/>
      <c r="Q863" s="9"/>
      <c r="R863" s="9"/>
      <c r="S863" s="9"/>
    </row>
    <row r="864" spans="5:19" ht="15.75" customHeight="1" x14ac:dyDescent="0.3">
      <c r="E864" s="9"/>
      <c r="F864" s="9"/>
      <c r="H864" s="9"/>
      <c r="M864" s="9"/>
      <c r="N864" s="9"/>
      <c r="O864" s="9"/>
      <c r="P864" s="9"/>
      <c r="Q864" s="9"/>
      <c r="R864" s="9"/>
      <c r="S864" s="9"/>
    </row>
    <row r="865" spans="5:19" ht="15.75" customHeight="1" x14ac:dyDescent="0.3">
      <c r="E865" s="9"/>
      <c r="F865" s="9"/>
      <c r="H865" s="9"/>
      <c r="M865" s="9"/>
      <c r="N865" s="9"/>
      <c r="O865" s="9"/>
      <c r="P865" s="9"/>
      <c r="Q865" s="9"/>
      <c r="R865" s="9"/>
      <c r="S865" s="9"/>
    </row>
    <row r="866" spans="5:19" ht="15.75" customHeight="1" x14ac:dyDescent="0.3">
      <c r="E866" s="9"/>
      <c r="F866" s="9"/>
      <c r="H866" s="9"/>
      <c r="M866" s="9"/>
      <c r="N866" s="9"/>
      <c r="O866" s="9"/>
      <c r="P866" s="9"/>
      <c r="Q866" s="9"/>
      <c r="R866" s="9"/>
      <c r="S866" s="9"/>
    </row>
    <row r="867" spans="5:19" ht="15.75" customHeight="1" x14ac:dyDescent="0.3">
      <c r="E867" s="9"/>
      <c r="F867" s="9"/>
      <c r="H867" s="9"/>
      <c r="M867" s="9"/>
      <c r="N867" s="9"/>
      <c r="O867" s="9"/>
      <c r="P867" s="9"/>
      <c r="Q867" s="9"/>
      <c r="R867" s="9"/>
      <c r="S867" s="9"/>
    </row>
    <row r="868" spans="5:19" ht="15.75" customHeight="1" x14ac:dyDescent="0.3">
      <c r="E868" s="9"/>
      <c r="F868" s="9"/>
      <c r="H868" s="9"/>
      <c r="M868" s="9"/>
      <c r="N868" s="9"/>
      <c r="O868" s="9"/>
      <c r="P868" s="9"/>
      <c r="Q868" s="9"/>
      <c r="R868" s="9"/>
      <c r="S868" s="9"/>
    </row>
    <row r="869" spans="5:19" ht="15.75" customHeight="1" x14ac:dyDescent="0.3">
      <c r="E869" s="9"/>
      <c r="F869" s="9"/>
      <c r="H869" s="9"/>
      <c r="M869" s="9"/>
      <c r="N869" s="9"/>
      <c r="O869" s="9"/>
      <c r="P869" s="9"/>
      <c r="Q869" s="9"/>
      <c r="R869" s="9"/>
      <c r="S869" s="9"/>
    </row>
    <row r="870" spans="5:19" ht="15.75" customHeight="1" x14ac:dyDescent="0.3">
      <c r="E870" s="9"/>
      <c r="F870" s="9"/>
      <c r="H870" s="9"/>
      <c r="M870" s="9"/>
      <c r="N870" s="9"/>
      <c r="O870" s="9"/>
      <c r="P870" s="9"/>
      <c r="Q870" s="9"/>
      <c r="R870" s="9"/>
      <c r="S870" s="9"/>
    </row>
    <row r="871" spans="5:19" ht="15.75" customHeight="1" x14ac:dyDescent="0.3">
      <c r="E871" s="9"/>
      <c r="F871" s="9"/>
      <c r="H871" s="9"/>
      <c r="M871" s="9"/>
      <c r="N871" s="9"/>
      <c r="O871" s="9"/>
      <c r="P871" s="9"/>
      <c r="Q871" s="9"/>
      <c r="R871" s="9"/>
      <c r="S871" s="9"/>
    </row>
    <row r="872" spans="5:19" ht="15.75" customHeight="1" x14ac:dyDescent="0.3">
      <c r="E872" s="9"/>
      <c r="F872" s="9"/>
      <c r="H872" s="9"/>
      <c r="M872" s="9"/>
      <c r="N872" s="9"/>
      <c r="O872" s="9"/>
      <c r="P872" s="9"/>
      <c r="Q872" s="9"/>
      <c r="R872" s="9"/>
      <c r="S872" s="9"/>
    </row>
    <row r="873" spans="5:19" ht="15.75" customHeight="1" x14ac:dyDescent="0.3">
      <c r="E873" s="9"/>
      <c r="F873" s="9"/>
      <c r="H873" s="9"/>
      <c r="M873" s="9"/>
      <c r="N873" s="9"/>
      <c r="O873" s="9"/>
      <c r="P873" s="9"/>
      <c r="Q873" s="9"/>
      <c r="R873" s="9"/>
      <c r="S873" s="9"/>
    </row>
    <row r="874" spans="5:19" ht="15.75" customHeight="1" x14ac:dyDescent="0.3">
      <c r="E874" s="9"/>
      <c r="F874" s="9"/>
      <c r="H874" s="9"/>
      <c r="M874" s="9"/>
      <c r="N874" s="9"/>
      <c r="O874" s="9"/>
      <c r="P874" s="9"/>
      <c r="Q874" s="9"/>
      <c r="R874" s="9"/>
      <c r="S874" s="9"/>
    </row>
    <row r="875" spans="5:19" ht="15.75" customHeight="1" x14ac:dyDescent="0.3">
      <c r="E875" s="9"/>
      <c r="F875" s="9"/>
      <c r="H875" s="9"/>
      <c r="M875" s="9"/>
      <c r="N875" s="9"/>
      <c r="O875" s="9"/>
      <c r="P875" s="9"/>
      <c r="Q875" s="9"/>
      <c r="R875" s="9"/>
      <c r="S875" s="9"/>
    </row>
    <row r="876" spans="5:19" ht="15.75" customHeight="1" x14ac:dyDescent="0.3">
      <c r="E876" s="9"/>
      <c r="F876" s="9"/>
      <c r="H876" s="9"/>
      <c r="M876" s="9"/>
      <c r="N876" s="9"/>
      <c r="O876" s="9"/>
      <c r="P876" s="9"/>
      <c r="Q876" s="9"/>
      <c r="R876" s="9"/>
      <c r="S876" s="9"/>
    </row>
    <row r="877" spans="5:19" ht="15.75" customHeight="1" x14ac:dyDescent="0.3">
      <c r="E877" s="9"/>
      <c r="F877" s="9"/>
      <c r="H877" s="9"/>
      <c r="M877" s="9"/>
      <c r="N877" s="9"/>
      <c r="O877" s="9"/>
      <c r="P877" s="9"/>
      <c r="Q877" s="9"/>
      <c r="R877" s="9"/>
      <c r="S877" s="9"/>
    </row>
    <row r="878" spans="5:19" ht="15.75" customHeight="1" x14ac:dyDescent="0.3">
      <c r="E878" s="9"/>
      <c r="F878" s="9"/>
      <c r="H878" s="9"/>
      <c r="M878" s="9"/>
      <c r="N878" s="9"/>
      <c r="O878" s="9"/>
      <c r="P878" s="9"/>
      <c r="Q878" s="9"/>
      <c r="R878" s="9"/>
      <c r="S878" s="9"/>
    </row>
    <row r="879" spans="5:19" ht="15.75" customHeight="1" x14ac:dyDescent="0.3">
      <c r="E879" s="9"/>
      <c r="F879" s="9"/>
      <c r="H879" s="9"/>
      <c r="M879" s="9"/>
      <c r="N879" s="9"/>
      <c r="O879" s="9"/>
      <c r="P879" s="9"/>
      <c r="Q879" s="9"/>
      <c r="R879" s="9"/>
      <c r="S879" s="9"/>
    </row>
    <row r="880" spans="5:19" ht="15.75" customHeight="1" x14ac:dyDescent="0.3">
      <c r="E880" s="9"/>
      <c r="F880" s="9"/>
      <c r="H880" s="9"/>
      <c r="M880" s="9"/>
      <c r="N880" s="9"/>
      <c r="O880" s="9"/>
      <c r="P880" s="9"/>
      <c r="Q880" s="9"/>
      <c r="R880" s="9"/>
      <c r="S880" s="9"/>
    </row>
    <row r="881" spans="5:19" ht="15.75" customHeight="1" x14ac:dyDescent="0.3">
      <c r="E881" s="9"/>
      <c r="F881" s="9"/>
      <c r="H881" s="9"/>
      <c r="M881" s="9"/>
      <c r="N881" s="9"/>
      <c r="O881" s="9"/>
      <c r="P881" s="9"/>
      <c r="Q881" s="9"/>
      <c r="R881" s="9"/>
      <c r="S881" s="9"/>
    </row>
    <row r="882" spans="5:19" ht="15.75" customHeight="1" x14ac:dyDescent="0.3">
      <c r="E882" s="9"/>
      <c r="F882" s="9"/>
      <c r="H882" s="9"/>
      <c r="M882" s="9"/>
      <c r="N882" s="9"/>
      <c r="O882" s="9"/>
      <c r="P882" s="9"/>
      <c r="Q882" s="9"/>
      <c r="R882" s="9"/>
      <c r="S882" s="9"/>
    </row>
    <row r="883" spans="5:19" ht="15.75" customHeight="1" x14ac:dyDescent="0.3">
      <c r="E883" s="9"/>
      <c r="F883" s="9"/>
      <c r="H883" s="9"/>
      <c r="M883" s="9"/>
      <c r="N883" s="9"/>
      <c r="O883" s="9"/>
      <c r="P883" s="9"/>
      <c r="Q883" s="9"/>
      <c r="R883" s="9"/>
      <c r="S883" s="9"/>
    </row>
    <row r="884" spans="5:19" ht="15.75" customHeight="1" x14ac:dyDescent="0.3">
      <c r="E884" s="9"/>
      <c r="F884" s="9"/>
      <c r="H884" s="9"/>
      <c r="M884" s="9"/>
      <c r="N884" s="9"/>
      <c r="O884" s="9"/>
      <c r="P884" s="9"/>
      <c r="Q884" s="9"/>
      <c r="R884" s="9"/>
      <c r="S884" s="9"/>
    </row>
    <row r="885" spans="5:19" ht="15.75" customHeight="1" x14ac:dyDescent="0.3">
      <c r="E885" s="9"/>
      <c r="F885" s="9"/>
      <c r="H885" s="9"/>
      <c r="M885" s="9"/>
      <c r="N885" s="9"/>
      <c r="O885" s="9"/>
      <c r="P885" s="9"/>
      <c r="Q885" s="9"/>
      <c r="R885" s="9"/>
      <c r="S885" s="9"/>
    </row>
    <row r="886" spans="5:19" ht="15.75" customHeight="1" x14ac:dyDescent="0.3">
      <c r="E886" s="9"/>
      <c r="F886" s="9"/>
      <c r="H886" s="9"/>
      <c r="M886" s="9"/>
      <c r="N886" s="9"/>
      <c r="O886" s="9"/>
      <c r="P886" s="9"/>
      <c r="Q886" s="9"/>
      <c r="R886" s="9"/>
      <c r="S886" s="9"/>
    </row>
    <row r="887" spans="5:19" ht="15.75" customHeight="1" x14ac:dyDescent="0.3">
      <c r="E887" s="9"/>
      <c r="F887" s="9"/>
      <c r="H887" s="9"/>
      <c r="M887" s="9"/>
      <c r="N887" s="9"/>
      <c r="O887" s="9"/>
      <c r="P887" s="9"/>
      <c r="Q887" s="9"/>
      <c r="R887" s="9"/>
      <c r="S887" s="9"/>
    </row>
    <row r="888" spans="5:19" ht="15.75" customHeight="1" x14ac:dyDescent="0.3">
      <c r="E888" s="9"/>
      <c r="F888" s="9"/>
      <c r="H888" s="9"/>
      <c r="M888" s="9"/>
      <c r="N888" s="9"/>
      <c r="O888" s="9"/>
      <c r="P888" s="9"/>
      <c r="Q888" s="9"/>
      <c r="R888" s="9"/>
      <c r="S888" s="9"/>
    </row>
    <row r="889" spans="5:19" ht="15.75" customHeight="1" x14ac:dyDescent="0.3">
      <c r="E889" s="9"/>
      <c r="F889" s="9"/>
      <c r="H889" s="9"/>
      <c r="M889" s="9"/>
      <c r="N889" s="9"/>
      <c r="O889" s="9"/>
      <c r="P889" s="9"/>
      <c r="Q889" s="9"/>
      <c r="R889" s="9"/>
      <c r="S889" s="9"/>
    </row>
    <row r="890" spans="5:19" ht="15.75" customHeight="1" x14ac:dyDescent="0.3">
      <c r="E890" s="9"/>
      <c r="F890" s="9"/>
      <c r="H890" s="9"/>
      <c r="M890" s="9"/>
      <c r="N890" s="9"/>
      <c r="O890" s="9"/>
      <c r="P890" s="9"/>
      <c r="Q890" s="9"/>
      <c r="R890" s="9"/>
      <c r="S890" s="9"/>
    </row>
    <row r="891" spans="5:19" ht="15.75" customHeight="1" x14ac:dyDescent="0.3">
      <c r="E891" s="9"/>
      <c r="F891" s="9"/>
      <c r="H891" s="9"/>
      <c r="M891" s="9"/>
      <c r="N891" s="9"/>
      <c r="O891" s="9"/>
      <c r="P891" s="9"/>
      <c r="Q891" s="9"/>
      <c r="R891" s="9"/>
      <c r="S891" s="9"/>
    </row>
    <row r="892" spans="5:19" ht="15.75" customHeight="1" x14ac:dyDescent="0.3">
      <c r="E892" s="9"/>
      <c r="F892" s="9"/>
      <c r="H892" s="9"/>
      <c r="M892" s="9"/>
      <c r="N892" s="9"/>
      <c r="O892" s="9"/>
      <c r="P892" s="9"/>
      <c r="Q892" s="9"/>
      <c r="R892" s="9"/>
      <c r="S892" s="9"/>
    </row>
    <row r="893" spans="5:19" ht="15.75" customHeight="1" x14ac:dyDescent="0.3">
      <c r="E893" s="9"/>
      <c r="F893" s="9"/>
      <c r="H893" s="9"/>
      <c r="M893" s="9"/>
      <c r="N893" s="9"/>
      <c r="O893" s="9"/>
      <c r="P893" s="9"/>
      <c r="Q893" s="9"/>
      <c r="R893" s="9"/>
      <c r="S893" s="9"/>
    </row>
    <row r="894" spans="5:19" ht="15.75" customHeight="1" x14ac:dyDescent="0.3">
      <c r="E894" s="9"/>
      <c r="F894" s="9"/>
      <c r="H894" s="9"/>
      <c r="M894" s="9"/>
      <c r="N894" s="9"/>
      <c r="O894" s="9"/>
      <c r="P894" s="9"/>
      <c r="Q894" s="9"/>
      <c r="R894" s="9"/>
      <c r="S894" s="9"/>
    </row>
    <row r="895" spans="5:19" ht="15.75" customHeight="1" x14ac:dyDescent="0.3">
      <c r="E895" s="9"/>
      <c r="F895" s="9"/>
      <c r="H895" s="9"/>
      <c r="M895" s="9"/>
      <c r="N895" s="9"/>
      <c r="O895" s="9"/>
      <c r="P895" s="9"/>
      <c r="Q895" s="9"/>
      <c r="R895" s="9"/>
      <c r="S895" s="9"/>
    </row>
    <row r="896" spans="5:19" ht="15.75" customHeight="1" x14ac:dyDescent="0.3">
      <c r="E896" s="9"/>
      <c r="F896" s="9"/>
      <c r="H896" s="9"/>
      <c r="M896" s="9"/>
      <c r="N896" s="9"/>
      <c r="O896" s="9"/>
      <c r="P896" s="9"/>
      <c r="Q896" s="9"/>
      <c r="R896" s="9"/>
      <c r="S896" s="9"/>
    </row>
    <row r="897" spans="5:19" ht="15.75" customHeight="1" x14ac:dyDescent="0.3">
      <c r="E897" s="9"/>
      <c r="F897" s="9"/>
      <c r="H897" s="9"/>
      <c r="M897" s="9"/>
      <c r="N897" s="9"/>
      <c r="O897" s="9"/>
      <c r="P897" s="9"/>
      <c r="Q897" s="9"/>
      <c r="R897" s="9"/>
      <c r="S897" s="9"/>
    </row>
    <row r="898" spans="5:19" ht="15.75" customHeight="1" x14ac:dyDescent="0.3">
      <c r="E898" s="9"/>
      <c r="F898" s="9"/>
      <c r="H898" s="9"/>
      <c r="M898" s="9"/>
      <c r="N898" s="9"/>
      <c r="O898" s="9"/>
      <c r="P898" s="9"/>
      <c r="Q898" s="9"/>
      <c r="R898" s="9"/>
      <c r="S898" s="9"/>
    </row>
    <row r="899" spans="5:19" ht="15.75" customHeight="1" x14ac:dyDescent="0.3">
      <c r="E899" s="9"/>
      <c r="F899" s="9"/>
      <c r="H899" s="9"/>
      <c r="M899" s="9"/>
      <c r="N899" s="9"/>
      <c r="O899" s="9"/>
      <c r="P899" s="9"/>
      <c r="Q899" s="9"/>
      <c r="R899" s="9"/>
      <c r="S899" s="9"/>
    </row>
    <row r="900" spans="5:19" ht="15.75" customHeight="1" x14ac:dyDescent="0.3">
      <c r="E900" s="9"/>
      <c r="F900" s="9"/>
      <c r="H900" s="9"/>
      <c r="M900" s="9"/>
      <c r="N900" s="9"/>
      <c r="O900" s="9"/>
      <c r="P900" s="9"/>
      <c r="Q900" s="9"/>
      <c r="R900" s="9"/>
      <c r="S900" s="9"/>
    </row>
    <row r="901" spans="5:19" ht="15.75" customHeight="1" x14ac:dyDescent="0.3">
      <c r="E901" s="9"/>
      <c r="F901" s="9"/>
      <c r="H901" s="9"/>
      <c r="M901" s="9"/>
      <c r="N901" s="9"/>
      <c r="O901" s="9"/>
      <c r="P901" s="9"/>
      <c r="Q901" s="9"/>
      <c r="R901" s="9"/>
      <c r="S901" s="9"/>
    </row>
    <row r="902" spans="5:19" ht="15.75" customHeight="1" x14ac:dyDescent="0.3">
      <c r="E902" s="9"/>
      <c r="F902" s="9"/>
      <c r="H902" s="9"/>
      <c r="M902" s="9"/>
      <c r="N902" s="9"/>
      <c r="O902" s="9"/>
      <c r="P902" s="9"/>
      <c r="Q902" s="9"/>
      <c r="R902" s="9"/>
      <c r="S902" s="9"/>
    </row>
    <row r="903" spans="5:19" ht="15.75" customHeight="1" x14ac:dyDescent="0.3">
      <c r="E903" s="9"/>
      <c r="F903" s="9"/>
      <c r="H903" s="9"/>
      <c r="M903" s="9"/>
      <c r="N903" s="9"/>
      <c r="O903" s="9"/>
      <c r="P903" s="9"/>
      <c r="Q903" s="9"/>
      <c r="R903" s="9"/>
      <c r="S903" s="9"/>
    </row>
    <row r="904" spans="5:19" ht="15.75" customHeight="1" x14ac:dyDescent="0.3">
      <c r="E904" s="9"/>
      <c r="F904" s="9"/>
      <c r="H904" s="9"/>
      <c r="M904" s="9"/>
      <c r="N904" s="9"/>
      <c r="O904" s="9"/>
      <c r="P904" s="9"/>
      <c r="Q904" s="9"/>
      <c r="R904" s="9"/>
      <c r="S904" s="9"/>
    </row>
    <row r="905" spans="5:19" ht="15.75" customHeight="1" x14ac:dyDescent="0.3">
      <c r="E905" s="9"/>
      <c r="F905" s="9"/>
      <c r="H905" s="9"/>
      <c r="M905" s="9"/>
      <c r="N905" s="9"/>
      <c r="O905" s="9"/>
      <c r="P905" s="9"/>
      <c r="Q905" s="9"/>
      <c r="R905" s="9"/>
      <c r="S905" s="9"/>
    </row>
    <row r="906" spans="5:19" ht="15.75" customHeight="1" x14ac:dyDescent="0.3">
      <c r="E906" s="9"/>
      <c r="F906" s="9"/>
      <c r="H906" s="9"/>
      <c r="M906" s="9"/>
      <c r="N906" s="9"/>
      <c r="O906" s="9"/>
      <c r="P906" s="9"/>
      <c r="Q906" s="9"/>
      <c r="R906" s="9"/>
      <c r="S906" s="9"/>
    </row>
    <row r="907" spans="5:19" ht="15.75" customHeight="1" x14ac:dyDescent="0.3">
      <c r="E907" s="9"/>
      <c r="F907" s="9"/>
      <c r="H907" s="9"/>
      <c r="M907" s="9"/>
      <c r="N907" s="9"/>
      <c r="O907" s="9"/>
      <c r="P907" s="9"/>
      <c r="Q907" s="9"/>
      <c r="R907" s="9"/>
      <c r="S907" s="9"/>
    </row>
    <row r="908" spans="5:19" ht="15.75" customHeight="1" x14ac:dyDescent="0.3">
      <c r="E908" s="9"/>
      <c r="F908" s="9"/>
      <c r="H908" s="9"/>
      <c r="M908" s="9"/>
      <c r="N908" s="9"/>
      <c r="O908" s="9"/>
      <c r="P908" s="9"/>
      <c r="Q908" s="9"/>
      <c r="R908" s="9"/>
      <c r="S908" s="9"/>
    </row>
    <row r="909" spans="5:19" ht="15.75" customHeight="1" x14ac:dyDescent="0.3">
      <c r="E909" s="9"/>
      <c r="F909" s="9"/>
      <c r="H909" s="9"/>
      <c r="M909" s="9"/>
      <c r="N909" s="9"/>
      <c r="O909" s="9"/>
      <c r="P909" s="9"/>
      <c r="Q909" s="9"/>
      <c r="R909" s="9"/>
      <c r="S909" s="9"/>
    </row>
    <row r="910" spans="5:19" ht="15.75" customHeight="1" x14ac:dyDescent="0.3">
      <c r="E910" s="9"/>
      <c r="F910" s="9"/>
      <c r="H910" s="9"/>
      <c r="M910" s="9"/>
      <c r="N910" s="9"/>
      <c r="O910" s="9"/>
      <c r="P910" s="9"/>
      <c r="Q910" s="9"/>
      <c r="R910" s="9"/>
      <c r="S910" s="9"/>
    </row>
    <row r="911" spans="5:19" ht="15.75" customHeight="1" x14ac:dyDescent="0.3">
      <c r="E911" s="9"/>
      <c r="F911" s="9"/>
      <c r="H911" s="9"/>
      <c r="M911" s="9"/>
      <c r="N911" s="9"/>
      <c r="O911" s="9"/>
      <c r="P911" s="9"/>
      <c r="Q911" s="9"/>
      <c r="R911" s="9"/>
      <c r="S911" s="9"/>
    </row>
    <row r="912" spans="5:19" ht="15.75" customHeight="1" x14ac:dyDescent="0.3">
      <c r="E912" s="9"/>
      <c r="F912" s="9"/>
      <c r="H912" s="9"/>
      <c r="M912" s="9"/>
      <c r="N912" s="9"/>
      <c r="O912" s="9"/>
      <c r="P912" s="9"/>
      <c r="Q912" s="9"/>
      <c r="R912" s="9"/>
      <c r="S912" s="9"/>
    </row>
    <row r="913" spans="5:19" ht="15.75" customHeight="1" x14ac:dyDescent="0.3">
      <c r="E913" s="9"/>
      <c r="F913" s="9"/>
      <c r="H913" s="9"/>
      <c r="M913" s="9"/>
      <c r="N913" s="9"/>
      <c r="O913" s="9"/>
      <c r="P913" s="9"/>
      <c r="Q913" s="9"/>
      <c r="R913" s="9"/>
      <c r="S913" s="9"/>
    </row>
    <row r="914" spans="5:19" ht="15.75" customHeight="1" x14ac:dyDescent="0.3">
      <c r="E914" s="9"/>
      <c r="F914" s="9"/>
      <c r="H914" s="9"/>
      <c r="M914" s="9"/>
      <c r="N914" s="9"/>
      <c r="O914" s="9"/>
      <c r="P914" s="9"/>
      <c r="Q914" s="9"/>
      <c r="R914" s="9"/>
      <c r="S914" s="9"/>
    </row>
    <row r="915" spans="5:19" ht="15.75" customHeight="1" x14ac:dyDescent="0.3">
      <c r="E915" s="9"/>
      <c r="F915" s="9"/>
      <c r="H915" s="9"/>
      <c r="M915" s="9"/>
      <c r="N915" s="9"/>
      <c r="O915" s="9"/>
      <c r="P915" s="9"/>
      <c r="Q915" s="9"/>
      <c r="R915" s="9"/>
      <c r="S915" s="9"/>
    </row>
    <row r="916" spans="5:19" ht="15.75" customHeight="1" x14ac:dyDescent="0.3">
      <c r="E916" s="9"/>
      <c r="F916" s="9"/>
      <c r="H916" s="9"/>
      <c r="M916" s="9"/>
      <c r="N916" s="9"/>
      <c r="O916" s="9"/>
      <c r="P916" s="9"/>
      <c r="Q916" s="9"/>
      <c r="R916" s="9"/>
      <c r="S916" s="9"/>
    </row>
    <row r="917" spans="5:19" ht="15.75" customHeight="1" x14ac:dyDescent="0.3">
      <c r="E917" s="9"/>
      <c r="F917" s="9"/>
      <c r="H917" s="9"/>
      <c r="M917" s="9"/>
      <c r="N917" s="9"/>
      <c r="O917" s="9"/>
      <c r="P917" s="9"/>
      <c r="Q917" s="9"/>
      <c r="R917" s="9"/>
      <c r="S917" s="9"/>
    </row>
    <row r="918" spans="5:19" ht="15.75" customHeight="1" x14ac:dyDescent="0.3">
      <c r="E918" s="9"/>
      <c r="F918" s="9"/>
      <c r="H918" s="9"/>
      <c r="M918" s="9"/>
      <c r="N918" s="9"/>
      <c r="O918" s="9"/>
      <c r="P918" s="9"/>
      <c r="Q918" s="9"/>
      <c r="R918" s="9"/>
      <c r="S918" s="9"/>
    </row>
    <row r="919" spans="5:19" ht="15.75" customHeight="1" x14ac:dyDescent="0.3">
      <c r="E919" s="9"/>
      <c r="F919" s="9"/>
      <c r="H919" s="9"/>
      <c r="M919" s="9"/>
      <c r="N919" s="9"/>
      <c r="O919" s="9"/>
      <c r="P919" s="9"/>
      <c r="Q919" s="9"/>
      <c r="R919" s="9"/>
      <c r="S919" s="9"/>
    </row>
    <row r="920" spans="5:19" ht="15.75" customHeight="1" x14ac:dyDescent="0.3">
      <c r="E920" s="9"/>
      <c r="F920" s="9"/>
      <c r="H920" s="9"/>
      <c r="M920" s="9"/>
      <c r="N920" s="9"/>
      <c r="O920" s="9"/>
      <c r="P920" s="9"/>
      <c r="Q920" s="9"/>
      <c r="R920" s="9"/>
      <c r="S920" s="9"/>
    </row>
    <row r="921" spans="5:19" ht="15.75" customHeight="1" x14ac:dyDescent="0.3">
      <c r="E921" s="9"/>
      <c r="F921" s="9"/>
      <c r="H921" s="9"/>
      <c r="M921" s="9"/>
      <c r="N921" s="9"/>
      <c r="O921" s="9"/>
      <c r="P921" s="9"/>
      <c r="Q921" s="9"/>
      <c r="R921" s="9"/>
      <c r="S921" s="9"/>
    </row>
    <row r="922" spans="5:19" ht="15.75" customHeight="1" x14ac:dyDescent="0.3">
      <c r="E922" s="9"/>
      <c r="F922" s="9"/>
      <c r="H922" s="9"/>
      <c r="M922" s="9"/>
      <c r="N922" s="9"/>
      <c r="O922" s="9"/>
      <c r="P922" s="9"/>
      <c r="Q922" s="9"/>
      <c r="R922" s="9"/>
      <c r="S922" s="9"/>
    </row>
    <row r="923" spans="5:19" ht="15.75" customHeight="1" x14ac:dyDescent="0.3">
      <c r="E923" s="9"/>
      <c r="F923" s="9"/>
      <c r="H923" s="9"/>
      <c r="M923" s="9"/>
      <c r="N923" s="9"/>
      <c r="O923" s="9"/>
      <c r="P923" s="9"/>
      <c r="Q923" s="9"/>
      <c r="R923" s="9"/>
      <c r="S923" s="9"/>
    </row>
    <row r="924" spans="5:19" ht="15.75" customHeight="1" x14ac:dyDescent="0.3">
      <c r="E924" s="9"/>
      <c r="F924" s="9"/>
      <c r="H924" s="9"/>
      <c r="M924" s="9"/>
      <c r="N924" s="9"/>
      <c r="O924" s="9"/>
      <c r="P924" s="9"/>
      <c r="Q924" s="9"/>
      <c r="R924" s="9"/>
      <c r="S924" s="9"/>
    </row>
    <row r="925" spans="5:19" ht="15.75" customHeight="1" x14ac:dyDescent="0.3">
      <c r="E925" s="9"/>
      <c r="F925" s="9"/>
      <c r="H925" s="9"/>
      <c r="M925" s="9"/>
      <c r="N925" s="9"/>
      <c r="O925" s="9"/>
      <c r="P925" s="9"/>
      <c r="Q925" s="9"/>
      <c r="R925" s="9"/>
      <c r="S925" s="9"/>
    </row>
    <row r="926" spans="5:19" ht="15.75" customHeight="1" x14ac:dyDescent="0.3">
      <c r="E926" s="9"/>
      <c r="F926" s="9"/>
      <c r="H926" s="9"/>
      <c r="M926" s="9"/>
      <c r="N926" s="9"/>
      <c r="O926" s="9"/>
      <c r="P926" s="9"/>
      <c r="Q926" s="9"/>
      <c r="R926" s="9"/>
      <c r="S926" s="9"/>
    </row>
    <row r="927" spans="5:19" ht="15.75" customHeight="1" x14ac:dyDescent="0.3">
      <c r="E927" s="9"/>
      <c r="F927" s="9"/>
      <c r="H927" s="9"/>
      <c r="M927" s="9"/>
      <c r="N927" s="9"/>
      <c r="O927" s="9"/>
      <c r="P927" s="9"/>
      <c r="Q927" s="9"/>
      <c r="R927" s="9"/>
      <c r="S927" s="9"/>
    </row>
    <row r="928" spans="5:19" ht="15.75" customHeight="1" x14ac:dyDescent="0.3">
      <c r="E928" s="9"/>
      <c r="F928" s="9"/>
      <c r="H928" s="9"/>
      <c r="M928" s="9"/>
      <c r="N928" s="9"/>
      <c r="O928" s="9"/>
      <c r="P928" s="9"/>
      <c r="Q928" s="9"/>
      <c r="R928" s="9"/>
      <c r="S928" s="9"/>
    </row>
    <row r="929" spans="5:19" ht="15.75" customHeight="1" x14ac:dyDescent="0.3">
      <c r="E929" s="9"/>
      <c r="F929" s="9"/>
      <c r="H929" s="9"/>
      <c r="M929" s="9"/>
      <c r="N929" s="9"/>
      <c r="O929" s="9"/>
      <c r="P929" s="9"/>
      <c r="Q929" s="9"/>
      <c r="R929" s="9"/>
      <c r="S929" s="9"/>
    </row>
    <row r="930" spans="5:19" ht="15.75" customHeight="1" x14ac:dyDescent="0.3">
      <c r="E930" s="9"/>
      <c r="F930" s="9"/>
      <c r="H930" s="9"/>
      <c r="M930" s="9"/>
      <c r="N930" s="9"/>
      <c r="O930" s="9"/>
      <c r="P930" s="9"/>
      <c r="Q930" s="9"/>
      <c r="R930" s="9"/>
      <c r="S930" s="9"/>
    </row>
    <row r="931" spans="5:19" ht="15.75" customHeight="1" x14ac:dyDescent="0.3">
      <c r="E931" s="9"/>
      <c r="F931" s="9"/>
      <c r="H931" s="9"/>
      <c r="M931" s="9"/>
      <c r="N931" s="9"/>
      <c r="O931" s="9"/>
      <c r="P931" s="9"/>
      <c r="Q931" s="9"/>
      <c r="R931" s="9"/>
      <c r="S931" s="9"/>
    </row>
    <row r="932" spans="5:19" ht="15.75" customHeight="1" x14ac:dyDescent="0.3">
      <c r="E932" s="9"/>
      <c r="F932" s="9"/>
      <c r="H932" s="9"/>
      <c r="M932" s="9"/>
      <c r="N932" s="9"/>
      <c r="O932" s="9"/>
      <c r="P932" s="9"/>
      <c r="Q932" s="9"/>
      <c r="R932" s="9"/>
      <c r="S932" s="9"/>
    </row>
    <row r="933" spans="5:19" ht="15.75" customHeight="1" x14ac:dyDescent="0.3">
      <c r="E933" s="9"/>
      <c r="F933" s="9"/>
      <c r="H933" s="9"/>
      <c r="M933" s="9"/>
      <c r="N933" s="9"/>
      <c r="O933" s="9"/>
      <c r="P933" s="9"/>
      <c r="Q933" s="9"/>
      <c r="R933" s="9"/>
      <c r="S933" s="9"/>
    </row>
    <row r="934" spans="5:19" ht="15.75" customHeight="1" x14ac:dyDescent="0.3">
      <c r="E934" s="9"/>
      <c r="F934" s="9"/>
      <c r="H934" s="9"/>
      <c r="M934" s="9"/>
      <c r="N934" s="9"/>
      <c r="O934" s="9"/>
      <c r="P934" s="9"/>
      <c r="Q934" s="9"/>
      <c r="R934" s="9"/>
      <c r="S934" s="9"/>
    </row>
    <row r="935" spans="5:19" ht="15.75" customHeight="1" x14ac:dyDescent="0.3">
      <c r="E935" s="9"/>
      <c r="F935" s="9"/>
      <c r="H935" s="9"/>
      <c r="M935" s="9"/>
      <c r="N935" s="9"/>
      <c r="O935" s="9"/>
      <c r="P935" s="9"/>
      <c r="Q935" s="9"/>
      <c r="R935" s="9"/>
      <c r="S935" s="9"/>
    </row>
    <row r="936" spans="5:19" ht="15.75" customHeight="1" x14ac:dyDescent="0.3">
      <c r="E936" s="9"/>
      <c r="F936" s="9"/>
      <c r="H936" s="9"/>
      <c r="M936" s="9"/>
      <c r="N936" s="9"/>
      <c r="O936" s="9"/>
      <c r="P936" s="9"/>
      <c r="Q936" s="9"/>
      <c r="R936" s="9"/>
      <c r="S936" s="9"/>
    </row>
    <row r="937" spans="5:19" ht="15.75" customHeight="1" x14ac:dyDescent="0.3">
      <c r="E937" s="9"/>
      <c r="F937" s="9"/>
      <c r="H937" s="9"/>
      <c r="M937" s="9"/>
      <c r="N937" s="9"/>
      <c r="O937" s="9"/>
      <c r="P937" s="9"/>
      <c r="Q937" s="9"/>
      <c r="R937" s="9"/>
      <c r="S937" s="9"/>
    </row>
    <row r="938" spans="5:19" ht="15.75" customHeight="1" x14ac:dyDescent="0.3">
      <c r="E938" s="9"/>
      <c r="F938" s="9"/>
      <c r="H938" s="9"/>
      <c r="M938" s="9"/>
      <c r="N938" s="9"/>
      <c r="O938" s="9"/>
      <c r="P938" s="9"/>
      <c r="Q938" s="9"/>
      <c r="R938" s="9"/>
      <c r="S938" s="9"/>
    </row>
    <row r="939" spans="5:19" ht="15.75" customHeight="1" x14ac:dyDescent="0.3">
      <c r="E939" s="9"/>
      <c r="F939" s="9"/>
      <c r="H939" s="9"/>
      <c r="M939" s="9"/>
      <c r="N939" s="9"/>
      <c r="O939" s="9"/>
      <c r="P939" s="9"/>
      <c r="Q939" s="9"/>
      <c r="R939" s="9"/>
      <c r="S939" s="9"/>
    </row>
    <row r="940" spans="5:19" ht="15.75" customHeight="1" x14ac:dyDescent="0.3">
      <c r="E940" s="9"/>
      <c r="F940" s="9"/>
      <c r="H940" s="9"/>
      <c r="M940" s="9"/>
      <c r="N940" s="9"/>
      <c r="O940" s="9"/>
      <c r="P940" s="9"/>
      <c r="Q940" s="9"/>
      <c r="R940" s="9"/>
      <c r="S940" s="9"/>
    </row>
    <row r="941" spans="5:19" ht="15.75" customHeight="1" x14ac:dyDescent="0.3">
      <c r="E941" s="9"/>
      <c r="F941" s="9"/>
      <c r="H941" s="9"/>
      <c r="M941" s="9"/>
      <c r="N941" s="9"/>
      <c r="O941" s="9"/>
      <c r="P941" s="9"/>
      <c r="Q941" s="9"/>
      <c r="R941" s="9"/>
      <c r="S941" s="9"/>
    </row>
    <row r="942" spans="5:19" ht="15.75" customHeight="1" x14ac:dyDescent="0.3">
      <c r="E942" s="9"/>
      <c r="F942" s="9"/>
      <c r="H942" s="9"/>
      <c r="M942" s="9"/>
      <c r="N942" s="9"/>
      <c r="O942" s="9"/>
      <c r="P942" s="9"/>
      <c r="Q942" s="9"/>
      <c r="R942" s="9"/>
      <c r="S942" s="9"/>
    </row>
    <row r="943" spans="5:19" ht="15.75" customHeight="1" x14ac:dyDescent="0.3">
      <c r="E943" s="9"/>
      <c r="F943" s="9"/>
      <c r="H943" s="9"/>
      <c r="M943" s="9"/>
      <c r="N943" s="9"/>
      <c r="O943" s="9"/>
      <c r="P943" s="9"/>
      <c r="Q943" s="9"/>
      <c r="R943" s="9"/>
      <c r="S943" s="9"/>
    </row>
    <row r="944" spans="5:19" ht="15.75" customHeight="1" x14ac:dyDescent="0.3">
      <c r="E944" s="9"/>
      <c r="F944" s="9"/>
      <c r="H944" s="9"/>
      <c r="M944" s="9"/>
      <c r="N944" s="9"/>
      <c r="O944" s="9"/>
      <c r="P944" s="9"/>
      <c r="Q944" s="9"/>
      <c r="R944" s="9"/>
      <c r="S944" s="9"/>
    </row>
    <row r="945" spans="5:19" ht="15.75" customHeight="1" x14ac:dyDescent="0.3">
      <c r="E945" s="9"/>
      <c r="F945" s="9"/>
      <c r="H945" s="9"/>
      <c r="M945" s="9"/>
      <c r="N945" s="9"/>
      <c r="O945" s="9"/>
      <c r="P945" s="9"/>
      <c r="Q945" s="9"/>
      <c r="R945" s="9"/>
      <c r="S945" s="9"/>
    </row>
    <row r="946" spans="5:19" ht="15.75" customHeight="1" x14ac:dyDescent="0.3">
      <c r="E946" s="9"/>
      <c r="F946" s="9"/>
      <c r="H946" s="9"/>
      <c r="M946" s="9"/>
      <c r="N946" s="9"/>
      <c r="O946" s="9"/>
      <c r="P946" s="9"/>
      <c r="Q946" s="9"/>
      <c r="R946" s="9"/>
      <c r="S946" s="9"/>
    </row>
    <row r="947" spans="5:19" ht="15.75" customHeight="1" x14ac:dyDescent="0.3">
      <c r="E947" s="9"/>
      <c r="F947" s="9"/>
      <c r="H947" s="9"/>
      <c r="M947" s="9"/>
      <c r="N947" s="9"/>
      <c r="O947" s="9"/>
      <c r="P947" s="9"/>
      <c r="Q947" s="9"/>
      <c r="R947" s="9"/>
      <c r="S947" s="9"/>
    </row>
    <row r="948" spans="5:19" ht="15.75" customHeight="1" x14ac:dyDescent="0.3">
      <c r="E948" s="9"/>
      <c r="F948" s="9"/>
      <c r="H948" s="9"/>
      <c r="M948" s="9"/>
      <c r="N948" s="9"/>
      <c r="O948" s="9"/>
      <c r="P948" s="9"/>
      <c r="Q948" s="9"/>
      <c r="R948" s="9"/>
      <c r="S948" s="9"/>
    </row>
    <row r="949" spans="5:19" ht="15.75" customHeight="1" x14ac:dyDescent="0.3">
      <c r="E949" s="9"/>
      <c r="F949" s="9"/>
      <c r="H949" s="9"/>
      <c r="M949" s="9"/>
      <c r="N949" s="9"/>
      <c r="O949" s="9"/>
      <c r="P949" s="9"/>
      <c r="Q949" s="9"/>
      <c r="R949" s="9"/>
      <c r="S949" s="9"/>
    </row>
    <row r="950" spans="5:19" ht="15.75" customHeight="1" x14ac:dyDescent="0.3">
      <c r="E950" s="9"/>
      <c r="F950" s="9"/>
      <c r="H950" s="9"/>
      <c r="M950" s="9"/>
      <c r="N950" s="9"/>
      <c r="O950" s="9"/>
      <c r="P950" s="9"/>
      <c r="Q950" s="9"/>
      <c r="R950" s="9"/>
      <c r="S950" s="9"/>
    </row>
    <row r="951" spans="5:19" ht="15.75" customHeight="1" x14ac:dyDescent="0.3">
      <c r="E951" s="9"/>
      <c r="F951" s="9"/>
      <c r="H951" s="9"/>
      <c r="M951" s="9"/>
      <c r="N951" s="9"/>
      <c r="O951" s="9"/>
      <c r="P951" s="9"/>
      <c r="Q951" s="9"/>
      <c r="R951" s="9"/>
      <c r="S951" s="9"/>
    </row>
    <row r="952" spans="5:19" ht="15.75" customHeight="1" x14ac:dyDescent="0.3">
      <c r="E952" s="9"/>
      <c r="F952" s="9"/>
      <c r="H952" s="9"/>
      <c r="M952" s="9"/>
      <c r="N952" s="9"/>
      <c r="O952" s="9"/>
      <c r="P952" s="9"/>
      <c r="Q952" s="9"/>
      <c r="R952" s="9"/>
      <c r="S952" s="9"/>
    </row>
    <row r="953" spans="5:19" ht="15.75" customHeight="1" x14ac:dyDescent="0.3">
      <c r="E953" s="9"/>
      <c r="F953" s="9"/>
      <c r="H953" s="9"/>
      <c r="M953" s="9"/>
      <c r="N953" s="9"/>
      <c r="O953" s="9"/>
      <c r="P953" s="9"/>
      <c r="Q953" s="9"/>
      <c r="R953" s="9"/>
      <c r="S953" s="9"/>
    </row>
    <row r="954" spans="5:19" ht="15.75" customHeight="1" x14ac:dyDescent="0.3">
      <c r="E954" s="9"/>
      <c r="F954" s="9"/>
      <c r="H954" s="9"/>
      <c r="M954" s="9"/>
      <c r="N954" s="9"/>
      <c r="O954" s="9"/>
      <c r="P954" s="9"/>
      <c r="Q954" s="9"/>
      <c r="R954" s="9"/>
      <c r="S954" s="9"/>
    </row>
    <row r="955" spans="5:19" ht="15.75" customHeight="1" x14ac:dyDescent="0.3">
      <c r="E955" s="9"/>
      <c r="F955" s="9"/>
      <c r="H955" s="9"/>
      <c r="M955" s="9"/>
      <c r="N955" s="9"/>
      <c r="O955" s="9"/>
      <c r="P955" s="9"/>
      <c r="Q955" s="9"/>
      <c r="R955" s="9"/>
      <c r="S955" s="9"/>
    </row>
    <row r="956" spans="5:19" ht="15.75" customHeight="1" x14ac:dyDescent="0.3">
      <c r="E956" s="9"/>
      <c r="F956" s="9"/>
      <c r="H956" s="9"/>
      <c r="M956" s="9"/>
      <c r="N956" s="9"/>
      <c r="O956" s="9"/>
      <c r="P956" s="9"/>
      <c r="Q956" s="9"/>
      <c r="R956" s="9"/>
      <c r="S956" s="9"/>
    </row>
    <row r="957" spans="5:19" ht="15.75" customHeight="1" x14ac:dyDescent="0.3">
      <c r="E957" s="9"/>
      <c r="F957" s="9"/>
      <c r="H957" s="9"/>
      <c r="M957" s="9"/>
      <c r="N957" s="9"/>
      <c r="O957" s="9"/>
      <c r="P957" s="9"/>
      <c r="Q957" s="9"/>
      <c r="R957" s="9"/>
      <c r="S957" s="9"/>
    </row>
    <row r="958" spans="5:19" ht="15.75" customHeight="1" x14ac:dyDescent="0.3">
      <c r="E958" s="9"/>
      <c r="F958" s="9"/>
      <c r="H958" s="9"/>
      <c r="M958" s="9"/>
      <c r="N958" s="9"/>
      <c r="O958" s="9"/>
      <c r="P958" s="9"/>
      <c r="Q958" s="9"/>
      <c r="R958" s="9"/>
      <c r="S958" s="9"/>
    </row>
    <row r="959" spans="5:19" ht="15.75" customHeight="1" x14ac:dyDescent="0.3">
      <c r="E959" s="9"/>
      <c r="F959" s="9"/>
      <c r="H959" s="9"/>
      <c r="M959" s="9"/>
      <c r="N959" s="9"/>
      <c r="O959" s="9"/>
      <c r="P959" s="9"/>
      <c r="Q959" s="9"/>
      <c r="R959" s="9"/>
      <c r="S959" s="9"/>
    </row>
    <row r="960" spans="5:19" ht="15.75" customHeight="1" x14ac:dyDescent="0.3">
      <c r="E960" s="9"/>
      <c r="F960" s="9"/>
      <c r="H960" s="9"/>
      <c r="M960" s="9"/>
      <c r="N960" s="9"/>
      <c r="O960" s="9"/>
      <c r="P960" s="9"/>
      <c r="Q960" s="9"/>
      <c r="R960" s="9"/>
      <c r="S960" s="9"/>
    </row>
    <row r="961" spans="5:19" ht="15.75" customHeight="1" x14ac:dyDescent="0.3">
      <c r="E961" s="9"/>
      <c r="F961" s="9"/>
      <c r="H961" s="9"/>
      <c r="M961" s="9"/>
      <c r="N961" s="9"/>
      <c r="O961" s="9"/>
      <c r="P961" s="9"/>
      <c r="Q961" s="9"/>
      <c r="R961" s="9"/>
      <c r="S961" s="9"/>
    </row>
    <row r="962" spans="5:19" ht="15.75" customHeight="1" x14ac:dyDescent="0.3">
      <c r="E962" s="9"/>
      <c r="F962" s="9"/>
      <c r="H962" s="9"/>
      <c r="M962" s="9"/>
      <c r="N962" s="9"/>
      <c r="O962" s="9"/>
      <c r="P962" s="9"/>
      <c r="Q962" s="9"/>
      <c r="R962" s="9"/>
      <c r="S962" s="9"/>
    </row>
    <row r="963" spans="5:19" ht="15.75" customHeight="1" x14ac:dyDescent="0.3">
      <c r="E963" s="9"/>
      <c r="F963" s="9"/>
      <c r="H963" s="9"/>
      <c r="M963" s="9"/>
      <c r="N963" s="9"/>
      <c r="O963" s="9"/>
      <c r="P963" s="9"/>
      <c r="Q963" s="9"/>
      <c r="R963" s="9"/>
      <c r="S963" s="9"/>
    </row>
    <row r="964" spans="5:19" ht="15.75" customHeight="1" x14ac:dyDescent="0.3">
      <c r="E964" s="9"/>
      <c r="F964" s="9"/>
      <c r="H964" s="9"/>
      <c r="M964" s="9"/>
      <c r="N964" s="9"/>
      <c r="O964" s="9"/>
      <c r="P964" s="9"/>
      <c r="Q964" s="9"/>
      <c r="R964" s="9"/>
      <c r="S964" s="9"/>
    </row>
    <row r="965" spans="5:19" ht="15.75" customHeight="1" x14ac:dyDescent="0.3">
      <c r="E965" s="9"/>
      <c r="F965" s="9"/>
      <c r="H965" s="9"/>
      <c r="M965" s="9"/>
      <c r="N965" s="9"/>
      <c r="O965" s="9"/>
      <c r="P965" s="9"/>
      <c r="Q965" s="9"/>
      <c r="R965" s="9"/>
      <c r="S965" s="9"/>
    </row>
    <row r="966" spans="5:19" ht="15.75" customHeight="1" x14ac:dyDescent="0.3">
      <c r="E966" s="9"/>
      <c r="F966" s="9"/>
      <c r="H966" s="9"/>
      <c r="M966" s="9"/>
      <c r="N966" s="9"/>
      <c r="O966" s="9"/>
      <c r="P966" s="9"/>
      <c r="Q966" s="9"/>
      <c r="R966" s="9"/>
      <c r="S966" s="9"/>
    </row>
    <row r="967" spans="5:19" ht="15.75" customHeight="1" x14ac:dyDescent="0.3">
      <c r="E967" s="9"/>
      <c r="F967" s="9"/>
      <c r="H967" s="9"/>
      <c r="M967" s="9"/>
      <c r="N967" s="9"/>
      <c r="O967" s="9"/>
      <c r="P967" s="9"/>
      <c r="Q967" s="9"/>
      <c r="R967" s="9"/>
      <c r="S967" s="9"/>
    </row>
    <row r="968" spans="5:19" ht="15.75" customHeight="1" x14ac:dyDescent="0.3">
      <c r="E968" s="9"/>
      <c r="F968" s="9"/>
      <c r="H968" s="9"/>
      <c r="M968" s="9"/>
      <c r="N968" s="9"/>
      <c r="O968" s="9"/>
      <c r="P968" s="9"/>
      <c r="Q968" s="9"/>
      <c r="R968" s="9"/>
      <c r="S968" s="9"/>
    </row>
    <row r="969" spans="5:19" ht="15.75" customHeight="1" x14ac:dyDescent="0.3">
      <c r="E969" s="9"/>
      <c r="F969" s="9"/>
      <c r="H969" s="9"/>
      <c r="M969" s="9"/>
      <c r="N969" s="9"/>
      <c r="O969" s="9"/>
      <c r="P969" s="9"/>
      <c r="Q969" s="9"/>
      <c r="R969" s="9"/>
      <c r="S969" s="9"/>
    </row>
    <row r="970" spans="5:19" ht="15.75" customHeight="1" x14ac:dyDescent="0.3">
      <c r="E970" s="9"/>
      <c r="F970" s="9"/>
      <c r="H970" s="9"/>
      <c r="M970" s="9"/>
      <c r="N970" s="9"/>
      <c r="O970" s="9"/>
      <c r="P970" s="9"/>
      <c r="Q970" s="9"/>
      <c r="R970" s="9"/>
      <c r="S970" s="9"/>
    </row>
    <row r="971" spans="5:19" ht="15.75" customHeight="1" x14ac:dyDescent="0.3">
      <c r="E971" s="9"/>
      <c r="F971" s="9"/>
      <c r="H971" s="9"/>
      <c r="M971" s="9"/>
      <c r="N971" s="9"/>
      <c r="O971" s="9"/>
      <c r="P971" s="9"/>
      <c r="Q971" s="9"/>
      <c r="R971" s="9"/>
      <c r="S971" s="9"/>
    </row>
    <row r="972" spans="5:19" ht="15.75" customHeight="1" x14ac:dyDescent="0.3">
      <c r="E972" s="9"/>
      <c r="F972" s="9"/>
      <c r="H972" s="9"/>
      <c r="M972" s="9"/>
      <c r="N972" s="9"/>
      <c r="O972" s="9"/>
      <c r="P972" s="9"/>
      <c r="Q972" s="9"/>
      <c r="R972" s="9"/>
      <c r="S972" s="9"/>
    </row>
    <row r="973" spans="5:19" ht="15.75" customHeight="1" x14ac:dyDescent="0.3">
      <c r="E973" s="9"/>
      <c r="F973" s="9"/>
      <c r="H973" s="9"/>
      <c r="M973" s="9"/>
      <c r="N973" s="9"/>
      <c r="O973" s="9"/>
      <c r="P973" s="9"/>
      <c r="Q973" s="9"/>
      <c r="R973" s="9"/>
      <c r="S973" s="9"/>
    </row>
    <row r="974" spans="5:19" ht="15.75" customHeight="1" x14ac:dyDescent="0.3">
      <c r="E974" s="9"/>
      <c r="F974" s="9"/>
      <c r="H974" s="9"/>
      <c r="M974" s="9"/>
      <c r="N974" s="9"/>
      <c r="O974" s="9"/>
      <c r="P974" s="9"/>
      <c r="Q974" s="9"/>
      <c r="R974" s="9"/>
      <c r="S974" s="9"/>
    </row>
    <row r="975" spans="5:19" ht="15.75" customHeight="1" x14ac:dyDescent="0.3">
      <c r="E975" s="9"/>
      <c r="F975" s="9"/>
      <c r="H975" s="9"/>
      <c r="M975" s="9"/>
      <c r="N975" s="9"/>
      <c r="O975" s="9"/>
      <c r="P975" s="9"/>
      <c r="Q975" s="9"/>
      <c r="R975" s="9"/>
      <c r="S975" s="9"/>
    </row>
    <row r="976" spans="5:19" ht="15.75" customHeight="1" x14ac:dyDescent="0.3">
      <c r="E976" s="9"/>
      <c r="F976" s="9"/>
      <c r="H976" s="9"/>
      <c r="M976" s="9"/>
      <c r="N976" s="9"/>
      <c r="O976" s="9"/>
      <c r="P976" s="9"/>
      <c r="Q976" s="9"/>
      <c r="R976" s="9"/>
      <c r="S976" s="9"/>
    </row>
    <row r="977" spans="5:19" ht="15.75" customHeight="1" x14ac:dyDescent="0.3">
      <c r="E977" s="9"/>
      <c r="F977" s="9"/>
      <c r="H977" s="9"/>
      <c r="M977" s="9"/>
      <c r="N977" s="9"/>
      <c r="O977" s="9"/>
      <c r="P977" s="9"/>
      <c r="Q977" s="9"/>
      <c r="R977" s="9"/>
      <c r="S977" s="9"/>
    </row>
    <row r="978" spans="5:19" ht="15.75" customHeight="1" x14ac:dyDescent="0.3">
      <c r="E978" s="9"/>
      <c r="F978" s="9"/>
      <c r="H978" s="9"/>
      <c r="M978" s="9"/>
      <c r="N978" s="9"/>
      <c r="O978" s="9"/>
      <c r="P978" s="9"/>
      <c r="Q978" s="9"/>
      <c r="R978" s="9"/>
      <c r="S978" s="9"/>
    </row>
    <row r="979" spans="5:19" ht="15.75" customHeight="1" x14ac:dyDescent="0.3">
      <c r="E979" s="9"/>
      <c r="F979" s="9"/>
      <c r="H979" s="9"/>
      <c r="M979" s="9"/>
      <c r="N979" s="9"/>
      <c r="O979" s="9"/>
      <c r="P979" s="9"/>
      <c r="Q979" s="9"/>
      <c r="R979" s="9"/>
      <c r="S979" s="9"/>
    </row>
    <row r="980" spans="5:19" ht="15.75" customHeight="1" x14ac:dyDescent="0.3">
      <c r="E980" s="9"/>
      <c r="F980" s="9"/>
      <c r="H980" s="9"/>
      <c r="M980" s="9"/>
      <c r="N980" s="9"/>
      <c r="O980" s="9"/>
      <c r="P980" s="9"/>
      <c r="Q980" s="9"/>
      <c r="R980" s="9"/>
      <c r="S980" s="9"/>
    </row>
    <row r="981" spans="5:19" ht="15.75" customHeight="1" x14ac:dyDescent="0.3">
      <c r="E981" s="9"/>
      <c r="F981" s="9"/>
      <c r="H981" s="9"/>
      <c r="M981" s="9"/>
      <c r="N981" s="9"/>
      <c r="O981" s="9"/>
      <c r="P981" s="9"/>
      <c r="Q981" s="9"/>
      <c r="R981" s="9"/>
      <c r="S981" s="9"/>
    </row>
    <row r="982" spans="5:19" ht="15.75" customHeight="1" x14ac:dyDescent="0.3">
      <c r="E982" s="9"/>
      <c r="F982" s="9"/>
      <c r="H982" s="9"/>
      <c r="M982" s="9"/>
      <c r="N982" s="9"/>
      <c r="O982" s="9"/>
      <c r="P982" s="9"/>
      <c r="Q982" s="9"/>
      <c r="R982" s="9"/>
      <c r="S982" s="9"/>
    </row>
    <row r="983" spans="5:19" ht="15.75" customHeight="1" x14ac:dyDescent="0.3">
      <c r="E983" s="9"/>
      <c r="F983" s="9"/>
      <c r="H983" s="9"/>
      <c r="M983" s="9"/>
      <c r="N983" s="9"/>
      <c r="O983" s="9"/>
      <c r="P983" s="9"/>
      <c r="Q983" s="9"/>
      <c r="R983" s="9"/>
      <c r="S983" s="9"/>
    </row>
    <row r="984" spans="5:19" ht="15.75" customHeight="1" x14ac:dyDescent="0.3">
      <c r="E984" s="9"/>
      <c r="F984" s="9"/>
      <c r="H984" s="9"/>
      <c r="M984" s="9"/>
      <c r="N984" s="9"/>
      <c r="O984" s="9"/>
      <c r="P984" s="9"/>
      <c r="Q984" s="9"/>
      <c r="R984" s="9"/>
      <c r="S984" s="9"/>
    </row>
    <row r="985" spans="5:19" ht="15.75" customHeight="1" x14ac:dyDescent="0.3">
      <c r="E985" s="9"/>
      <c r="F985" s="9"/>
      <c r="H985" s="9"/>
      <c r="M985" s="9"/>
      <c r="N985" s="9"/>
      <c r="O985" s="9"/>
      <c r="P985" s="9"/>
      <c r="Q985" s="9"/>
      <c r="R985" s="9"/>
      <c r="S985" s="9"/>
    </row>
    <row r="986" spans="5:19" ht="15.75" customHeight="1" x14ac:dyDescent="0.3">
      <c r="E986" s="9"/>
      <c r="F986" s="9"/>
      <c r="H986" s="9"/>
      <c r="M986" s="9"/>
      <c r="N986" s="9"/>
      <c r="O986" s="9"/>
      <c r="P986" s="9"/>
      <c r="Q986" s="9"/>
      <c r="R986" s="9"/>
      <c r="S986" s="9"/>
    </row>
    <row r="987" spans="5:19" ht="15.75" customHeight="1" x14ac:dyDescent="0.3">
      <c r="E987" s="9"/>
      <c r="F987" s="9"/>
      <c r="H987" s="9"/>
      <c r="M987" s="9"/>
      <c r="N987" s="9"/>
      <c r="O987" s="9"/>
      <c r="P987" s="9"/>
      <c r="Q987" s="9"/>
      <c r="R987" s="9"/>
      <c r="S987" s="9"/>
    </row>
    <row r="988" spans="5:19" ht="15.75" customHeight="1" x14ac:dyDescent="0.3">
      <c r="E988" s="9"/>
      <c r="F988" s="9"/>
      <c r="H988" s="9"/>
      <c r="M988" s="9"/>
      <c r="N988" s="9"/>
      <c r="O988" s="9"/>
      <c r="P988" s="9"/>
      <c r="Q988" s="9"/>
      <c r="R988" s="9"/>
      <c r="S988" s="9"/>
    </row>
    <row r="989" spans="5:19" ht="15.75" customHeight="1" x14ac:dyDescent="0.3">
      <c r="E989" s="9"/>
      <c r="F989" s="9"/>
      <c r="H989" s="9"/>
      <c r="M989" s="9"/>
      <c r="N989" s="9"/>
      <c r="O989" s="9"/>
      <c r="P989" s="9"/>
      <c r="Q989" s="9"/>
      <c r="R989" s="9"/>
      <c r="S989" s="9"/>
    </row>
    <row r="990" spans="5:19" ht="15.75" customHeight="1" x14ac:dyDescent="0.3">
      <c r="E990" s="9"/>
      <c r="F990" s="9"/>
      <c r="H990" s="9"/>
      <c r="M990" s="9"/>
      <c r="N990" s="9"/>
      <c r="O990" s="9"/>
      <c r="P990" s="9"/>
      <c r="Q990" s="9"/>
      <c r="R990" s="9"/>
      <c r="S990" s="9"/>
    </row>
    <row r="991" spans="5:19" ht="15.75" customHeight="1" x14ac:dyDescent="0.3">
      <c r="E991" s="9"/>
      <c r="F991" s="9"/>
      <c r="H991" s="9"/>
      <c r="M991" s="9"/>
      <c r="N991" s="9"/>
      <c r="O991" s="9"/>
      <c r="P991" s="9"/>
      <c r="Q991" s="9"/>
      <c r="R991" s="9"/>
      <c r="S991" s="9"/>
    </row>
    <row r="992" spans="5:19" ht="15.75" customHeight="1" x14ac:dyDescent="0.3">
      <c r="E992" s="9"/>
      <c r="F992" s="9"/>
      <c r="H992" s="9"/>
      <c r="M992" s="9"/>
      <c r="N992" s="9"/>
      <c r="O992" s="9"/>
      <c r="P992" s="9"/>
      <c r="Q992" s="9"/>
      <c r="R992" s="9"/>
      <c r="S992" s="9"/>
    </row>
    <row r="993" spans="5:19" ht="15.75" customHeight="1" x14ac:dyDescent="0.3">
      <c r="E993" s="9"/>
      <c r="F993" s="9"/>
      <c r="H993" s="9"/>
      <c r="M993" s="9"/>
      <c r="N993" s="9"/>
      <c r="O993" s="9"/>
      <c r="P993" s="9"/>
      <c r="Q993" s="9"/>
      <c r="R993" s="9"/>
      <c r="S993" s="9"/>
    </row>
    <row r="994" spans="5:19" ht="15.75" customHeight="1" x14ac:dyDescent="0.3">
      <c r="E994" s="9"/>
      <c r="F994" s="9"/>
      <c r="H994" s="9"/>
      <c r="M994" s="9"/>
      <c r="N994" s="9"/>
      <c r="O994" s="9"/>
      <c r="P994" s="9"/>
      <c r="Q994" s="9"/>
      <c r="R994" s="9"/>
      <c r="S994" s="9"/>
    </row>
    <row r="995" spans="5:19" ht="15.75" customHeight="1" x14ac:dyDescent="0.3">
      <c r="E995" s="9"/>
      <c r="F995" s="9"/>
      <c r="H995" s="9"/>
      <c r="M995" s="9"/>
      <c r="N995" s="9"/>
      <c r="O995" s="9"/>
      <c r="P995" s="9"/>
      <c r="Q995" s="9"/>
      <c r="R995" s="9"/>
      <c r="S995" s="9"/>
    </row>
    <row r="996" spans="5:19" ht="15.75" customHeight="1" x14ac:dyDescent="0.3">
      <c r="E996" s="9"/>
      <c r="F996" s="9"/>
      <c r="H996" s="9"/>
      <c r="M996" s="9"/>
      <c r="N996" s="9"/>
      <c r="O996" s="9"/>
      <c r="P996" s="9"/>
      <c r="Q996" s="9"/>
      <c r="R996" s="9"/>
      <c r="S996" s="9"/>
    </row>
    <row r="997" spans="5:19" ht="15.75" customHeight="1" x14ac:dyDescent="0.3">
      <c r="E997" s="9"/>
      <c r="F997" s="9"/>
      <c r="H997" s="9"/>
      <c r="M997" s="9"/>
      <c r="N997" s="9"/>
      <c r="O997" s="9"/>
      <c r="P997" s="9"/>
      <c r="Q997" s="9"/>
      <c r="R997" s="9"/>
      <c r="S997" s="9"/>
    </row>
    <row r="998" spans="5:19" ht="15.75" customHeight="1" x14ac:dyDescent="0.3">
      <c r="E998" s="9"/>
      <c r="F998" s="9"/>
      <c r="H998" s="9"/>
      <c r="M998" s="9"/>
      <c r="N998" s="9"/>
      <c r="O998" s="9"/>
      <c r="P998" s="9"/>
      <c r="Q998" s="9"/>
      <c r="R998" s="9"/>
      <c r="S998" s="9"/>
    </row>
    <row r="999" spans="5:19" ht="15.75" customHeight="1" x14ac:dyDescent="0.3">
      <c r="E999" s="9"/>
      <c r="F999" s="9"/>
      <c r="H999" s="9"/>
      <c r="M999" s="9"/>
      <c r="N999" s="9"/>
      <c r="O999" s="9"/>
      <c r="P999" s="9"/>
      <c r="Q999" s="9"/>
      <c r="R999" s="9"/>
      <c r="S999" s="9"/>
    </row>
    <row r="1000" spans="5:19" ht="15.75" customHeight="1" x14ac:dyDescent="0.3">
      <c r="E1000" s="9"/>
      <c r="F1000" s="9"/>
      <c r="H1000" s="9"/>
      <c r="M1000" s="9"/>
      <c r="N1000" s="9"/>
      <c r="O1000" s="9"/>
      <c r="P1000" s="9"/>
      <c r="Q1000" s="9"/>
      <c r="R1000" s="9"/>
      <c r="S1000" s="9"/>
    </row>
  </sheetData>
  <autoFilter ref="A1:T96" xr:uid="{00000000-0009-0000-0000-000004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3.44140625" customWidth="1"/>
    <col min="2" max="2" width="59.109375" customWidth="1"/>
    <col min="3" max="3" width="20.33203125" customWidth="1"/>
    <col min="4" max="4" width="15.44140625" customWidth="1"/>
    <col min="5" max="5" width="15.6640625" customWidth="1"/>
    <col min="6" max="6" width="14.6640625" customWidth="1"/>
    <col min="7" max="7" width="18.44140625" customWidth="1"/>
    <col min="8" max="8" width="19.109375" customWidth="1"/>
    <col min="9" max="9" width="19.44140625" customWidth="1"/>
    <col min="10" max="10" width="17.109375" customWidth="1"/>
    <col min="11" max="11" width="15.44140625" customWidth="1"/>
    <col min="12" max="12" width="11.88671875" customWidth="1"/>
    <col min="13" max="13" width="15.88671875" customWidth="1"/>
    <col min="14" max="14" width="13.88671875" customWidth="1"/>
    <col min="15" max="15" width="14.44140625" customWidth="1"/>
    <col min="16" max="16" width="13.88671875" customWidth="1"/>
    <col min="17" max="17" width="15.88671875" customWidth="1"/>
    <col min="18" max="20" width="13.88671875" customWidth="1"/>
    <col min="21" max="26" width="8.88671875" customWidth="1"/>
  </cols>
  <sheetData>
    <row r="1" spans="1:26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405</v>
      </c>
      <c r="S1" s="4" t="s">
        <v>17</v>
      </c>
      <c r="T1" s="3"/>
      <c r="U1" s="3"/>
      <c r="V1" s="3"/>
      <c r="W1" s="3"/>
      <c r="X1" s="3"/>
      <c r="Y1" s="3"/>
      <c r="Z1" s="3"/>
    </row>
    <row r="2" spans="1:26" ht="14.4" x14ac:dyDescent="0.3">
      <c r="A2" s="10">
        <v>44568</v>
      </c>
      <c r="B2" s="7" t="s">
        <v>979</v>
      </c>
      <c r="C2" s="7" t="s">
        <v>980</v>
      </c>
      <c r="D2" s="43" t="s">
        <v>981</v>
      </c>
      <c r="E2" s="9">
        <v>12000</v>
      </c>
      <c r="F2" s="10">
        <v>44568</v>
      </c>
      <c r="G2" s="10">
        <v>44568</v>
      </c>
      <c r="H2" s="9">
        <v>12000</v>
      </c>
      <c r="I2" s="9">
        <f t="shared" ref="I2:I108" si="0">E2-H2</f>
        <v>0</v>
      </c>
      <c r="J2" s="2" t="s">
        <v>982</v>
      </c>
      <c r="K2" s="7" t="s">
        <v>27</v>
      </c>
      <c r="L2" s="11">
        <v>44562</v>
      </c>
      <c r="M2" s="9"/>
      <c r="N2" s="9"/>
      <c r="O2" s="9"/>
      <c r="P2" s="9"/>
      <c r="Q2" s="9"/>
      <c r="R2" s="9"/>
      <c r="S2" s="9"/>
      <c r="T2" s="9">
        <f t="shared" ref="T2:T108" si="1">M2-N2-O2-P2-Q2-R2-S2</f>
        <v>0</v>
      </c>
    </row>
    <row r="3" spans="1:26" ht="14.4" x14ac:dyDescent="0.3">
      <c r="A3" s="10">
        <v>44564</v>
      </c>
      <c r="B3" s="7" t="s">
        <v>983</v>
      </c>
      <c r="C3" s="7" t="s">
        <v>984</v>
      </c>
      <c r="D3" s="43" t="s">
        <v>985</v>
      </c>
      <c r="E3" s="9">
        <v>100000</v>
      </c>
      <c r="F3" s="10">
        <v>44564</v>
      </c>
      <c r="G3" s="10">
        <v>44566</v>
      </c>
      <c r="H3" s="9">
        <f>40000+60000</f>
        <v>100000</v>
      </c>
      <c r="I3" s="9">
        <f t="shared" si="0"/>
        <v>0</v>
      </c>
      <c r="J3" s="2" t="s">
        <v>986</v>
      </c>
      <c r="K3" s="2" t="s">
        <v>32</v>
      </c>
      <c r="L3" s="11">
        <v>44562</v>
      </c>
      <c r="M3" s="9">
        <v>100000</v>
      </c>
      <c r="N3" s="9"/>
      <c r="O3" s="9"/>
      <c r="P3" s="9"/>
      <c r="Q3" s="9">
        <v>100000</v>
      </c>
      <c r="R3" s="9"/>
      <c r="S3" s="9"/>
      <c r="T3" s="9">
        <f t="shared" si="1"/>
        <v>0</v>
      </c>
    </row>
    <row r="4" spans="1:26" ht="14.4" x14ac:dyDescent="0.3">
      <c r="A4" s="10">
        <v>44565</v>
      </c>
      <c r="B4" s="2" t="s">
        <v>987</v>
      </c>
      <c r="C4" s="7" t="s">
        <v>20</v>
      </c>
      <c r="D4" s="43" t="s">
        <v>988</v>
      </c>
      <c r="E4" s="9">
        <v>65000</v>
      </c>
      <c r="F4" s="10">
        <v>44565</v>
      </c>
      <c r="G4" s="10">
        <v>44670</v>
      </c>
      <c r="H4" s="9">
        <v>65000</v>
      </c>
      <c r="I4" s="9">
        <f t="shared" si="0"/>
        <v>0</v>
      </c>
      <c r="J4" s="2" t="s">
        <v>989</v>
      </c>
      <c r="K4" s="2" t="s">
        <v>22</v>
      </c>
      <c r="L4" s="11">
        <v>44562</v>
      </c>
      <c r="M4" s="9">
        <v>65000</v>
      </c>
      <c r="N4" s="9">
        <v>65000</v>
      </c>
      <c r="O4" s="9"/>
      <c r="P4" s="9"/>
      <c r="Q4" s="9"/>
      <c r="R4" s="9"/>
      <c r="S4" s="9"/>
      <c r="T4" s="9">
        <f t="shared" si="1"/>
        <v>0</v>
      </c>
    </row>
    <row r="5" spans="1:26" ht="14.4" x14ac:dyDescent="0.3">
      <c r="A5" s="10">
        <v>44565</v>
      </c>
      <c r="B5" s="2" t="s">
        <v>990</v>
      </c>
      <c r="C5" s="7" t="s">
        <v>991</v>
      </c>
      <c r="D5" s="43" t="s">
        <v>992</v>
      </c>
      <c r="E5" s="9">
        <v>21000</v>
      </c>
      <c r="F5" s="10">
        <v>44565</v>
      </c>
      <c r="G5" s="10">
        <v>44586</v>
      </c>
      <c r="H5" s="9">
        <v>21000</v>
      </c>
      <c r="I5" s="9">
        <f t="shared" si="0"/>
        <v>0</v>
      </c>
      <c r="J5" s="2" t="s">
        <v>993</v>
      </c>
      <c r="K5" s="7" t="s">
        <v>27</v>
      </c>
      <c r="L5" s="11">
        <v>44562</v>
      </c>
      <c r="M5" s="9"/>
      <c r="N5" s="9"/>
      <c r="O5" s="9"/>
      <c r="P5" s="9"/>
      <c r="Q5" s="9"/>
      <c r="R5" s="9"/>
      <c r="S5" s="9"/>
      <c r="T5" s="9">
        <f t="shared" si="1"/>
        <v>0</v>
      </c>
    </row>
    <row r="6" spans="1:26" ht="14.4" x14ac:dyDescent="0.3">
      <c r="A6" s="10">
        <v>44565</v>
      </c>
      <c r="B6" s="7" t="s">
        <v>994</v>
      </c>
      <c r="C6" s="7" t="s">
        <v>995</v>
      </c>
      <c r="D6" s="43" t="s">
        <v>996</v>
      </c>
      <c r="E6" s="9">
        <v>7500</v>
      </c>
      <c r="F6" s="10">
        <v>44565</v>
      </c>
      <c r="G6" s="10">
        <v>44594</v>
      </c>
      <c r="H6" s="9">
        <v>7500</v>
      </c>
      <c r="I6" s="9">
        <f t="shared" si="0"/>
        <v>0</v>
      </c>
      <c r="J6" s="2" t="s">
        <v>997</v>
      </c>
      <c r="K6" s="7" t="s">
        <v>27</v>
      </c>
      <c r="L6" s="11">
        <v>44562</v>
      </c>
      <c r="M6" s="9"/>
      <c r="N6" s="9"/>
      <c r="O6" s="9"/>
      <c r="P6" s="9"/>
      <c r="Q6" s="9"/>
      <c r="R6" s="9"/>
      <c r="S6" s="9"/>
      <c r="T6" s="9">
        <f t="shared" si="1"/>
        <v>0</v>
      </c>
    </row>
    <row r="7" spans="1:26" ht="14.4" x14ac:dyDescent="0.3">
      <c r="A7" s="10">
        <v>44565</v>
      </c>
      <c r="B7" s="2" t="s">
        <v>998</v>
      </c>
      <c r="C7" s="7" t="s">
        <v>999</v>
      </c>
      <c r="D7" s="43" t="s">
        <v>1000</v>
      </c>
      <c r="E7" s="9">
        <v>5000</v>
      </c>
      <c r="F7" s="10">
        <v>44565</v>
      </c>
      <c r="G7" s="10">
        <v>44571</v>
      </c>
      <c r="H7" s="9">
        <v>5000</v>
      </c>
      <c r="I7" s="9">
        <f t="shared" si="0"/>
        <v>0</v>
      </c>
      <c r="J7" s="2" t="s">
        <v>1001</v>
      </c>
      <c r="K7" s="7" t="s">
        <v>27</v>
      </c>
      <c r="L7" s="11">
        <v>44562</v>
      </c>
      <c r="M7" s="9"/>
      <c r="N7" s="9"/>
      <c r="O7" s="9"/>
      <c r="P7" s="9"/>
      <c r="Q7" s="9"/>
      <c r="R7" s="9"/>
      <c r="S7" s="9"/>
      <c r="T7" s="9">
        <f t="shared" si="1"/>
        <v>0</v>
      </c>
    </row>
    <row r="8" spans="1:26" ht="14.4" x14ac:dyDescent="0.3">
      <c r="A8" s="10">
        <v>44565</v>
      </c>
      <c r="B8" s="2" t="s">
        <v>1002</v>
      </c>
      <c r="C8" s="7" t="s">
        <v>1003</v>
      </c>
      <c r="D8" s="43" t="s">
        <v>1004</v>
      </c>
      <c r="E8" s="9">
        <v>5000</v>
      </c>
      <c r="F8" s="10">
        <v>44565</v>
      </c>
      <c r="G8" s="10">
        <v>44564</v>
      </c>
      <c r="H8" s="9">
        <v>5000</v>
      </c>
      <c r="I8" s="9">
        <f t="shared" si="0"/>
        <v>0</v>
      </c>
      <c r="J8" s="2" t="s">
        <v>1005</v>
      </c>
      <c r="K8" s="7" t="s">
        <v>27</v>
      </c>
      <c r="L8" s="11">
        <v>44562</v>
      </c>
      <c r="M8" s="9"/>
      <c r="N8" s="9"/>
      <c r="O8" s="9"/>
      <c r="P8" s="9"/>
      <c r="Q8" s="9"/>
      <c r="R8" s="9"/>
      <c r="S8" s="9"/>
      <c r="T8" s="9">
        <f t="shared" si="1"/>
        <v>0</v>
      </c>
    </row>
    <row r="9" spans="1:26" ht="14.4" x14ac:dyDescent="0.3">
      <c r="A9" s="10">
        <v>44581</v>
      </c>
      <c r="B9" s="7" t="s">
        <v>1006</v>
      </c>
      <c r="C9" s="7" t="s">
        <v>1007</v>
      </c>
      <c r="D9" s="43" t="s">
        <v>1008</v>
      </c>
      <c r="E9" s="9">
        <v>7500</v>
      </c>
      <c r="F9" s="10">
        <v>44581</v>
      </c>
      <c r="G9" s="10">
        <v>44573</v>
      </c>
      <c r="H9" s="9">
        <v>7500</v>
      </c>
      <c r="I9" s="9">
        <f t="shared" si="0"/>
        <v>0</v>
      </c>
      <c r="J9" s="2" t="s">
        <v>1009</v>
      </c>
      <c r="K9" s="2" t="s">
        <v>32</v>
      </c>
      <c r="L9" s="11">
        <v>44562</v>
      </c>
      <c r="M9" s="9">
        <v>7500</v>
      </c>
      <c r="N9" s="9"/>
      <c r="O9" s="9"/>
      <c r="P9" s="9"/>
      <c r="Q9" s="9"/>
      <c r="R9" s="9">
        <v>7500</v>
      </c>
      <c r="S9" s="9"/>
      <c r="T9" s="9">
        <f t="shared" si="1"/>
        <v>0</v>
      </c>
    </row>
    <row r="10" spans="1:26" ht="14.4" x14ac:dyDescent="0.3">
      <c r="A10" s="10">
        <v>44581</v>
      </c>
      <c r="B10" s="2" t="s">
        <v>1010</v>
      </c>
      <c r="C10" s="7" t="s">
        <v>976</v>
      </c>
      <c r="D10" s="43" t="s">
        <v>1011</v>
      </c>
      <c r="E10" s="9">
        <v>23400</v>
      </c>
      <c r="F10" s="10">
        <v>44581</v>
      </c>
      <c r="G10" s="10">
        <v>44579</v>
      </c>
      <c r="H10" s="9">
        <v>23400</v>
      </c>
      <c r="I10" s="9">
        <f t="shared" si="0"/>
        <v>0</v>
      </c>
      <c r="J10" s="2" t="s">
        <v>1012</v>
      </c>
      <c r="K10" s="2" t="s">
        <v>22</v>
      </c>
      <c r="L10" s="11">
        <v>44562</v>
      </c>
      <c r="M10" s="9">
        <v>23400</v>
      </c>
      <c r="N10" s="9">
        <v>23400</v>
      </c>
      <c r="O10" s="9"/>
      <c r="P10" s="9"/>
      <c r="Q10" s="9"/>
      <c r="R10" s="9"/>
      <c r="S10" s="9"/>
      <c r="T10" s="9">
        <f t="shared" si="1"/>
        <v>0</v>
      </c>
    </row>
    <row r="11" spans="1:26" ht="14.4" x14ac:dyDescent="0.3">
      <c r="A11" s="10">
        <v>44581</v>
      </c>
      <c r="B11" s="2" t="s">
        <v>1013</v>
      </c>
      <c r="C11" s="7" t="s">
        <v>976</v>
      </c>
      <c r="D11" s="43" t="s">
        <v>1014</v>
      </c>
      <c r="E11" s="9">
        <v>18356</v>
      </c>
      <c r="F11" s="10">
        <v>44581</v>
      </c>
      <c r="G11" s="10">
        <v>44579</v>
      </c>
      <c r="H11" s="9">
        <v>18356</v>
      </c>
      <c r="I11" s="9">
        <f t="shared" si="0"/>
        <v>0</v>
      </c>
      <c r="J11" s="2" t="s">
        <v>1015</v>
      </c>
      <c r="K11" s="2" t="s">
        <v>22</v>
      </c>
      <c r="L11" s="11">
        <v>44562</v>
      </c>
      <c r="M11" s="9">
        <v>18356</v>
      </c>
      <c r="N11" s="9">
        <v>18356</v>
      </c>
      <c r="O11" s="9"/>
      <c r="P11" s="9"/>
      <c r="Q11" s="9"/>
      <c r="R11" s="9"/>
      <c r="S11" s="9"/>
      <c r="T11" s="9">
        <f t="shared" si="1"/>
        <v>0</v>
      </c>
    </row>
    <row r="12" spans="1:26" ht="14.4" x14ac:dyDescent="0.3">
      <c r="A12" s="10">
        <v>44581</v>
      </c>
      <c r="B12" s="7" t="s">
        <v>1016</v>
      </c>
      <c r="C12" s="7" t="s">
        <v>1017</v>
      </c>
      <c r="D12" s="43" t="s">
        <v>1018</v>
      </c>
      <c r="E12" s="9">
        <v>100000</v>
      </c>
      <c r="F12" s="10">
        <v>44581</v>
      </c>
      <c r="G12" s="10">
        <v>44582</v>
      </c>
      <c r="H12" s="9">
        <f>95000+5000</f>
        <v>100000</v>
      </c>
      <c r="I12" s="9">
        <f t="shared" si="0"/>
        <v>0</v>
      </c>
      <c r="J12" s="2" t="s">
        <v>1019</v>
      </c>
      <c r="K12" s="2" t="s">
        <v>32</v>
      </c>
      <c r="L12" s="11">
        <v>44562</v>
      </c>
      <c r="M12" s="9">
        <v>100000</v>
      </c>
      <c r="N12" s="9"/>
      <c r="O12" s="9"/>
      <c r="P12" s="9"/>
      <c r="Q12" s="9"/>
      <c r="R12" s="9">
        <v>100000</v>
      </c>
      <c r="S12" s="9"/>
      <c r="T12" s="9">
        <f t="shared" si="1"/>
        <v>0</v>
      </c>
    </row>
    <row r="13" spans="1:26" ht="14.4" x14ac:dyDescent="0.3">
      <c r="A13" s="10">
        <v>44582</v>
      </c>
      <c r="B13" s="2" t="s">
        <v>1020</v>
      </c>
      <c r="C13" s="7" t="s">
        <v>1021</v>
      </c>
      <c r="D13" s="43" t="s">
        <v>1022</v>
      </c>
      <c r="E13" s="9">
        <v>2500</v>
      </c>
      <c r="F13" s="10">
        <v>44582</v>
      </c>
      <c r="G13" s="10">
        <v>44582</v>
      </c>
      <c r="H13" s="9">
        <f>2500</f>
        <v>2500</v>
      </c>
      <c r="I13" s="9">
        <f t="shared" si="0"/>
        <v>0</v>
      </c>
      <c r="J13" s="2" t="s">
        <v>1023</v>
      </c>
      <c r="K13" s="2" t="s">
        <v>27</v>
      </c>
      <c r="L13" s="11">
        <v>44562</v>
      </c>
      <c r="M13" s="9"/>
      <c r="N13" s="9"/>
      <c r="O13" s="9"/>
      <c r="P13" s="9"/>
      <c r="Q13" s="9"/>
      <c r="R13" s="9"/>
      <c r="S13" s="9"/>
      <c r="T13" s="9">
        <f t="shared" si="1"/>
        <v>0</v>
      </c>
    </row>
    <row r="14" spans="1:26" ht="14.4" x14ac:dyDescent="0.3">
      <c r="A14" s="10">
        <v>44590</v>
      </c>
      <c r="B14" s="7" t="s">
        <v>1024</v>
      </c>
      <c r="C14" s="7" t="s">
        <v>1025</v>
      </c>
      <c r="D14" s="43" t="s">
        <v>1026</v>
      </c>
      <c r="E14" s="9">
        <v>70000</v>
      </c>
      <c r="F14" s="10">
        <v>44590</v>
      </c>
      <c r="G14" s="10">
        <v>44591</v>
      </c>
      <c r="H14" s="9">
        <v>70000</v>
      </c>
      <c r="I14" s="9">
        <f t="shared" si="0"/>
        <v>0</v>
      </c>
      <c r="K14" s="2" t="s">
        <v>32</v>
      </c>
      <c r="L14" s="11">
        <v>44562</v>
      </c>
      <c r="M14" s="9">
        <v>70000</v>
      </c>
      <c r="N14" s="9"/>
      <c r="O14" s="9"/>
      <c r="P14" s="9"/>
      <c r="Q14" s="9"/>
      <c r="R14" s="9">
        <v>70000</v>
      </c>
      <c r="S14" s="9"/>
      <c r="T14" s="9">
        <f t="shared" si="1"/>
        <v>0</v>
      </c>
    </row>
    <row r="15" spans="1:26" ht="14.4" x14ac:dyDescent="0.3">
      <c r="A15" s="10">
        <v>44593</v>
      </c>
      <c r="B15" s="2" t="s">
        <v>1027</v>
      </c>
      <c r="C15" s="7" t="s">
        <v>20</v>
      </c>
      <c r="D15" s="43" t="s">
        <v>1028</v>
      </c>
      <c r="E15" s="9">
        <v>65000</v>
      </c>
      <c r="F15" s="10">
        <v>44594</v>
      </c>
      <c r="G15" s="10">
        <v>44670</v>
      </c>
      <c r="H15" s="9">
        <v>65000</v>
      </c>
      <c r="I15" s="9">
        <f t="shared" si="0"/>
        <v>0</v>
      </c>
      <c r="J15" s="2" t="s">
        <v>989</v>
      </c>
      <c r="K15" s="2" t="s">
        <v>22</v>
      </c>
      <c r="L15" s="11">
        <v>44562</v>
      </c>
      <c r="M15" s="9">
        <v>65000</v>
      </c>
      <c r="N15" s="9">
        <v>65000</v>
      </c>
      <c r="O15" s="9"/>
      <c r="P15" s="9"/>
      <c r="Q15" s="9"/>
      <c r="R15" s="9"/>
      <c r="S15" s="9"/>
      <c r="T15" s="9">
        <f t="shared" si="1"/>
        <v>0</v>
      </c>
    </row>
    <row r="16" spans="1:26" ht="14.4" x14ac:dyDescent="0.3">
      <c r="A16" s="10">
        <v>44593</v>
      </c>
      <c r="B16" s="2" t="s">
        <v>1029</v>
      </c>
      <c r="C16" s="7" t="s">
        <v>991</v>
      </c>
      <c r="D16" s="43" t="s">
        <v>1030</v>
      </c>
      <c r="E16" s="9">
        <v>21000</v>
      </c>
      <c r="F16" s="10">
        <v>44594</v>
      </c>
      <c r="G16" s="10">
        <v>44603</v>
      </c>
      <c r="H16" s="9">
        <v>21000</v>
      </c>
      <c r="I16" s="9">
        <f t="shared" si="0"/>
        <v>0</v>
      </c>
      <c r="J16" s="2" t="s">
        <v>1031</v>
      </c>
      <c r="K16" s="2" t="s">
        <v>27</v>
      </c>
      <c r="L16" s="11">
        <v>44562</v>
      </c>
      <c r="M16" s="9"/>
      <c r="N16" s="9"/>
      <c r="O16" s="9"/>
      <c r="P16" s="9"/>
      <c r="Q16" s="9"/>
      <c r="R16" s="9"/>
      <c r="S16" s="9"/>
      <c r="T16" s="9">
        <f t="shared" si="1"/>
        <v>0</v>
      </c>
    </row>
    <row r="17" spans="1:26" ht="14.4" x14ac:dyDescent="0.3">
      <c r="A17" s="10">
        <v>44593</v>
      </c>
      <c r="B17" s="7" t="s">
        <v>1032</v>
      </c>
      <c r="C17" s="7" t="s">
        <v>995</v>
      </c>
      <c r="D17" s="43" t="s">
        <v>1033</v>
      </c>
      <c r="E17" s="9">
        <v>15000</v>
      </c>
      <c r="F17" s="10">
        <v>44594</v>
      </c>
      <c r="G17" s="10">
        <v>44617</v>
      </c>
      <c r="H17" s="9">
        <v>15000</v>
      </c>
      <c r="I17" s="9">
        <f t="shared" si="0"/>
        <v>0</v>
      </c>
      <c r="J17" s="2" t="s">
        <v>1034</v>
      </c>
      <c r="K17" s="2" t="s">
        <v>27</v>
      </c>
      <c r="L17" s="11">
        <v>44562</v>
      </c>
      <c r="M17" s="9"/>
      <c r="N17" s="9"/>
      <c r="O17" s="9"/>
      <c r="P17" s="9"/>
      <c r="Q17" s="9"/>
      <c r="R17" s="9"/>
      <c r="S17" s="9"/>
      <c r="T17" s="9">
        <f t="shared" si="1"/>
        <v>0</v>
      </c>
    </row>
    <row r="18" spans="1:26" ht="14.4" x14ac:dyDescent="0.3">
      <c r="A18" s="10">
        <v>44594</v>
      </c>
      <c r="B18" s="2" t="s">
        <v>1035</v>
      </c>
      <c r="C18" s="7" t="s">
        <v>1003</v>
      </c>
      <c r="D18" s="43" t="s">
        <v>1036</v>
      </c>
      <c r="E18" s="9">
        <v>5000</v>
      </c>
      <c r="F18" s="10">
        <v>44594</v>
      </c>
      <c r="G18" s="10">
        <v>44594</v>
      </c>
      <c r="H18" s="9">
        <v>5000</v>
      </c>
      <c r="I18" s="9">
        <f t="shared" si="0"/>
        <v>0</v>
      </c>
      <c r="J18" s="2" t="s">
        <v>1037</v>
      </c>
      <c r="K18" s="2" t="s">
        <v>27</v>
      </c>
      <c r="L18" s="11">
        <v>44562</v>
      </c>
      <c r="M18" s="9"/>
      <c r="N18" s="9"/>
      <c r="O18" s="9"/>
      <c r="P18" s="9"/>
      <c r="Q18" s="9"/>
      <c r="R18" s="9"/>
      <c r="S18" s="9"/>
      <c r="T18" s="9">
        <f t="shared" si="1"/>
        <v>0</v>
      </c>
    </row>
    <row r="19" spans="1:26" ht="14.4" x14ac:dyDescent="0.3">
      <c r="A19" s="10">
        <v>44599</v>
      </c>
      <c r="B19" s="7" t="s">
        <v>1038</v>
      </c>
      <c r="C19" s="7" t="s">
        <v>1039</v>
      </c>
      <c r="D19" s="43" t="s">
        <v>1040</v>
      </c>
      <c r="E19" s="9">
        <v>2000000</v>
      </c>
      <c r="F19" s="10">
        <v>44599</v>
      </c>
      <c r="G19" s="10">
        <v>44601</v>
      </c>
      <c r="H19" s="9">
        <v>2000000</v>
      </c>
      <c r="I19" s="9">
        <f t="shared" si="0"/>
        <v>0</v>
      </c>
      <c r="J19" s="2" t="s">
        <v>1041</v>
      </c>
      <c r="K19" s="2" t="s">
        <v>32</v>
      </c>
      <c r="L19" s="11">
        <v>44562</v>
      </c>
      <c r="M19" s="9">
        <v>1000000</v>
      </c>
      <c r="N19" s="9"/>
      <c r="O19" s="9"/>
      <c r="P19" s="9">
        <v>1000000</v>
      </c>
      <c r="Q19" s="9"/>
      <c r="R19" s="9"/>
      <c r="S19" s="9"/>
      <c r="T19" s="9">
        <f t="shared" si="1"/>
        <v>0</v>
      </c>
    </row>
    <row r="20" spans="1:26" ht="14.4" x14ac:dyDescent="0.3">
      <c r="A20" s="10">
        <v>44601</v>
      </c>
      <c r="B20" s="7" t="s">
        <v>1042</v>
      </c>
      <c r="C20" s="7" t="s">
        <v>1043</v>
      </c>
      <c r="D20" s="43" t="s">
        <v>1044</v>
      </c>
      <c r="E20" s="9">
        <v>75000</v>
      </c>
      <c r="F20" s="10">
        <v>44601</v>
      </c>
      <c r="G20" s="10">
        <v>44601</v>
      </c>
      <c r="H20" s="9">
        <v>75000</v>
      </c>
      <c r="I20" s="9">
        <f t="shared" si="0"/>
        <v>0</v>
      </c>
      <c r="J20" s="2" t="s">
        <v>1045</v>
      </c>
      <c r="K20" s="2" t="s">
        <v>32</v>
      </c>
      <c r="L20" s="11">
        <v>44562</v>
      </c>
      <c r="M20" s="9">
        <v>75000</v>
      </c>
      <c r="N20" s="9"/>
      <c r="O20" s="9"/>
      <c r="P20" s="9"/>
      <c r="Q20" s="9"/>
      <c r="R20" s="9">
        <v>75000</v>
      </c>
      <c r="S20" s="9"/>
      <c r="T20" s="9">
        <f t="shared" si="1"/>
        <v>0</v>
      </c>
    </row>
    <row r="21" spans="1:26" ht="15.75" customHeight="1" x14ac:dyDescent="0.3">
      <c r="A21" s="10">
        <v>44601</v>
      </c>
      <c r="B21" s="7" t="s">
        <v>1046</v>
      </c>
      <c r="C21" s="7" t="s">
        <v>1047</v>
      </c>
      <c r="D21" s="43" t="s">
        <v>1048</v>
      </c>
      <c r="E21" s="9">
        <v>50000</v>
      </c>
      <c r="F21" s="10">
        <v>44601</v>
      </c>
      <c r="G21" s="10">
        <v>44606</v>
      </c>
      <c r="H21" s="9">
        <v>50000</v>
      </c>
      <c r="I21" s="9">
        <f t="shared" si="0"/>
        <v>0</v>
      </c>
      <c r="J21" s="2" t="s">
        <v>1049</v>
      </c>
      <c r="K21" s="2" t="s">
        <v>32</v>
      </c>
      <c r="L21" s="11">
        <v>44562</v>
      </c>
      <c r="M21" s="9">
        <v>50000</v>
      </c>
      <c r="N21" s="9"/>
      <c r="O21" s="9"/>
      <c r="P21" s="9"/>
      <c r="Q21" s="9">
        <v>50000</v>
      </c>
      <c r="R21" s="9"/>
      <c r="S21" s="9"/>
      <c r="T21" s="9">
        <f t="shared" si="1"/>
        <v>0</v>
      </c>
    </row>
    <row r="22" spans="1:26" ht="15.75" customHeight="1" x14ac:dyDescent="0.3">
      <c r="A22" s="10">
        <v>44602</v>
      </c>
      <c r="B22" s="7" t="s">
        <v>1050</v>
      </c>
      <c r="C22" s="7" t="s">
        <v>1051</v>
      </c>
      <c r="D22" s="43" t="s">
        <v>1052</v>
      </c>
      <c r="E22" s="9">
        <v>82000</v>
      </c>
      <c r="F22" s="10">
        <v>44602</v>
      </c>
      <c r="G22" s="10">
        <v>44602</v>
      </c>
      <c r="H22" s="9">
        <v>82000</v>
      </c>
      <c r="I22" s="9">
        <f t="shared" si="0"/>
        <v>0</v>
      </c>
      <c r="J22" s="2" t="s">
        <v>1053</v>
      </c>
      <c r="K22" s="2" t="s">
        <v>32</v>
      </c>
      <c r="L22" s="11">
        <v>44562</v>
      </c>
      <c r="M22" s="9">
        <v>82000</v>
      </c>
      <c r="N22" s="9"/>
      <c r="O22" s="9">
        <v>82000</v>
      </c>
      <c r="P22" s="9"/>
      <c r="Q22" s="9"/>
      <c r="R22" s="9"/>
      <c r="S22" s="9"/>
      <c r="T22" s="9">
        <f t="shared" si="1"/>
        <v>0</v>
      </c>
    </row>
    <row r="23" spans="1:26" ht="15.75" customHeight="1" x14ac:dyDescent="0.3">
      <c r="A23" s="44">
        <v>44613</v>
      </c>
      <c r="B23" s="18" t="s">
        <v>1054</v>
      </c>
      <c r="C23" s="18" t="s">
        <v>1055</v>
      </c>
      <c r="D23" s="45" t="s">
        <v>1056</v>
      </c>
      <c r="E23" s="23"/>
      <c r="F23" s="44">
        <v>44613</v>
      </c>
      <c r="G23" s="18"/>
      <c r="H23" s="23"/>
      <c r="I23" s="23">
        <f t="shared" si="0"/>
        <v>0</v>
      </c>
      <c r="J23" s="18"/>
      <c r="K23" s="18" t="s">
        <v>32</v>
      </c>
      <c r="L23" s="46">
        <v>44593</v>
      </c>
      <c r="M23" s="23">
        <f>I23/2</f>
        <v>0</v>
      </c>
      <c r="N23" s="23"/>
      <c r="O23" s="23"/>
      <c r="P23" s="23"/>
      <c r="Q23" s="23"/>
      <c r="R23" s="23"/>
      <c r="S23" s="23"/>
      <c r="T23" s="9">
        <f t="shared" si="1"/>
        <v>0</v>
      </c>
      <c r="U23" s="18"/>
      <c r="V23" s="18"/>
      <c r="W23" s="18"/>
      <c r="X23" s="18"/>
      <c r="Y23" s="18"/>
      <c r="Z23" s="18"/>
    </row>
    <row r="24" spans="1:26" ht="15.75" customHeight="1" x14ac:dyDescent="0.3">
      <c r="A24" s="10">
        <v>44617</v>
      </c>
      <c r="B24" s="7" t="s">
        <v>1057</v>
      </c>
      <c r="C24" s="7" t="s">
        <v>1058</v>
      </c>
      <c r="D24" s="43" t="s">
        <v>1059</v>
      </c>
      <c r="E24" s="9">
        <v>375000</v>
      </c>
      <c r="F24" s="10">
        <v>44617</v>
      </c>
      <c r="G24" s="10">
        <v>44623</v>
      </c>
      <c r="H24" s="9">
        <f>200000+175000</f>
        <v>375000</v>
      </c>
      <c r="I24" s="9">
        <f t="shared" si="0"/>
        <v>0</v>
      </c>
      <c r="J24" s="2" t="s">
        <v>1060</v>
      </c>
      <c r="K24" s="2" t="s">
        <v>32</v>
      </c>
      <c r="L24" s="11">
        <v>44593</v>
      </c>
      <c r="M24" s="9">
        <v>225000</v>
      </c>
      <c r="N24" s="9"/>
      <c r="O24" s="9">
        <v>225000</v>
      </c>
      <c r="P24" s="9"/>
      <c r="Q24" s="9"/>
      <c r="R24" s="9"/>
      <c r="S24" s="9"/>
      <c r="T24" s="9">
        <f t="shared" si="1"/>
        <v>0</v>
      </c>
    </row>
    <row r="25" spans="1:26" ht="15.75" customHeight="1" x14ac:dyDescent="0.3">
      <c r="A25" s="10">
        <v>44620</v>
      </c>
      <c r="B25" s="7" t="s">
        <v>1061</v>
      </c>
      <c r="C25" s="7" t="s">
        <v>1062</v>
      </c>
      <c r="D25" s="43" t="s">
        <v>1063</v>
      </c>
      <c r="E25" s="9">
        <v>50000</v>
      </c>
      <c r="F25" s="10">
        <v>44620</v>
      </c>
      <c r="G25" s="10">
        <v>44622</v>
      </c>
      <c r="H25" s="9">
        <v>50000</v>
      </c>
      <c r="I25" s="9">
        <f t="shared" si="0"/>
        <v>0</v>
      </c>
      <c r="J25" s="2" t="s">
        <v>1064</v>
      </c>
      <c r="K25" s="2" t="s">
        <v>32</v>
      </c>
      <c r="L25" s="11">
        <v>44593</v>
      </c>
      <c r="M25" s="9">
        <v>50000</v>
      </c>
      <c r="N25" s="9"/>
      <c r="O25" s="9">
        <v>50000</v>
      </c>
      <c r="P25" s="9"/>
      <c r="Q25" s="9"/>
      <c r="R25" s="9"/>
      <c r="S25" s="9"/>
      <c r="T25" s="9">
        <f t="shared" si="1"/>
        <v>0</v>
      </c>
    </row>
    <row r="26" spans="1:26" ht="15.75" customHeight="1" x14ac:dyDescent="0.3">
      <c r="A26" s="10">
        <v>44621</v>
      </c>
      <c r="B26" s="2" t="s">
        <v>1065</v>
      </c>
      <c r="C26" s="7" t="s">
        <v>20</v>
      </c>
      <c r="D26" s="43" t="s">
        <v>1066</v>
      </c>
      <c r="E26" s="9">
        <v>65000</v>
      </c>
      <c r="F26" s="10">
        <v>44621</v>
      </c>
      <c r="G26" s="10">
        <v>44670</v>
      </c>
      <c r="H26" s="9">
        <v>65000</v>
      </c>
      <c r="I26" s="9">
        <f t="shared" si="0"/>
        <v>0</v>
      </c>
      <c r="J26" s="2" t="s">
        <v>989</v>
      </c>
      <c r="K26" s="2" t="s">
        <v>22</v>
      </c>
      <c r="L26" s="11">
        <v>44621</v>
      </c>
      <c r="M26" s="9">
        <v>65000</v>
      </c>
      <c r="N26" s="9">
        <v>65000</v>
      </c>
      <c r="O26" s="9"/>
      <c r="P26" s="9"/>
      <c r="Q26" s="9"/>
      <c r="R26" s="9"/>
      <c r="S26" s="9"/>
      <c r="T26" s="9">
        <f t="shared" si="1"/>
        <v>0</v>
      </c>
    </row>
    <row r="27" spans="1:26" ht="15.75" customHeight="1" x14ac:dyDescent="0.3">
      <c r="A27" s="10">
        <v>44621</v>
      </c>
      <c r="B27" s="2" t="s">
        <v>1067</v>
      </c>
      <c r="C27" s="7" t="s">
        <v>991</v>
      </c>
      <c r="D27" s="43" t="s">
        <v>1068</v>
      </c>
      <c r="E27" s="9">
        <v>21000</v>
      </c>
      <c r="F27" s="10">
        <v>44621</v>
      </c>
      <c r="G27" s="10">
        <v>44636</v>
      </c>
      <c r="H27" s="9">
        <v>21000</v>
      </c>
      <c r="I27" s="9">
        <f t="shared" si="0"/>
        <v>0</v>
      </c>
      <c r="J27" s="2" t="s">
        <v>1069</v>
      </c>
      <c r="K27" s="2" t="s">
        <v>27</v>
      </c>
      <c r="L27" s="11">
        <v>44621</v>
      </c>
      <c r="M27" s="9"/>
      <c r="N27" s="9"/>
      <c r="O27" s="9"/>
      <c r="P27" s="9"/>
      <c r="Q27" s="9"/>
      <c r="R27" s="9"/>
      <c r="S27" s="9"/>
      <c r="T27" s="9">
        <f t="shared" si="1"/>
        <v>0</v>
      </c>
    </row>
    <row r="28" spans="1:26" ht="15.75" customHeight="1" x14ac:dyDescent="0.3">
      <c r="A28" s="10">
        <v>44621</v>
      </c>
      <c r="B28" s="7" t="s">
        <v>1070</v>
      </c>
      <c r="C28" s="7" t="s">
        <v>995</v>
      </c>
      <c r="D28" s="43" t="s">
        <v>1071</v>
      </c>
      <c r="E28" s="9">
        <v>15000</v>
      </c>
      <c r="F28" s="10">
        <v>44621</v>
      </c>
      <c r="G28" s="10">
        <v>44672</v>
      </c>
      <c r="H28" s="9">
        <v>15000</v>
      </c>
      <c r="I28" s="9">
        <f t="shared" si="0"/>
        <v>0</v>
      </c>
      <c r="J28" s="2" t="s">
        <v>1072</v>
      </c>
      <c r="K28" s="2" t="s">
        <v>27</v>
      </c>
      <c r="L28" s="11">
        <v>44621</v>
      </c>
      <c r="M28" s="9"/>
      <c r="N28" s="9"/>
      <c r="O28" s="9"/>
      <c r="P28" s="9"/>
      <c r="Q28" s="9"/>
      <c r="R28" s="9"/>
      <c r="S28" s="9"/>
      <c r="T28" s="9">
        <f t="shared" si="1"/>
        <v>0</v>
      </c>
    </row>
    <row r="29" spans="1:26" ht="15.75" customHeight="1" x14ac:dyDescent="0.3">
      <c r="A29" s="10">
        <v>44621</v>
      </c>
      <c r="B29" s="2" t="s">
        <v>1073</v>
      </c>
      <c r="C29" s="7" t="s">
        <v>1003</v>
      </c>
      <c r="D29" s="43" t="s">
        <v>1074</v>
      </c>
      <c r="E29" s="9">
        <v>3000</v>
      </c>
      <c r="F29" s="10">
        <v>44621</v>
      </c>
      <c r="G29" s="10">
        <v>44624</v>
      </c>
      <c r="H29" s="9">
        <v>3000</v>
      </c>
      <c r="I29" s="9">
        <f t="shared" si="0"/>
        <v>0</v>
      </c>
      <c r="J29" s="2" t="s">
        <v>1075</v>
      </c>
      <c r="K29" s="2" t="s">
        <v>27</v>
      </c>
      <c r="L29" s="11">
        <v>44621</v>
      </c>
      <c r="M29" s="9"/>
      <c r="N29" s="9"/>
      <c r="O29" s="9"/>
      <c r="P29" s="9"/>
      <c r="Q29" s="9"/>
      <c r="R29" s="9"/>
      <c r="S29" s="9"/>
      <c r="T29" s="9">
        <f t="shared" si="1"/>
        <v>0</v>
      </c>
    </row>
    <row r="30" spans="1:26" ht="15.75" customHeight="1" x14ac:dyDescent="0.3">
      <c r="A30" s="10">
        <v>44625</v>
      </c>
      <c r="B30" s="7" t="s">
        <v>1076</v>
      </c>
      <c r="C30" s="7" t="s">
        <v>1077</v>
      </c>
      <c r="D30" s="43" t="s">
        <v>1078</v>
      </c>
      <c r="E30" s="9">
        <v>105750</v>
      </c>
      <c r="F30" s="10">
        <v>44625</v>
      </c>
      <c r="G30" s="10">
        <v>44662</v>
      </c>
      <c r="H30" s="9">
        <v>105750</v>
      </c>
      <c r="I30" s="9">
        <f t="shared" si="0"/>
        <v>0</v>
      </c>
      <c r="J30" s="2" t="s">
        <v>1079</v>
      </c>
      <c r="K30" s="2" t="s">
        <v>32</v>
      </c>
      <c r="L30" s="11">
        <v>44621</v>
      </c>
      <c r="M30" s="9">
        <v>105750</v>
      </c>
      <c r="N30" s="9"/>
      <c r="O30" s="9"/>
      <c r="P30" s="9"/>
      <c r="Q30" s="9">
        <v>105750</v>
      </c>
      <c r="R30" s="9"/>
      <c r="S30" s="9"/>
      <c r="T30" s="9">
        <f t="shared" si="1"/>
        <v>0</v>
      </c>
    </row>
    <row r="31" spans="1:26" ht="15.75" customHeight="1" x14ac:dyDescent="0.3">
      <c r="A31" s="10">
        <v>44633</v>
      </c>
      <c r="B31" s="7" t="s">
        <v>1080</v>
      </c>
      <c r="C31" s="7" t="s">
        <v>1081</v>
      </c>
      <c r="D31" s="43" t="s">
        <v>1082</v>
      </c>
      <c r="E31" s="9">
        <v>150000</v>
      </c>
      <c r="F31" s="10">
        <v>44633</v>
      </c>
      <c r="G31" s="10">
        <v>44633</v>
      </c>
      <c r="H31" s="9">
        <v>150000</v>
      </c>
      <c r="I31" s="9">
        <f t="shared" si="0"/>
        <v>0</v>
      </c>
      <c r="J31" s="2" t="s">
        <v>1083</v>
      </c>
      <c r="K31" s="2" t="s">
        <v>32</v>
      </c>
      <c r="L31" s="11">
        <v>44621</v>
      </c>
      <c r="M31" s="9">
        <v>75000</v>
      </c>
      <c r="N31" s="9"/>
      <c r="O31" s="9"/>
      <c r="P31" s="9"/>
      <c r="Q31" s="9"/>
      <c r="R31" s="9">
        <v>75000</v>
      </c>
      <c r="S31" s="9"/>
      <c r="T31" s="9">
        <f t="shared" si="1"/>
        <v>0</v>
      </c>
    </row>
    <row r="32" spans="1:26" ht="15.75" customHeight="1" x14ac:dyDescent="0.3">
      <c r="A32" s="10">
        <v>44638</v>
      </c>
      <c r="B32" s="7" t="s">
        <v>1084</v>
      </c>
      <c r="C32" s="7" t="s">
        <v>1007</v>
      </c>
      <c r="D32" s="43" t="s">
        <v>1085</v>
      </c>
      <c r="E32" s="9">
        <v>15000</v>
      </c>
      <c r="F32" s="10">
        <v>44637</v>
      </c>
      <c r="G32" s="10">
        <v>44637</v>
      </c>
      <c r="H32" s="9">
        <v>15000</v>
      </c>
      <c r="I32" s="9">
        <f t="shared" si="0"/>
        <v>0</v>
      </c>
      <c r="J32" s="2" t="s">
        <v>1086</v>
      </c>
      <c r="K32" s="2" t="s">
        <v>32</v>
      </c>
      <c r="L32" s="11">
        <v>44621</v>
      </c>
      <c r="M32" s="9">
        <v>15000</v>
      </c>
      <c r="N32" s="9"/>
      <c r="O32" s="9"/>
      <c r="P32" s="9"/>
      <c r="Q32" s="9"/>
      <c r="R32" s="9">
        <v>15000</v>
      </c>
      <c r="S32" s="9"/>
      <c r="T32" s="9">
        <f t="shared" si="1"/>
        <v>0</v>
      </c>
    </row>
    <row r="33" spans="1:26" ht="15.75" customHeight="1" x14ac:dyDescent="0.3">
      <c r="A33" s="10">
        <v>44638</v>
      </c>
      <c r="B33" s="7" t="s">
        <v>1087</v>
      </c>
      <c r="C33" s="7" t="s">
        <v>1088</v>
      </c>
      <c r="D33" s="43" t="s">
        <v>1089</v>
      </c>
      <c r="E33" s="9">
        <v>110000</v>
      </c>
      <c r="F33" s="10">
        <v>44638</v>
      </c>
      <c r="G33" s="10">
        <v>44638</v>
      </c>
      <c r="H33" s="9">
        <v>110000</v>
      </c>
      <c r="I33" s="9">
        <f t="shared" si="0"/>
        <v>0</v>
      </c>
      <c r="J33" s="2" t="s">
        <v>1090</v>
      </c>
      <c r="K33" s="2" t="s">
        <v>32</v>
      </c>
      <c r="L33" s="11">
        <v>44621</v>
      </c>
      <c r="M33" s="9">
        <v>110000</v>
      </c>
      <c r="N33" s="9"/>
      <c r="O33" s="9"/>
      <c r="P33" s="9"/>
      <c r="Q33" s="9">
        <v>110000</v>
      </c>
      <c r="R33" s="9"/>
      <c r="S33" s="9"/>
      <c r="T33" s="9">
        <f t="shared" si="1"/>
        <v>0</v>
      </c>
    </row>
    <row r="34" spans="1:26" ht="15.75" customHeight="1" x14ac:dyDescent="0.3">
      <c r="A34" s="10">
        <v>44641</v>
      </c>
      <c r="B34" s="7" t="s">
        <v>1091</v>
      </c>
      <c r="C34" s="7" t="s">
        <v>1007</v>
      </c>
      <c r="D34" s="43" t="s">
        <v>1092</v>
      </c>
      <c r="E34" s="9">
        <v>7500</v>
      </c>
      <c r="F34" s="10">
        <v>44641</v>
      </c>
      <c r="G34" s="10">
        <v>44630</v>
      </c>
      <c r="H34" s="9">
        <v>7500</v>
      </c>
      <c r="I34" s="9">
        <f t="shared" si="0"/>
        <v>0</v>
      </c>
      <c r="J34" s="9" t="s">
        <v>1093</v>
      </c>
      <c r="K34" s="2" t="s">
        <v>32</v>
      </c>
      <c r="L34" s="11">
        <v>44621</v>
      </c>
      <c r="M34" s="9">
        <v>7500</v>
      </c>
      <c r="N34" s="9"/>
      <c r="O34" s="9"/>
      <c r="P34" s="9"/>
      <c r="Q34" s="9"/>
      <c r="R34" s="9">
        <v>7500</v>
      </c>
      <c r="S34" s="9"/>
      <c r="T34" s="9">
        <f t="shared" si="1"/>
        <v>0</v>
      </c>
    </row>
    <row r="35" spans="1:26" ht="15.75" customHeight="1" x14ac:dyDescent="0.3">
      <c r="A35" s="10">
        <v>44652</v>
      </c>
      <c r="B35" s="2" t="s">
        <v>1094</v>
      </c>
      <c r="C35" s="7" t="s">
        <v>20</v>
      </c>
      <c r="D35" s="43" t="s">
        <v>1095</v>
      </c>
      <c r="E35" s="9">
        <v>65000</v>
      </c>
      <c r="F35" s="10">
        <v>44655</v>
      </c>
      <c r="G35" s="10">
        <v>44789</v>
      </c>
      <c r="H35" s="9">
        <v>65000</v>
      </c>
      <c r="I35" s="9">
        <f t="shared" si="0"/>
        <v>0</v>
      </c>
      <c r="J35" s="2" t="s">
        <v>1096</v>
      </c>
      <c r="K35" s="2" t="s">
        <v>22</v>
      </c>
      <c r="L35" s="11">
        <v>44652</v>
      </c>
      <c r="M35" s="9">
        <v>65000</v>
      </c>
      <c r="N35" s="9">
        <v>65000</v>
      </c>
      <c r="O35" s="9"/>
      <c r="P35" s="9"/>
      <c r="Q35" s="9"/>
      <c r="R35" s="9"/>
      <c r="S35" s="9"/>
      <c r="T35" s="9">
        <f t="shared" si="1"/>
        <v>0</v>
      </c>
    </row>
    <row r="36" spans="1:26" ht="15.75" customHeight="1" x14ac:dyDescent="0.3">
      <c r="A36" s="10">
        <v>44652</v>
      </c>
      <c r="B36" s="2" t="s">
        <v>1097</v>
      </c>
      <c r="C36" s="7" t="s">
        <v>991</v>
      </c>
      <c r="D36" s="43" t="s">
        <v>1098</v>
      </c>
      <c r="E36" s="9">
        <v>21000</v>
      </c>
      <c r="F36" s="10">
        <v>44655</v>
      </c>
      <c r="G36" s="10">
        <v>44680</v>
      </c>
      <c r="H36" s="9">
        <v>21000</v>
      </c>
      <c r="I36" s="9">
        <f t="shared" si="0"/>
        <v>0</v>
      </c>
      <c r="J36" s="9" t="s">
        <v>1099</v>
      </c>
      <c r="K36" s="2" t="s">
        <v>27</v>
      </c>
      <c r="L36" s="11">
        <v>44652</v>
      </c>
      <c r="M36" s="9"/>
      <c r="N36" s="9"/>
      <c r="O36" s="9"/>
      <c r="P36" s="9"/>
      <c r="Q36" s="9"/>
      <c r="R36" s="9"/>
      <c r="S36" s="9"/>
      <c r="T36" s="9">
        <f t="shared" si="1"/>
        <v>0</v>
      </c>
    </row>
    <row r="37" spans="1:26" ht="15.75" customHeight="1" x14ac:dyDescent="0.3">
      <c r="A37" s="10">
        <v>44652</v>
      </c>
      <c r="B37" s="7" t="s">
        <v>1100</v>
      </c>
      <c r="C37" s="7" t="s">
        <v>995</v>
      </c>
      <c r="D37" s="43" t="s">
        <v>1101</v>
      </c>
      <c r="E37" s="9">
        <v>15000</v>
      </c>
      <c r="F37" s="10">
        <v>44655</v>
      </c>
      <c r="G37" s="10">
        <v>44672</v>
      </c>
      <c r="H37" s="9">
        <v>15000</v>
      </c>
      <c r="I37" s="9">
        <f t="shared" si="0"/>
        <v>0</v>
      </c>
      <c r="J37" s="9" t="s">
        <v>1102</v>
      </c>
      <c r="K37" s="2" t="s">
        <v>27</v>
      </c>
      <c r="L37" s="11">
        <v>44652</v>
      </c>
      <c r="M37" s="9"/>
      <c r="N37" s="9"/>
      <c r="O37" s="9"/>
      <c r="P37" s="9"/>
      <c r="Q37" s="9"/>
      <c r="R37" s="9"/>
      <c r="S37" s="9"/>
      <c r="T37" s="9">
        <f t="shared" si="1"/>
        <v>0</v>
      </c>
    </row>
    <row r="38" spans="1:26" ht="15.75" customHeight="1" x14ac:dyDescent="0.3">
      <c r="A38" s="44">
        <v>44652</v>
      </c>
      <c r="B38" s="18" t="s">
        <v>1103</v>
      </c>
      <c r="C38" s="18" t="s">
        <v>1003</v>
      </c>
      <c r="D38" s="45" t="s">
        <v>1104</v>
      </c>
      <c r="E38" s="23">
        <f>5000-5000</f>
        <v>0</v>
      </c>
      <c r="F38" s="44">
        <v>44655</v>
      </c>
      <c r="G38" s="44"/>
      <c r="H38" s="23"/>
      <c r="I38" s="23">
        <f t="shared" si="0"/>
        <v>0</v>
      </c>
      <c r="J38" s="23"/>
      <c r="K38" s="18" t="s">
        <v>27</v>
      </c>
      <c r="L38" s="46">
        <v>44652</v>
      </c>
      <c r="M38" s="23"/>
      <c r="N38" s="23"/>
      <c r="O38" s="23"/>
      <c r="P38" s="23"/>
      <c r="Q38" s="23"/>
      <c r="R38" s="23"/>
      <c r="S38" s="23"/>
      <c r="T38" s="9">
        <f t="shared" si="1"/>
        <v>0</v>
      </c>
      <c r="U38" s="18"/>
      <c r="V38" s="18"/>
      <c r="W38" s="18"/>
      <c r="X38" s="18"/>
      <c r="Y38" s="18"/>
      <c r="Z38" s="18"/>
    </row>
    <row r="39" spans="1:26" ht="15.75" customHeight="1" x14ac:dyDescent="0.3">
      <c r="A39" s="10">
        <v>44653</v>
      </c>
      <c r="B39" s="7" t="s">
        <v>1105</v>
      </c>
      <c r="C39" s="7" t="s">
        <v>842</v>
      </c>
      <c r="D39" s="43" t="s">
        <v>1106</v>
      </c>
      <c r="E39" s="9">
        <v>45000</v>
      </c>
      <c r="F39" s="10">
        <v>44655</v>
      </c>
      <c r="G39" s="10">
        <v>44653</v>
      </c>
      <c r="H39" s="9">
        <v>45000</v>
      </c>
      <c r="I39" s="9">
        <f t="shared" si="0"/>
        <v>0</v>
      </c>
      <c r="J39" s="2" t="s">
        <v>1107</v>
      </c>
      <c r="K39" s="2" t="s">
        <v>32</v>
      </c>
      <c r="L39" s="11">
        <v>44621</v>
      </c>
      <c r="M39" s="9">
        <v>45000</v>
      </c>
      <c r="N39" s="9"/>
      <c r="O39" s="9"/>
      <c r="P39" s="9"/>
      <c r="Q39" s="9">
        <v>45000</v>
      </c>
      <c r="R39" s="9"/>
      <c r="S39" s="9"/>
      <c r="T39" s="9">
        <f t="shared" si="1"/>
        <v>0</v>
      </c>
    </row>
    <row r="40" spans="1:26" ht="15.75" customHeight="1" x14ac:dyDescent="0.3">
      <c r="A40" s="10">
        <v>44659</v>
      </c>
      <c r="B40" s="7" t="s">
        <v>1108</v>
      </c>
      <c r="C40" s="7" t="s">
        <v>1109</v>
      </c>
      <c r="D40" s="43" t="s">
        <v>1110</v>
      </c>
      <c r="E40" s="9">
        <v>200000</v>
      </c>
      <c r="F40" s="10">
        <v>44659</v>
      </c>
      <c r="G40" s="10">
        <v>44663</v>
      </c>
      <c r="H40" s="9">
        <v>200000</v>
      </c>
      <c r="I40" s="9">
        <f t="shared" si="0"/>
        <v>0</v>
      </c>
      <c r="J40" s="2" t="s">
        <v>1111</v>
      </c>
      <c r="K40" s="2" t="s">
        <v>32</v>
      </c>
      <c r="L40" s="11">
        <v>44652</v>
      </c>
      <c r="M40" s="9">
        <v>200000</v>
      </c>
      <c r="N40" s="9"/>
      <c r="O40" s="9"/>
      <c r="P40" s="9"/>
      <c r="Q40" s="9">
        <v>200000</v>
      </c>
      <c r="R40" s="9"/>
      <c r="S40" s="9"/>
      <c r="T40" s="9">
        <f t="shared" si="1"/>
        <v>0</v>
      </c>
    </row>
    <row r="41" spans="1:26" ht="15.75" customHeight="1" x14ac:dyDescent="0.3">
      <c r="A41" s="10">
        <v>44662</v>
      </c>
      <c r="B41" s="7" t="s">
        <v>1112</v>
      </c>
      <c r="C41" s="7" t="s">
        <v>1113</v>
      </c>
      <c r="D41" s="43" t="s">
        <v>1114</v>
      </c>
      <c r="E41" s="9">
        <v>300000</v>
      </c>
      <c r="F41" s="10">
        <v>44662</v>
      </c>
      <c r="G41" s="10">
        <v>44656</v>
      </c>
      <c r="H41" s="9">
        <f>200000+100000</f>
        <v>300000</v>
      </c>
      <c r="I41" s="9">
        <f t="shared" si="0"/>
        <v>0</v>
      </c>
      <c r="J41" s="2" t="s">
        <v>1115</v>
      </c>
      <c r="K41" s="2" t="s">
        <v>32</v>
      </c>
      <c r="L41" s="11">
        <v>44621</v>
      </c>
      <c r="M41" s="9">
        <v>300000</v>
      </c>
      <c r="N41" s="9"/>
      <c r="O41" s="9"/>
      <c r="P41" s="9">
        <v>300000</v>
      </c>
      <c r="Q41" s="9"/>
      <c r="R41" s="9"/>
      <c r="S41" s="9"/>
      <c r="T41" s="9">
        <f t="shared" si="1"/>
        <v>0</v>
      </c>
    </row>
    <row r="42" spans="1:26" ht="15.75" customHeight="1" x14ac:dyDescent="0.3">
      <c r="A42" s="10">
        <v>44669</v>
      </c>
      <c r="B42" s="7" t="s">
        <v>1116</v>
      </c>
      <c r="C42" s="7" t="s">
        <v>1117</v>
      </c>
      <c r="D42" s="43" t="s">
        <v>1118</v>
      </c>
      <c r="E42" s="9">
        <v>337000</v>
      </c>
      <c r="F42" s="10">
        <v>44669</v>
      </c>
      <c r="G42" s="10">
        <v>44669</v>
      </c>
      <c r="H42" s="9">
        <v>337000</v>
      </c>
      <c r="I42" s="9">
        <f t="shared" si="0"/>
        <v>0</v>
      </c>
      <c r="J42" s="2" t="s">
        <v>1119</v>
      </c>
      <c r="K42" s="2" t="s">
        <v>32</v>
      </c>
      <c r="L42" s="11">
        <v>44652</v>
      </c>
      <c r="M42" s="9">
        <v>337000</v>
      </c>
      <c r="N42" s="9"/>
      <c r="O42" s="9"/>
      <c r="P42" s="9"/>
      <c r="Q42" s="9">
        <v>337000</v>
      </c>
      <c r="R42" s="9"/>
      <c r="S42" s="9"/>
      <c r="T42" s="9">
        <f t="shared" si="1"/>
        <v>0</v>
      </c>
    </row>
    <row r="43" spans="1:26" ht="15.75" customHeight="1" x14ac:dyDescent="0.3">
      <c r="A43" s="10">
        <v>44677</v>
      </c>
      <c r="B43" s="7" t="s">
        <v>1120</v>
      </c>
      <c r="C43" s="7" t="s">
        <v>1121</v>
      </c>
      <c r="D43" s="43" t="s">
        <v>1122</v>
      </c>
      <c r="E43" s="9">
        <v>612500</v>
      </c>
      <c r="F43" s="10">
        <v>44677</v>
      </c>
      <c r="G43" s="10">
        <v>44680</v>
      </c>
      <c r="H43" s="9">
        <v>612500</v>
      </c>
      <c r="I43" s="9">
        <f t="shared" si="0"/>
        <v>0</v>
      </c>
      <c r="J43" s="2" t="s">
        <v>1123</v>
      </c>
      <c r="K43" s="2" t="s">
        <v>32</v>
      </c>
      <c r="L43" s="11">
        <v>44652</v>
      </c>
      <c r="M43" s="9">
        <v>612500</v>
      </c>
      <c r="N43" s="9"/>
      <c r="O43" s="9">
        <v>612500</v>
      </c>
      <c r="P43" s="9"/>
      <c r="Q43" s="9"/>
      <c r="R43" s="9"/>
      <c r="S43" s="9"/>
      <c r="T43" s="9">
        <f t="shared" si="1"/>
        <v>0</v>
      </c>
    </row>
    <row r="44" spans="1:26" ht="15.75" customHeight="1" x14ac:dyDescent="0.3">
      <c r="A44" s="10">
        <v>44677</v>
      </c>
      <c r="B44" s="7" t="s">
        <v>1124</v>
      </c>
      <c r="C44" s="7" t="s">
        <v>20</v>
      </c>
      <c r="D44" s="43" t="s">
        <v>1125</v>
      </c>
      <c r="E44" s="9">
        <v>121908</v>
      </c>
      <c r="F44" s="10">
        <v>44677</v>
      </c>
      <c r="G44" s="10">
        <v>44670</v>
      </c>
      <c r="H44" s="9">
        <v>121908</v>
      </c>
      <c r="I44" s="9">
        <f t="shared" si="0"/>
        <v>0</v>
      </c>
      <c r="J44" s="2" t="s">
        <v>1126</v>
      </c>
      <c r="K44" s="2" t="s">
        <v>22</v>
      </c>
      <c r="L44" s="11">
        <v>44652</v>
      </c>
      <c r="M44" s="9">
        <v>121908</v>
      </c>
      <c r="N44" s="9">
        <v>121908</v>
      </c>
      <c r="O44" s="9"/>
      <c r="P44" s="9"/>
      <c r="Q44" s="9"/>
      <c r="R44" s="9"/>
      <c r="S44" s="9"/>
      <c r="T44" s="9">
        <f t="shared" si="1"/>
        <v>0</v>
      </c>
    </row>
    <row r="45" spans="1:26" ht="15.75" customHeight="1" x14ac:dyDescent="0.3">
      <c r="A45" s="10">
        <v>44680</v>
      </c>
      <c r="B45" s="7" t="s">
        <v>1127</v>
      </c>
      <c r="C45" s="7" t="s">
        <v>1128</v>
      </c>
      <c r="D45" s="43" t="s">
        <v>1129</v>
      </c>
      <c r="E45" s="9">
        <v>300000</v>
      </c>
      <c r="F45" s="10">
        <v>44682</v>
      </c>
      <c r="G45" s="10">
        <v>44680</v>
      </c>
      <c r="H45" s="9">
        <v>300000</v>
      </c>
      <c r="I45" s="9">
        <f t="shared" si="0"/>
        <v>0</v>
      </c>
      <c r="J45" s="2" t="s">
        <v>1130</v>
      </c>
      <c r="K45" s="2" t="s">
        <v>32</v>
      </c>
      <c r="L45" s="11">
        <v>44652</v>
      </c>
      <c r="M45" s="9">
        <v>150000</v>
      </c>
      <c r="N45" s="9"/>
      <c r="O45" s="9"/>
      <c r="P45" s="9"/>
      <c r="Q45" s="9">
        <v>150000</v>
      </c>
      <c r="R45" s="9"/>
      <c r="S45" s="9"/>
      <c r="T45" s="9">
        <f t="shared" si="1"/>
        <v>0</v>
      </c>
    </row>
    <row r="46" spans="1:26" ht="15.75" customHeight="1" x14ac:dyDescent="0.3">
      <c r="A46" s="10">
        <v>44685</v>
      </c>
      <c r="B46" s="7" t="s">
        <v>1131</v>
      </c>
      <c r="C46" s="7" t="s">
        <v>1132</v>
      </c>
      <c r="D46" s="43" t="s">
        <v>1133</v>
      </c>
      <c r="E46" s="9">
        <v>240000</v>
      </c>
      <c r="F46" s="10">
        <v>44685</v>
      </c>
      <c r="G46" s="10">
        <v>44686</v>
      </c>
      <c r="H46" s="9">
        <v>240000</v>
      </c>
      <c r="I46" s="9">
        <f t="shared" si="0"/>
        <v>0</v>
      </c>
      <c r="J46" s="2" t="s">
        <v>1134</v>
      </c>
      <c r="K46" s="2" t="s">
        <v>32</v>
      </c>
      <c r="L46" s="11">
        <v>44682</v>
      </c>
      <c r="M46" s="9">
        <v>240000</v>
      </c>
      <c r="N46" s="9"/>
      <c r="O46" s="9"/>
      <c r="P46" s="9"/>
      <c r="Q46" s="9">
        <v>240000</v>
      </c>
      <c r="R46" s="9"/>
      <c r="S46" s="9"/>
      <c r="T46" s="9">
        <f t="shared" si="1"/>
        <v>0</v>
      </c>
    </row>
    <row r="47" spans="1:26" ht="15.75" customHeight="1" x14ac:dyDescent="0.3">
      <c r="A47" s="10">
        <v>44695</v>
      </c>
      <c r="B47" s="7" t="s">
        <v>1135</v>
      </c>
      <c r="C47" s="7" t="s">
        <v>1007</v>
      </c>
      <c r="D47" s="43" t="s">
        <v>1136</v>
      </c>
      <c r="E47" s="9">
        <v>7500</v>
      </c>
      <c r="F47" s="10">
        <v>44699</v>
      </c>
      <c r="G47" s="10">
        <v>44695</v>
      </c>
      <c r="H47" s="9">
        <v>7500</v>
      </c>
      <c r="I47" s="9">
        <f t="shared" si="0"/>
        <v>0</v>
      </c>
      <c r="J47" s="2" t="s">
        <v>1137</v>
      </c>
      <c r="K47" s="2" t="s">
        <v>32</v>
      </c>
      <c r="L47" s="11">
        <v>44682</v>
      </c>
      <c r="M47" s="9">
        <v>7500</v>
      </c>
      <c r="N47" s="9"/>
      <c r="O47" s="9"/>
      <c r="P47" s="9"/>
      <c r="Q47" s="9"/>
      <c r="R47" s="9">
        <v>7500</v>
      </c>
      <c r="S47" s="9"/>
      <c r="T47" s="9">
        <f t="shared" si="1"/>
        <v>0</v>
      </c>
    </row>
    <row r="48" spans="1:26" ht="15.75" customHeight="1" x14ac:dyDescent="0.3">
      <c r="A48" s="10">
        <v>44682</v>
      </c>
      <c r="B48" s="2" t="s">
        <v>1138</v>
      </c>
      <c r="C48" s="7" t="s">
        <v>20</v>
      </c>
      <c r="D48" s="43" t="s">
        <v>1139</v>
      </c>
      <c r="E48" s="9">
        <v>65000</v>
      </c>
      <c r="F48" s="10">
        <v>44704</v>
      </c>
      <c r="G48" s="10">
        <v>44789</v>
      </c>
      <c r="H48" s="9">
        <v>65000</v>
      </c>
      <c r="I48" s="9">
        <f t="shared" si="0"/>
        <v>0</v>
      </c>
      <c r="J48" s="2" t="s">
        <v>1096</v>
      </c>
      <c r="K48" s="2" t="s">
        <v>22</v>
      </c>
      <c r="L48" s="11">
        <v>44682</v>
      </c>
      <c r="M48" s="9">
        <v>65000</v>
      </c>
      <c r="N48" s="9">
        <v>65000</v>
      </c>
      <c r="O48" s="9"/>
      <c r="P48" s="9"/>
      <c r="Q48" s="9"/>
      <c r="R48" s="9"/>
      <c r="S48" s="9"/>
      <c r="T48" s="9">
        <f t="shared" si="1"/>
        <v>0</v>
      </c>
    </row>
    <row r="49" spans="1:26" ht="15.75" customHeight="1" x14ac:dyDescent="0.3">
      <c r="A49" s="10">
        <v>44682</v>
      </c>
      <c r="B49" s="2" t="s">
        <v>1140</v>
      </c>
      <c r="C49" s="7" t="s">
        <v>991</v>
      </c>
      <c r="D49" s="43" t="s">
        <v>1141</v>
      </c>
      <c r="E49" s="9">
        <v>21000</v>
      </c>
      <c r="F49" s="10">
        <v>44704</v>
      </c>
      <c r="G49" s="10">
        <v>44725</v>
      </c>
      <c r="H49" s="9">
        <v>21000</v>
      </c>
      <c r="I49" s="9">
        <f t="shared" si="0"/>
        <v>0</v>
      </c>
      <c r="J49" s="2" t="s">
        <v>1142</v>
      </c>
      <c r="K49" s="2" t="s">
        <v>27</v>
      </c>
      <c r="L49" s="11">
        <v>44682</v>
      </c>
      <c r="M49" s="9"/>
      <c r="N49" s="9"/>
      <c r="O49" s="9"/>
      <c r="P49" s="9"/>
      <c r="Q49" s="9"/>
      <c r="R49" s="9"/>
      <c r="S49" s="9"/>
      <c r="T49" s="9">
        <f t="shared" si="1"/>
        <v>0</v>
      </c>
    </row>
    <row r="50" spans="1:26" ht="15.75" customHeight="1" x14ac:dyDescent="0.3">
      <c r="A50" s="10">
        <v>44682</v>
      </c>
      <c r="B50" s="7" t="s">
        <v>1143</v>
      </c>
      <c r="C50" s="7" t="s">
        <v>995</v>
      </c>
      <c r="D50" s="43" t="s">
        <v>1144</v>
      </c>
      <c r="E50" s="9">
        <v>15000</v>
      </c>
      <c r="F50" s="10">
        <v>44704</v>
      </c>
      <c r="G50" s="10">
        <v>44722</v>
      </c>
      <c r="H50" s="9">
        <v>15000</v>
      </c>
      <c r="I50" s="9">
        <f t="shared" si="0"/>
        <v>0</v>
      </c>
      <c r="J50" s="2" t="s">
        <v>1145</v>
      </c>
      <c r="K50" s="2" t="s">
        <v>27</v>
      </c>
      <c r="L50" s="11">
        <v>44682</v>
      </c>
      <c r="M50" s="9"/>
      <c r="N50" s="9"/>
      <c r="O50" s="9"/>
      <c r="P50" s="9"/>
      <c r="Q50" s="9"/>
      <c r="R50" s="9"/>
      <c r="S50" s="9"/>
      <c r="T50" s="9">
        <f t="shared" si="1"/>
        <v>0</v>
      </c>
    </row>
    <row r="51" spans="1:26" ht="15.75" customHeight="1" x14ac:dyDescent="0.3">
      <c r="A51" s="10">
        <v>44705</v>
      </c>
      <c r="B51" s="7" t="s">
        <v>1146</v>
      </c>
      <c r="C51" s="7" t="s">
        <v>1147</v>
      </c>
      <c r="D51" s="43" t="s">
        <v>1148</v>
      </c>
      <c r="E51" s="9">
        <v>547500</v>
      </c>
      <c r="F51" s="10">
        <v>44705</v>
      </c>
      <c r="G51" s="10">
        <v>44705</v>
      </c>
      <c r="H51" s="9">
        <v>547500</v>
      </c>
      <c r="I51" s="9">
        <f t="shared" si="0"/>
        <v>0</v>
      </c>
      <c r="J51" s="2" t="s">
        <v>1149</v>
      </c>
      <c r="K51" s="2" t="s">
        <v>32</v>
      </c>
      <c r="L51" s="11">
        <v>44682</v>
      </c>
      <c r="M51" s="9">
        <v>547500</v>
      </c>
      <c r="N51" s="9"/>
      <c r="O51" s="9"/>
      <c r="P51" s="9"/>
      <c r="Q51" s="9">
        <v>547500</v>
      </c>
      <c r="R51" s="9"/>
      <c r="S51" s="9"/>
      <c r="T51" s="9">
        <f t="shared" si="1"/>
        <v>0</v>
      </c>
    </row>
    <row r="52" spans="1:26" ht="15.75" customHeight="1" x14ac:dyDescent="0.3">
      <c r="A52" s="44">
        <v>44708</v>
      </c>
      <c r="B52" s="18" t="s">
        <v>1150</v>
      </c>
      <c r="C52" s="18" t="s">
        <v>1151</v>
      </c>
      <c r="D52" s="45" t="s">
        <v>1152</v>
      </c>
      <c r="E52" s="23"/>
      <c r="F52" s="44">
        <v>44708</v>
      </c>
      <c r="G52" s="44"/>
      <c r="H52" s="23"/>
      <c r="I52" s="23">
        <f t="shared" si="0"/>
        <v>0</v>
      </c>
      <c r="J52" s="18"/>
      <c r="K52" s="18" t="s">
        <v>32</v>
      </c>
      <c r="L52" s="46">
        <v>44682</v>
      </c>
      <c r="M52" s="23"/>
      <c r="N52" s="23"/>
      <c r="O52" s="23"/>
      <c r="P52" s="23"/>
      <c r="Q52" s="23"/>
      <c r="R52" s="23"/>
      <c r="S52" s="23"/>
      <c r="T52" s="9">
        <f t="shared" si="1"/>
        <v>0</v>
      </c>
      <c r="U52" s="18"/>
      <c r="V52" s="18"/>
      <c r="W52" s="18"/>
      <c r="X52" s="18"/>
      <c r="Y52" s="18"/>
      <c r="Z52" s="18"/>
    </row>
    <row r="53" spans="1:26" ht="15.75" customHeight="1" x14ac:dyDescent="0.3">
      <c r="A53" s="10">
        <v>44713</v>
      </c>
      <c r="B53" s="2" t="s">
        <v>1153</v>
      </c>
      <c r="C53" s="7" t="s">
        <v>20</v>
      </c>
      <c r="D53" s="43" t="s">
        <v>1154</v>
      </c>
      <c r="E53" s="9">
        <v>65000</v>
      </c>
      <c r="F53" s="10">
        <v>44713</v>
      </c>
      <c r="G53" s="10">
        <v>44789</v>
      </c>
      <c r="H53" s="9">
        <v>65000</v>
      </c>
      <c r="I53" s="9">
        <f t="shared" si="0"/>
        <v>0</v>
      </c>
      <c r="J53" s="2" t="s">
        <v>1096</v>
      </c>
      <c r="K53" s="2" t="s">
        <v>22</v>
      </c>
      <c r="L53" s="11">
        <v>44713</v>
      </c>
      <c r="M53" s="9">
        <v>65000</v>
      </c>
      <c r="N53" s="9">
        <v>65000</v>
      </c>
      <c r="O53" s="9"/>
      <c r="P53" s="9"/>
      <c r="Q53" s="9"/>
      <c r="R53" s="9"/>
      <c r="S53" s="9"/>
      <c r="T53" s="9">
        <f t="shared" si="1"/>
        <v>0</v>
      </c>
    </row>
    <row r="54" spans="1:26" ht="15.75" customHeight="1" x14ac:dyDescent="0.3">
      <c r="A54" s="10">
        <v>44713</v>
      </c>
      <c r="B54" s="2" t="s">
        <v>1155</v>
      </c>
      <c r="C54" s="7" t="s">
        <v>991</v>
      </c>
      <c r="D54" s="43" t="s">
        <v>1156</v>
      </c>
      <c r="E54" s="9">
        <v>21000</v>
      </c>
      <c r="F54" s="10">
        <v>44713</v>
      </c>
      <c r="G54" s="10">
        <v>44735</v>
      </c>
      <c r="H54" s="9">
        <v>21000</v>
      </c>
      <c r="I54" s="9">
        <f t="shared" si="0"/>
        <v>0</v>
      </c>
      <c r="J54" s="2" t="s">
        <v>1157</v>
      </c>
      <c r="K54" s="2" t="s">
        <v>27</v>
      </c>
      <c r="L54" s="11">
        <v>44713</v>
      </c>
      <c r="M54" s="9"/>
      <c r="N54" s="9"/>
      <c r="O54" s="9"/>
      <c r="P54" s="9"/>
      <c r="Q54" s="9"/>
      <c r="R54" s="9"/>
      <c r="S54" s="9"/>
      <c r="T54" s="9">
        <f t="shared" si="1"/>
        <v>0</v>
      </c>
    </row>
    <row r="55" spans="1:26" ht="15.75" customHeight="1" x14ac:dyDescent="0.3">
      <c r="A55" s="10">
        <v>44713</v>
      </c>
      <c r="B55" s="7" t="s">
        <v>1158</v>
      </c>
      <c r="C55" s="7" t="s">
        <v>995</v>
      </c>
      <c r="D55" s="43" t="s">
        <v>1159</v>
      </c>
      <c r="E55" s="9">
        <v>7500</v>
      </c>
      <c r="F55" s="10">
        <v>44713</v>
      </c>
      <c r="G55" s="10">
        <v>44739</v>
      </c>
      <c r="H55" s="9">
        <v>7500</v>
      </c>
      <c r="I55" s="9">
        <f t="shared" si="0"/>
        <v>0</v>
      </c>
      <c r="J55" s="2" t="s">
        <v>1160</v>
      </c>
      <c r="K55" s="2" t="s">
        <v>27</v>
      </c>
      <c r="L55" s="11">
        <v>44713</v>
      </c>
      <c r="M55" s="9"/>
      <c r="N55" s="9"/>
      <c r="O55" s="9"/>
      <c r="P55" s="9"/>
      <c r="Q55" s="9"/>
      <c r="R55" s="9"/>
      <c r="S55" s="9"/>
      <c r="T55" s="9">
        <f t="shared" si="1"/>
        <v>0</v>
      </c>
    </row>
    <row r="56" spans="1:26" ht="15.75" customHeight="1" x14ac:dyDescent="0.3">
      <c r="A56" s="10">
        <v>44716</v>
      </c>
      <c r="B56" s="7" t="s">
        <v>1161</v>
      </c>
      <c r="C56" s="7" t="s">
        <v>842</v>
      </c>
      <c r="D56" s="43" t="s">
        <v>1162</v>
      </c>
      <c r="E56" s="9">
        <v>45000</v>
      </c>
      <c r="F56" s="10">
        <v>44716</v>
      </c>
      <c r="G56" s="10">
        <v>44714</v>
      </c>
      <c r="H56" s="9">
        <v>45000</v>
      </c>
      <c r="I56" s="9">
        <f t="shared" si="0"/>
        <v>0</v>
      </c>
      <c r="J56" s="2" t="s">
        <v>1163</v>
      </c>
      <c r="K56" s="2" t="s">
        <v>32</v>
      </c>
      <c r="L56" s="11">
        <v>44682</v>
      </c>
      <c r="M56" s="9">
        <v>45000</v>
      </c>
      <c r="N56" s="9"/>
      <c r="O56" s="9"/>
      <c r="P56" s="9"/>
      <c r="Q56" s="9">
        <v>45000</v>
      </c>
      <c r="R56" s="9"/>
      <c r="S56" s="9"/>
      <c r="T56" s="9">
        <f t="shared" si="1"/>
        <v>0</v>
      </c>
    </row>
    <row r="57" spans="1:26" ht="15.75" customHeight="1" x14ac:dyDescent="0.3">
      <c r="A57" s="10">
        <v>44722</v>
      </c>
      <c r="B57" s="7" t="s">
        <v>1164</v>
      </c>
      <c r="C57" s="7" t="s">
        <v>1165</v>
      </c>
      <c r="D57" s="43" t="s">
        <v>1166</v>
      </c>
      <c r="E57" s="9">
        <v>150000</v>
      </c>
      <c r="F57" s="10">
        <v>44722</v>
      </c>
      <c r="G57" s="10">
        <v>44722</v>
      </c>
      <c r="H57" s="9">
        <v>150000</v>
      </c>
      <c r="I57" s="9">
        <f t="shared" si="0"/>
        <v>0</v>
      </c>
      <c r="J57" s="2" t="s">
        <v>1167</v>
      </c>
      <c r="K57" s="2" t="s">
        <v>32</v>
      </c>
      <c r="L57" s="11">
        <v>44713</v>
      </c>
      <c r="M57" s="9">
        <v>150000</v>
      </c>
      <c r="N57" s="9"/>
      <c r="O57" s="9">
        <v>150000</v>
      </c>
      <c r="P57" s="9"/>
      <c r="Q57" s="9"/>
      <c r="R57" s="9"/>
      <c r="S57" s="9"/>
      <c r="T57" s="9">
        <f t="shared" si="1"/>
        <v>0</v>
      </c>
    </row>
    <row r="58" spans="1:26" ht="15.75" customHeight="1" x14ac:dyDescent="0.3">
      <c r="A58" s="10">
        <v>44724</v>
      </c>
      <c r="B58" s="7" t="s">
        <v>1168</v>
      </c>
      <c r="C58" s="7" t="s">
        <v>1169</v>
      </c>
      <c r="D58" s="43" t="s">
        <v>1170</v>
      </c>
      <c r="E58" s="9">
        <v>27000</v>
      </c>
      <c r="F58" s="10">
        <v>44724</v>
      </c>
      <c r="G58" s="10">
        <v>44736</v>
      </c>
      <c r="H58" s="9">
        <v>27000</v>
      </c>
      <c r="I58" s="9">
        <f t="shared" si="0"/>
        <v>0</v>
      </c>
      <c r="J58" s="2" t="s">
        <v>1171</v>
      </c>
      <c r="K58" s="2" t="s">
        <v>27</v>
      </c>
      <c r="L58" s="11">
        <v>44713</v>
      </c>
      <c r="M58" s="9"/>
      <c r="N58" s="9"/>
      <c r="O58" s="9"/>
      <c r="P58" s="9"/>
      <c r="Q58" s="9"/>
      <c r="R58" s="9"/>
      <c r="S58" s="9"/>
      <c r="T58" s="9">
        <f t="shared" si="1"/>
        <v>0</v>
      </c>
    </row>
    <row r="59" spans="1:26" ht="15.75" customHeight="1" x14ac:dyDescent="0.3">
      <c r="A59" s="10">
        <v>44723</v>
      </c>
      <c r="B59" s="7" t="s">
        <v>1172</v>
      </c>
      <c r="C59" s="7" t="s">
        <v>1007</v>
      </c>
      <c r="D59" s="43" t="s">
        <v>1173</v>
      </c>
      <c r="E59" s="9">
        <v>7500</v>
      </c>
      <c r="F59" s="10">
        <v>44726</v>
      </c>
      <c r="G59" s="10">
        <v>44723</v>
      </c>
      <c r="H59" s="9">
        <v>7500</v>
      </c>
      <c r="I59" s="9">
        <f t="shared" si="0"/>
        <v>0</v>
      </c>
      <c r="J59" s="2" t="s">
        <v>1174</v>
      </c>
      <c r="K59" s="2" t="s">
        <v>32</v>
      </c>
      <c r="L59" s="11">
        <v>44713</v>
      </c>
      <c r="M59" s="9">
        <v>7500</v>
      </c>
      <c r="N59" s="9"/>
      <c r="O59" s="9"/>
      <c r="P59" s="9"/>
      <c r="Q59" s="9"/>
      <c r="R59" s="9">
        <v>7500</v>
      </c>
      <c r="S59" s="9"/>
      <c r="T59" s="9">
        <f t="shared" si="1"/>
        <v>0</v>
      </c>
    </row>
    <row r="60" spans="1:26" ht="15.75" customHeight="1" x14ac:dyDescent="0.3">
      <c r="A60" s="44">
        <v>44727</v>
      </c>
      <c r="B60" s="18" t="s">
        <v>1175</v>
      </c>
      <c r="C60" s="18" t="s">
        <v>1176</v>
      </c>
      <c r="D60" s="45" t="s">
        <v>1177</v>
      </c>
      <c r="E60" s="23">
        <v>0</v>
      </c>
      <c r="F60" s="44"/>
      <c r="G60" s="44"/>
      <c r="H60" s="23"/>
      <c r="I60" s="23">
        <f t="shared" si="0"/>
        <v>0</v>
      </c>
      <c r="J60" s="18"/>
      <c r="K60" s="18" t="s">
        <v>32</v>
      </c>
      <c r="L60" s="46">
        <v>44713</v>
      </c>
      <c r="M60" s="23"/>
      <c r="N60" s="23"/>
      <c r="O60" s="23"/>
      <c r="P60" s="23"/>
      <c r="Q60" s="23"/>
      <c r="R60" s="23"/>
      <c r="S60" s="23"/>
      <c r="T60" s="9">
        <f t="shared" si="1"/>
        <v>0</v>
      </c>
    </row>
    <row r="61" spans="1:26" ht="15.75" customHeight="1" x14ac:dyDescent="0.3">
      <c r="A61" s="10">
        <v>44735</v>
      </c>
      <c r="B61" s="7" t="s">
        <v>1178</v>
      </c>
      <c r="C61" s="7" t="s">
        <v>1179</v>
      </c>
      <c r="D61" s="43" t="s">
        <v>1180</v>
      </c>
      <c r="E61" s="9">
        <v>620000</v>
      </c>
      <c r="F61" s="10">
        <v>44735</v>
      </c>
      <c r="G61" s="10">
        <v>44732</v>
      </c>
      <c r="H61" s="9">
        <v>620000</v>
      </c>
      <c r="I61" s="9">
        <f t="shared" si="0"/>
        <v>0</v>
      </c>
      <c r="J61" s="2" t="s">
        <v>1181</v>
      </c>
      <c r="K61" s="2" t="s">
        <v>32</v>
      </c>
      <c r="L61" s="11">
        <v>44713</v>
      </c>
      <c r="M61" s="9">
        <v>620000</v>
      </c>
      <c r="N61" s="9"/>
      <c r="O61" s="9"/>
      <c r="P61" s="9"/>
      <c r="Q61" s="9">
        <v>620000</v>
      </c>
      <c r="R61" s="9"/>
      <c r="S61" s="9"/>
      <c r="T61" s="9">
        <f t="shared" si="1"/>
        <v>0</v>
      </c>
    </row>
    <row r="62" spans="1:26" ht="15.75" customHeight="1" x14ac:dyDescent="0.3">
      <c r="A62" s="10">
        <v>44743</v>
      </c>
      <c r="B62" s="2" t="s">
        <v>1182</v>
      </c>
      <c r="C62" s="7" t="s">
        <v>20</v>
      </c>
      <c r="D62" s="43" t="s">
        <v>1183</v>
      </c>
      <c r="E62" s="9">
        <v>65000</v>
      </c>
      <c r="F62" s="10">
        <v>44746</v>
      </c>
      <c r="G62" s="10">
        <v>44789</v>
      </c>
      <c r="H62" s="9">
        <v>65000</v>
      </c>
      <c r="I62" s="9">
        <f t="shared" si="0"/>
        <v>0</v>
      </c>
      <c r="J62" s="2" t="s">
        <v>1096</v>
      </c>
      <c r="K62" s="2" t="s">
        <v>22</v>
      </c>
      <c r="L62" s="11">
        <v>44743</v>
      </c>
      <c r="M62" s="9">
        <v>65000</v>
      </c>
      <c r="N62" s="9">
        <v>65000</v>
      </c>
      <c r="O62" s="9"/>
      <c r="P62" s="9"/>
      <c r="Q62" s="9"/>
      <c r="R62" s="9"/>
      <c r="S62" s="9"/>
      <c r="T62" s="9">
        <f t="shared" si="1"/>
        <v>0</v>
      </c>
    </row>
    <row r="63" spans="1:26" ht="15.75" customHeight="1" x14ac:dyDescent="0.3">
      <c r="A63" s="10">
        <v>44743</v>
      </c>
      <c r="B63" s="2" t="s">
        <v>1184</v>
      </c>
      <c r="C63" s="7" t="s">
        <v>991</v>
      </c>
      <c r="D63" s="43" t="s">
        <v>1185</v>
      </c>
      <c r="E63" s="9">
        <v>21000</v>
      </c>
      <c r="F63" s="10">
        <v>44746</v>
      </c>
      <c r="G63" s="10">
        <v>44764</v>
      </c>
      <c r="H63" s="9">
        <v>21000</v>
      </c>
      <c r="I63" s="9">
        <f t="shared" si="0"/>
        <v>0</v>
      </c>
      <c r="J63" s="2" t="s">
        <v>1186</v>
      </c>
      <c r="K63" s="2" t="s">
        <v>27</v>
      </c>
      <c r="L63" s="11">
        <v>44743</v>
      </c>
      <c r="M63" s="9"/>
      <c r="N63" s="9"/>
      <c r="O63" s="9"/>
      <c r="P63" s="9"/>
      <c r="Q63" s="9"/>
      <c r="R63" s="9"/>
      <c r="S63" s="9"/>
      <c r="T63" s="9">
        <f t="shared" si="1"/>
        <v>0</v>
      </c>
    </row>
    <row r="64" spans="1:26" ht="15.75" customHeight="1" x14ac:dyDescent="0.3">
      <c r="A64" s="10">
        <v>44743</v>
      </c>
      <c r="B64" s="7" t="s">
        <v>1187</v>
      </c>
      <c r="C64" s="7" t="s">
        <v>995</v>
      </c>
      <c r="D64" s="43" t="s">
        <v>1188</v>
      </c>
      <c r="E64" s="9">
        <v>7500</v>
      </c>
      <c r="F64" s="10">
        <v>44746</v>
      </c>
      <c r="G64" s="10">
        <v>44762</v>
      </c>
      <c r="H64" s="9">
        <v>7500</v>
      </c>
      <c r="I64" s="9">
        <f t="shared" si="0"/>
        <v>0</v>
      </c>
      <c r="J64" s="2" t="s">
        <v>1189</v>
      </c>
      <c r="K64" s="2" t="s">
        <v>27</v>
      </c>
      <c r="L64" s="11">
        <v>44743</v>
      </c>
      <c r="M64" s="9"/>
      <c r="N64" s="9"/>
      <c r="O64" s="9"/>
      <c r="P64" s="9"/>
      <c r="Q64" s="9"/>
      <c r="R64" s="9"/>
      <c r="S64" s="9"/>
      <c r="T64" s="9">
        <f t="shared" si="1"/>
        <v>0</v>
      </c>
    </row>
    <row r="65" spans="1:26" ht="15.75" customHeight="1" x14ac:dyDescent="0.3">
      <c r="A65" s="44">
        <v>44743</v>
      </c>
      <c r="B65" s="18" t="s">
        <v>1190</v>
      </c>
      <c r="C65" s="18" t="s">
        <v>1169</v>
      </c>
      <c r="D65" s="45" t="s">
        <v>1191</v>
      </c>
      <c r="E65" s="23">
        <v>0</v>
      </c>
      <c r="F65" s="44">
        <v>44744</v>
      </c>
      <c r="G65" s="44"/>
      <c r="H65" s="23"/>
      <c r="I65" s="23">
        <f t="shared" si="0"/>
        <v>0</v>
      </c>
      <c r="J65" s="18"/>
      <c r="K65" s="18" t="s">
        <v>27</v>
      </c>
      <c r="L65" s="46">
        <v>44743</v>
      </c>
      <c r="M65" s="23"/>
      <c r="N65" s="23"/>
      <c r="O65" s="23"/>
      <c r="P65" s="23"/>
      <c r="Q65" s="23"/>
      <c r="R65" s="23"/>
      <c r="S65" s="23"/>
      <c r="T65" s="9">
        <f t="shared" si="1"/>
        <v>0</v>
      </c>
      <c r="U65" s="18"/>
      <c r="V65" s="18"/>
      <c r="W65" s="18"/>
      <c r="X65" s="18"/>
      <c r="Y65" s="18"/>
      <c r="Z65" s="18"/>
    </row>
    <row r="66" spans="1:26" ht="15.75" customHeight="1" x14ac:dyDescent="0.3">
      <c r="A66" s="10">
        <v>44744</v>
      </c>
      <c r="B66" s="7" t="s">
        <v>1192</v>
      </c>
      <c r="C66" s="7" t="s">
        <v>1193</v>
      </c>
      <c r="D66" s="43" t="s">
        <v>1194</v>
      </c>
      <c r="E66" s="9">
        <v>160000</v>
      </c>
      <c r="F66" s="10">
        <v>44749</v>
      </c>
      <c r="G66" s="10">
        <v>44742</v>
      </c>
      <c r="H66" s="9">
        <f>80000+40000+40000</f>
        <v>160000</v>
      </c>
      <c r="I66" s="9">
        <f t="shared" si="0"/>
        <v>0</v>
      </c>
      <c r="J66" s="2" t="s">
        <v>1195</v>
      </c>
      <c r="K66" s="2" t="s">
        <v>32</v>
      </c>
      <c r="L66" s="11">
        <v>44743</v>
      </c>
      <c r="M66" s="9">
        <v>160000</v>
      </c>
      <c r="N66" s="9"/>
      <c r="O66" s="9"/>
      <c r="P66" s="9"/>
      <c r="Q66" s="9"/>
      <c r="R66" s="9">
        <f>80000+40000+40000</f>
        <v>160000</v>
      </c>
      <c r="S66" s="9"/>
      <c r="T66" s="9">
        <f t="shared" si="1"/>
        <v>0</v>
      </c>
    </row>
    <row r="67" spans="1:26" ht="15.75" customHeight="1" x14ac:dyDescent="0.3">
      <c r="A67" s="10">
        <v>44762</v>
      </c>
      <c r="B67" s="7" t="s">
        <v>1196</v>
      </c>
      <c r="C67" s="7" t="s">
        <v>1197</v>
      </c>
      <c r="D67" s="43" t="s">
        <v>1198</v>
      </c>
      <c r="E67" s="9">
        <f>750000*0.9</f>
        <v>675000</v>
      </c>
      <c r="F67" s="10">
        <v>44762</v>
      </c>
      <c r="G67" s="10">
        <v>44762</v>
      </c>
      <c r="H67" s="9">
        <v>675000</v>
      </c>
      <c r="I67" s="9">
        <f t="shared" si="0"/>
        <v>0</v>
      </c>
      <c r="J67" s="2" t="s">
        <v>1199</v>
      </c>
      <c r="K67" s="2" t="s">
        <v>32</v>
      </c>
      <c r="L67" s="11">
        <v>44743</v>
      </c>
      <c r="M67" s="9">
        <v>675000</v>
      </c>
      <c r="N67" s="9"/>
      <c r="O67" s="9"/>
      <c r="P67" s="9">
        <v>675000</v>
      </c>
      <c r="Q67" s="9"/>
      <c r="R67" s="9"/>
      <c r="S67" s="9"/>
      <c r="T67" s="9">
        <f t="shared" si="1"/>
        <v>0</v>
      </c>
    </row>
    <row r="68" spans="1:26" ht="15.75" customHeight="1" x14ac:dyDescent="0.3">
      <c r="A68" s="10">
        <v>44773</v>
      </c>
      <c r="B68" s="7" t="s">
        <v>1200</v>
      </c>
      <c r="C68" s="7" t="s">
        <v>1007</v>
      </c>
      <c r="D68" s="43" t="s">
        <v>1201</v>
      </c>
      <c r="E68" s="9">
        <v>7500</v>
      </c>
      <c r="F68" s="10">
        <v>44773</v>
      </c>
      <c r="G68" s="10">
        <v>44753</v>
      </c>
      <c r="H68" s="9">
        <v>7500</v>
      </c>
      <c r="I68" s="9">
        <f t="shared" si="0"/>
        <v>0</v>
      </c>
      <c r="J68" s="2" t="s">
        <v>1202</v>
      </c>
      <c r="K68" s="2" t="s">
        <v>32</v>
      </c>
      <c r="L68" s="11">
        <v>44743</v>
      </c>
      <c r="M68" s="9">
        <v>7500</v>
      </c>
      <c r="N68" s="9"/>
      <c r="O68" s="9"/>
      <c r="P68" s="9"/>
      <c r="Q68" s="9"/>
      <c r="R68" s="9">
        <v>7500</v>
      </c>
      <c r="S68" s="9"/>
      <c r="T68" s="9">
        <f t="shared" si="1"/>
        <v>0</v>
      </c>
    </row>
    <row r="69" spans="1:26" ht="15.75" customHeight="1" x14ac:dyDescent="0.3">
      <c r="A69" s="10">
        <v>44774</v>
      </c>
      <c r="B69" s="2" t="s">
        <v>1203</v>
      </c>
      <c r="C69" s="7" t="s">
        <v>20</v>
      </c>
      <c r="D69" s="43" t="s">
        <v>1204</v>
      </c>
      <c r="E69" s="9">
        <v>65000</v>
      </c>
      <c r="F69" s="10">
        <v>44777</v>
      </c>
      <c r="G69" s="10">
        <v>44918</v>
      </c>
      <c r="H69" s="9">
        <v>65000</v>
      </c>
      <c r="I69" s="9">
        <f t="shared" si="0"/>
        <v>0</v>
      </c>
      <c r="J69" s="2" t="s">
        <v>1205</v>
      </c>
      <c r="K69" s="2" t="s">
        <v>22</v>
      </c>
      <c r="L69" s="11">
        <v>44774</v>
      </c>
      <c r="M69" s="9">
        <v>65000</v>
      </c>
      <c r="N69" s="9">
        <v>65000</v>
      </c>
      <c r="O69" s="9"/>
      <c r="P69" s="9"/>
      <c r="Q69" s="9"/>
      <c r="R69" s="9"/>
      <c r="S69" s="9"/>
      <c r="T69" s="9">
        <f t="shared" si="1"/>
        <v>0</v>
      </c>
    </row>
    <row r="70" spans="1:26" ht="15.75" customHeight="1" x14ac:dyDescent="0.3">
      <c r="A70" s="10">
        <v>44774</v>
      </c>
      <c r="B70" s="2" t="s">
        <v>1206</v>
      </c>
      <c r="C70" s="7" t="s">
        <v>991</v>
      </c>
      <c r="D70" s="43" t="s">
        <v>1207</v>
      </c>
      <c r="E70" s="9">
        <v>21000</v>
      </c>
      <c r="F70" s="10">
        <v>44777</v>
      </c>
      <c r="G70" s="10">
        <v>44817</v>
      </c>
      <c r="H70" s="9">
        <v>21000</v>
      </c>
      <c r="I70" s="9">
        <f t="shared" si="0"/>
        <v>0</v>
      </c>
      <c r="J70" s="2" t="s">
        <v>1208</v>
      </c>
      <c r="K70" s="2" t="s">
        <v>27</v>
      </c>
      <c r="L70" s="11">
        <v>44774</v>
      </c>
      <c r="M70" s="9"/>
      <c r="N70" s="9"/>
      <c r="O70" s="9"/>
      <c r="P70" s="9"/>
      <c r="Q70" s="9"/>
      <c r="R70" s="9"/>
      <c r="S70" s="9"/>
      <c r="T70" s="9">
        <f t="shared" si="1"/>
        <v>0</v>
      </c>
    </row>
    <row r="71" spans="1:26" ht="15.75" customHeight="1" x14ac:dyDescent="0.3">
      <c r="A71" s="44">
        <v>44774</v>
      </c>
      <c r="B71" s="18" t="s">
        <v>1209</v>
      </c>
      <c r="C71" s="18" t="s">
        <v>995</v>
      </c>
      <c r="D71" s="45" t="s">
        <v>1210</v>
      </c>
      <c r="E71" s="23">
        <v>7500</v>
      </c>
      <c r="F71" s="44">
        <v>44777</v>
      </c>
      <c r="G71" s="18"/>
      <c r="H71" s="23"/>
      <c r="I71" s="23">
        <f t="shared" si="0"/>
        <v>7500</v>
      </c>
      <c r="J71" s="18"/>
      <c r="K71" s="18" t="s">
        <v>27</v>
      </c>
      <c r="L71" s="46">
        <v>44774</v>
      </c>
      <c r="M71" s="23"/>
      <c r="N71" s="23"/>
      <c r="O71" s="23"/>
      <c r="P71" s="23"/>
      <c r="Q71" s="23"/>
      <c r="R71" s="23"/>
      <c r="S71" s="23"/>
      <c r="T71" s="9">
        <f t="shared" si="1"/>
        <v>0</v>
      </c>
      <c r="U71" s="18"/>
      <c r="V71" s="18"/>
      <c r="W71" s="18"/>
      <c r="X71" s="18"/>
      <c r="Y71" s="18"/>
      <c r="Z71" s="18"/>
    </row>
    <row r="72" spans="1:26" ht="15.75" customHeight="1" x14ac:dyDescent="0.3">
      <c r="A72" s="10">
        <v>44782</v>
      </c>
      <c r="B72" s="7" t="s">
        <v>1211</v>
      </c>
      <c r="C72" s="7" t="s">
        <v>1212</v>
      </c>
      <c r="D72" s="43" t="s">
        <v>1213</v>
      </c>
      <c r="E72" s="9">
        <v>945000</v>
      </c>
      <c r="F72" s="10">
        <v>44782</v>
      </c>
      <c r="G72" s="10">
        <v>44785</v>
      </c>
      <c r="H72" s="9">
        <v>945000</v>
      </c>
      <c r="I72" s="9">
        <f t="shared" si="0"/>
        <v>0</v>
      </c>
      <c r="J72" s="2" t="s">
        <v>1214</v>
      </c>
      <c r="K72" s="2" t="s">
        <v>32</v>
      </c>
      <c r="L72" s="11">
        <v>44774</v>
      </c>
      <c r="M72" s="9">
        <v>945000</v>
      </c>
      <c r="N72" s="9"/>
      <c r="O72" s="9"/>
      <c r="P72" s="9"/>
      <c r="Q72" s="9">
        <v>945000</v>
      </c>
      <c r="R72" s="9"/>
      <c r="S72" s="9"/>
      <c r="T72" s="9">
        <f t="shared" si="1"/>
        <v>0</v>
      </c>
    </row>
    <row r="73" spans="1:26" ht="15.75" customHeight="1" x14ac:dyDescent="0.3">
      <c r="A73" s="10">
        <v>44782</v>
      </c>
      <c r="B73" s="7" t="s">
        <v>1215</v>
      </c>
      <c r="C73" s="7" t="s">
        <v>1007</v>
      </c>
      <c r="D73" s="43" t="s">
        <v>1216</v>
      </c>
      <c r="E73" s="9">
        <v>7500</v>
      </c>
      <c r="F73" s="10">
        <v>44782</v>
      </c>
      <c r="G73" s="10">
        <v>44782</v>
      </c>
      <c r="H73" s="9">
        <v>7500</v>
      </c>
      <c r="I73" s="9">
        <f t="shared" si="0"/>
        <v>0</v>
      </c>
      <c r="J73" s="2" t="s">
        <v>1217</v>
      </c>
      <c r="K73" s="2" t="s">
        <v>32</v>
      </c>
      <c r="L73" s="11">
        <v>44774</v>
      </c>
      <c r="M73" s="9">
        <v>7500</v>
      </c>
      <c r="N73" s="9"/>
      <c r="O73" s="9"/>
      <c r="P73" s="9"/>
      <c r="Q73" s="9"/>
      <c r="R73" s="9">
        <v>7500</v>
      </c>
      <c r="S73" s="9"/>
      <c r="T73" s="9">
        <f t="shared" si="1"/>
        <v>0</v>
      </c>
    </row>
    <row r="74" spans="1:26" ht="15.75" customHeight="1" x14ac:dyDescent="0.3">
      <c r="A74" s="10">
        <v>44798</v>
      </c>
      <c r="B74" s="7" t="s">
        <v>1218</v>
      </c>
      <c r="C74" s="7" t="s">
        <v>1219</v>
      </c>
      <c r="D74" s="43" t="s">
        <v>1220</v>
      </c>
      <c r="E74" s="9">
        <v>600000</v>
      </c>
      <c r="F74" s="10">
        <v>44798</v>
      </c>
      <c r="G74" s="10">
        <v>44804</v>
      </c>
      <c r="H74" s="9">
        <f>200000+200000+200000</f>
        <v>600000</v>
      </c>
      <c r="I74" s="9">
        <f t="shared" si="0"/>
        <v>0</v>
      </c>
      <c r="J74" s="2" t="s">
        <v>1221</v>
      </c>
      <c r="K74" s="2" t="s">
        <v>32</v>
      </c>
      <c r="L74" s="11">
        <v>44774</v>
      </c>
      <c r="M74" s="9">
        <v>500000</v>
      </c>
      <c r="N74" s="9"/>
      <c r="O74" s="9"/>
      <c r="P74" s="9"/>
      <c r="Q74" s="9">
        <v>500000</v>
      </c>
      <c r="R74" s="9"/>
      <c r="S74" s="9"/>
      <c r="T74" s="9">
        <f t="shared" si="1"/>
        <v>0</v>
      </c>
    </row>
    <row r="75" spans="1:26" ht="15.75" customHeight="1" x14ac:dyDescent="0.3">
      <c r="A75" s="10">
        <v>44798</v>
      </c>
      <c r="B75" s="2" t="s">
        <v>1013</v>
      </c>
      <c r="C75" s="7" t="s">
        <v>976</v>
      </c>
      <c r="D75" s="43" t="s">
        <v>1222</v>
      </c>
      <c r="E75" s="9">
        <v>90750</v>
      </c>
      <c r="F75" s="10">
        <v>44798</v>
      </c>
      <c r="G75" s="10">
        <v>44798</v>
      </c>
      <c r="H75" s="9">
        <v>90750</v>
      </c>
      <c r="I75" s="9">
        <f t="shared" si="0"/>
        <v>0</v>
      </c>
      <c r="J75" s="2" t="s">
        <v>1223</v>
      </c>
      <c r="K75" s="2" t="s">
        <v>22</v>
      </c>
      <c r="L75" s="11">
        <v>44774</v>
      </c>
      <c r="M75" s="9">
        <v>90750</v>
      </c>
      <c r="N75" s="9">
        <v>90750</v>
      </c>
      <c r="O75" s="9"/>
      <c r="P75" s="9"/>
      <c r="Q75" s="9"/>
      <c r="R75" s="9"/>
      <c r="S75" s="9"/>
      <c r="T75" s="9">
        <f t="shared" si="1"/>
        <v>0</v>
      </c>
    </row>
    <row r="76" spans="1:26" ht="15.75" customHeight="1" x14ac:dyDescent="0.3">
      <c r="A76" s="10">
        <v>44798</v>
      </c>
      <c r="B76" s="7" t="s">
        <v>1224</v>
      </c>
      <c r="C76" s="7" t="s">
        <v>1225</v>
      </c>
      <c r="D76" s="43" t="s">
        <v>1226</v>
      </c>
      <c r="E76" s="9">
        <v>1000000</v>
      </c>
      <c r="F76" s="10">
        <v>44798</v>
      </c>
      <c r="G76" s="10">
        <v>44806</v>
      </c>
      <c r="H76" s="9">
        <v>1000000</v>
      </c>
      <c r="I76" s="9">
        <f t="shared" si="0"/>
        <v>0</v>
      </c>
      <c r="J76" s="2" t="s">
        <v>1227</v>
      </c>
      <c r="K76" s="2" t="s">
        <v>32</v>
      </c>
      <c r="L76" s="11">
        <v>44774</v>
      </c>
      <c r="M76" s="9">
        <v>1000000</v>
      </c>
      <c r="N76" s="9"/>
      <c r="O76" s="9">
        <v>1000000</v>
      </c>
      <c r="P76" s="9"/>
      <c r="Q76" s="9"/>
      <c r="R76" s="9"/>
      <c r="S76" s="9"/>
      <c r="T76" s="9">
        <f t="shared" si="1"/>
        <v>0</v>
      </c>
    </row>
    <row r="77" spans="1:26" ht="15.75" customHeight="1" x14ac:dyDescent="0.3">
      <c r="A77" s="10">
        <v>44799</v>
      </c>
      <c r="B77" s="7" t="s">
        <v>1211</v>
      </c>
      <c r="C77" s="7" t="s">
        <v>1228</v>
      </c>
      <c r="D77" s="43" t="s">
        <v>1229</v>
      </c>
      <c r="E77" s="9">
        <v>435000</v>
      </c>
      <c r="F77" s="10">
        <v>44799</v>
      </c>
      <c r="G77" s="10">
        <v>44799</v>
      </c>
      <c r="H77" s="9">
        <v>435000</v>
      </c>
      <c r="I77" s="9">
        <f t="shared" si="0"/>
        <v>0</v>
      </c>
      <c r="J77" s="2" t="s">
        <v>1230</v>
      </c>
      <c r="K77" s="2" t="s">
        <v>32</v>
      </c>
      <c r="L77" s="11">
        <v>44774</v>
      </c>
      <c r="M77" s="9">
        <v>435000</v>
      </c>
      <c r="N77" s="9"/>
      <c r="O77" s="9"/>
      <c r="P77" s="9"/>
      <c r="Q77" s="9">
        <v>435000</v>
      </c>
      <c r="R77" s="9"/>
      <c r="S77" s="9"/>
      <c r="T77" s="9">
        <f t="shared" si="1"/>
        <v>0</v>
      </c>
    </row>
    <row r="78" spans="1:26" ht="15.75" customHeight="1" x14ac:dyDescent="0.3">
      <c r="A78" s="10">
        <v>44805</v>
      </c>
      <c r="B78" s="2" t="s">
        <v>1231</v>
      </c>
      <c r="C78" s="7" t="s">
        <v>20</v>
      </c>
      <c r="D78" s="43" t="s">
        <v>1232</v>
      </c>
      <c r="E78" s="9">
        <v>65000</v>
      </c>
      <c r="F78" s="10">
        <v>44805</v>
      </c>
      <c r="G78" s="10">
        <v>44918</v>
      </c>
      <c r="H78" s="9">
        <v>65000</v>
      </c>
      <c r="I78" s="9">
        <f t="shared" si="0"/>
        <v>0</v>
      </c>
      <c r="J78" s="2" t="s">
        <v>1205</v>
      </c>
      <c r="K78" s="2" t="s">
        <v>22</v>
      </c>
      <c r="L78" s="11">
        <v>44805</v>
      </c>
      <c r="M78" s="9">
        <v>65000</v>
      </c>
      <c r="N78" s="9">
        <v>65000</v>
      </c>
      <c r="O78" s="9"/>
      <c r="P78" s="9"/>
      <c r="Q78" s="9"/>
      <c r="R78" s="9"/>
      <c r="S78" s="9"/>
      <c r="T78" s="9">
        <f t="shared" si="1"/>
        <v>0</v>
      </c>
    </row>
    <row r="79" spans="1:26" ht="15.75" customHeight="1" x14ac:dyDescent="0.3">
      <c r="A79" s="10">
        <v>44805</v>
      </c>
      <c r="B79" s="2" t="s">
        <v>1233</v>
      </c>
      <c r="C79" s="7" t="s">
        <v>991</v>
      </c>
      <c r="D79" s="43" t="s">
        <v>1234</v>
      </c>
      <c r="E79" s="9">
        <v>21000</v>
      </c>
      <c r="F79" s="10">
        <v>44805</v>
      </c>
      <c r="G79" s="10">
        <v>44830</v>
      </c>
      <c r="H79" s="9">
        <v>21000</v>
      </c>
      <c r="I79" s="9">
        <f t="shared" si="0"/>
        <v>0</v>
      </c>
      <c r="J79" s="2" t="s">
        <v>1235</v>
      </c>
      <c r="K79" s="2" t="s">
        <v>27</v>
      </c>
      <c r="L79" s="11">
        <v>44805</v>
      </c>
      <c r="M79" s="9"/>
      <c r="N79" s="9"/>
      <c r="O79" s="9"/>
      <c r="P79" s="9"/>
      <c r="Q79" s="9"/>
      <c r="R79" s="9"/>
      <c r="S79" s="9"/>
      <c r="T79" s="9">
        <f t="shared" si="1"/>
        <v>0</v>
      </c>
    </row>
    <row r="80" spans="1:26" ht="15.75" customHeight="1" x14ac:dyDescent="0.3">
      <c r="A80" s="44">
        <v>44805</v>
      </c>
      <c r="B80" s="18" t="s">
        <v>1236</v>
      </c>
      <c r="C80" s="18" t="s">
        <v>995</v>
      </c>
      <c r="D80" s="45" t="s">
        <v>1237</v>
      </c>
      <c r="E80" s="23">
        <v>7500</v>
      </c>
      <c r="F80" s="44">
        <v>44805</v>
      </c>
      <c r="G80" s="44"/>
      <c r="H80" s="23"/>
      <c r="I80" s="23">
        <f t="shared" si="0"/>
        <v>7500</v>
      </c>
      <c r="J80" s="18"/>
      <c r="K80" s="18" t="s">
        <v>27</v>
      </c>
      <c r="L80" s="46">
        <v>44805</v>
      </c>
      <c r="M80" s="23"/>
      <c r="N80" s="23"/>
      <c r="O80" s="23"/>
      <c r="P80" s="23"/>
      <c r="Q80" s="23"/>
      <c r="R80" s="23"/>
      <c r="S80" s="23"/>
      <c r="T80" s="9">
        <f t="shared" si="1"/>
        <v>0</v>
      </c>
      <c r="U80" s="18"/>
      <c r="V80" s="18"/>
      <c r="W80" s="18"/>
      <c r="X80" s="18"/>
      <c r="Y80" s="18"/>
      <c r="Z80" s="18"/>
    </row>
    <row r="81" spans="1:20" ht="15.75" customHeight="1" x14ac:dyDescent="0.3">
      <c r="A81" s="10">
        <v>44813</v>
      </c>
      <c r="B81" s="7" t="s">
        <v>1238</v>
      </c>
      <c r="C81" s="7" t="s">
        <v>1239</v>
      </c>
      <c r="D81" s="43" t="s">
        <v>1240</v>
      </c>
      <c r="E81" s="9">
        <v>135000</v>
      </c>
      <c r="F81" s="10">
        <v>44816</v>
      </c>
      <c r="G81" s="10">
        <v>44813</v>
      </c>
      <c r="H81" s="9">
        <v>135000</v>
      </c>
      <c r="I81" s="9">
        <f t="shared" si="0"/>
        <v>0</v>
      </c>
      <c r="J81" s="2" t="s">
        <v>1241</v>
      </c>
      <c r="K81" s="2" t="s">
        <v>32</v>
      </c>
      <c r="L81" s="11">
        <v>44805</v>
      </c>
      <c r="M81" s="9">
        <v>135000</v>
      </c>
      <c r="N81" s="9"/>
      <c r="O81" s="9">
        <v>135000</v>
      </c>
      <c r="P81" s="9"/>
      <c r="Q81" s="9"/>
      <c r="R81" s="9"/>
      <c r="S81" s="9"/>
      <c r="T81" s="9">
        <f t="shared" si="1"/>
        <v>0</v>
      </c>
    </row>
    <row r="82" spans="1:20" ht="15.75" customHeight="1" x14ac:dyDescent="0.3">
      <c r="A82" s="10">
        <v>44817</v>
      </c>
      <c r="B82" s="7" t="s">
        <v>1242</v>
      </c>
      <c r="C82" s="7"/>
      <c r="D82" s="43" t="s">
        <v>1243</v>
      </c>
      <c r="E82" s="9">
        <v>375000</v>
      </c>
      <c r="F82" s="10">
        <v>44817</v>
      </c>
      <c r="G82" s="10">
        <v>44823</v>
      </c>
      <c r="H82" s="9">
        <v>375000</v>
      </c>
      <c r="I82" s="9">
        <f t="shared" si="0"/>
        <v>0</v>
      </c>
      <c r="J82" s="2" t="s">
        <v>1244</v>
      </c>
      <c r="K82" s="2" t="s">
        <v>32</v>
      </c>
      <c r="L82" s="11">
        <v>44805</v>
      </c>
      <c r="M82" s="9">
        <v>375000</v>
      </c>
      <c r="N82" s="9"/>
      <c r="O82" s="9"/>
      <c r="P82" s="9"/>
      <c r="Q82" s="9"/>
      <c r="R82" s="9">
        <v>375000</v>
      </c>
      <c r="S82" s="9"/>
      <c r="T82" s="9">
        <f t="shared" si="1"/>
        <v>0</v>
      </c>
    </row>
    <row r="83" spans="1:20" ht="15.75" customHeight="1" x14ac:dyDescent="0.3">
      <c r="A83" s="10">
        <v>44819</v>
      </c>
      <c r="B83" s="7" t="s">
        <v>1245</v>
      </c>
      <c r="C83" s="7" t="s">
        <v>1246</v>
      </c>
      <c r="D83" s="43" t="s">
        <v>1247</v>
      </c>
      <c r="E83" s="9">
        <v>420000</v>
      </c>
      <c r="F83" s="10">
        <v>44819</v>
      </c>
      <c r="G83" s="10">
        <v>44823</v>
      </c>
      <c r="H83" s="9">
        <v>420000</v>
      </c>
      <c r="I83" s="9">
        <f t="shared" si="0"/>
        <v>0</v>
      </c>
      <c r="J83" s="2" t="s">
        <v>1248</v>
      </c>
      <c r="K83" s="2" t="s">
        <v>32</v>
      </c>
      <c r="L83" s="11">
        <v>44805</v>
      </c>
      <c r="M83" s="9">
        <v>210000</v>
      </c>
      <c r="N83" s="9"/>
      <c r="O83" s="9"/>
      <c r="P83" s="9"/>
      <c r="Q83" s="9">
        <v>210000</v>
      </c>
      <c r="R83" s="9"/>
      <c r="S83" s="9"/>
      <c r="T83" s="9">
        <f t="shared" si="1"/>
        <v>0</v>
      </c>
    </row>
    <row r="84" spans="1:20" ht="15.75" customHeight="1" x14ac:dyDescent="0.3">
      <c r="A84" s="10">
        <v>44820</v>
      </c>
      <c r="B84" s="7" t="s">
        <v>1249</v>
      </c>
      <c r="C84" s="7" t="s">
        <v>1007</v>
      </c>
      <c r="D84" s="43" t="s">
        <v>1250</v>
      </c>
      <c r="E84" s="9">
        <v>7500</v>
      </c>
      <c r="F84" s="10">
        <v>44820</v>
      </c>
      <c r="G84" s="10">
        <v>44812</v>
      </c>
      <c r="H84" s="9">
        <v>7500</v>
      </c>
      <c r="I84" s="9">
        <f t="shared" si="0"/>
        <v>0</v>
      </c>
      <c r="J84" s="2" t="s">
        <v>1251</v>
      </c>
      <c r="K84" s="2" t="s">
        <v>32</v>
      </c>
      <c r="L84" s="11">
        <v>44805</v>
      </c>
      <c r="M84" s="9">
        <v>7500</v>
      </c>
      <c r="N84" s="9"/>
      <c r="O84" s="9"/>
      <c r="P84" s="9"/>
      <c r="Q84" s="9"/>
      <c r="R84" s="9">
        <v>7500</v>
      </c>
      <c r="S84" s="9"/>
      <c r="T84" s="9">
        <f t="shared" si="1"/>
        <v>0</v>
      </c>
    </row>
    <row r="85" spans="1:20" ht="15.75" customHeight="1" x14ac:dyDescent="0.3">
      <c r="A85" s="10">
        <v>44837</v>
      </c>
      <c r="B85" s="2" t="s">
        <v>1252</v>
      </c>
      <c r="C85" s="7" t="s">
        <v>20</v>
      </c>
      <c r="D85" s="43" t="s">
        <v>1253</v>
      </c>
      <c r="E85" s="9">
        <v>65000</v>
      </c>
      <c r="F85" s="10">
        <v>44837</v>
      </c>
      <c r="G85" s="10">
        <v>44918</v>
      </c>
      <c r="H85" s="9">
        <v>65000</v>
      </c>
      <c r="I85" s="9">
        <f t="shared" si="0"/>
        <v>0</v>
      </c>
      <c r="J85" s="2" t="s">
        <v>1205</v>
      </c>
      <c r="K85" s="2" t="s">
        <v>22</v>
      </c>
      <c r="L85" s="11">
        <v>44835</v>
      </c>
      <c r="M85" s="9">
        <v>65000</v>
      </c>
      <c r="N85" s="9">
        <v>65000</v>
      </c>
      <c r="O85" s="9"/>
      <c r="P85" s="9"/>
      <c r="Q85" s="9"/>
      <c r="R85" s="9"/>
      <c r="S85" s="9"/>
      <c r="T85" s="9">
        <f t="shared" si="1"/>
        <v>0</v>
      </c>
    </row>
    <row r="86" spans="1:20" ht="15.75" customHeight="1" x14ac:dyDescent="0.3">
      <c r="A86" s="10">
        <v>44837</v>
      </c>
      <c r="B86" s="2" t="s">
        <v>1254</v>
      </c>
      <c r="C86" s="7" t="s">
        <v>991</v>
      </c>
      <c r="D86" s="43" t="s">
        <v>1255</v>
      </c>
      <c r="E86" s="9">
        <v>21000</v>
      </c>
      <c r="F86" s="10">
        <v>44837</v>
      </c>
      <c r="G86" s="10">
        <v>44847</v>
      </c>
      <c r="H86" s="9">
        <v>21000</v>
      </c>
      <c r="I86" s="9">
        <f t="shared" si="0"/>
        <v>0</v>
      </c>
      <c r="J86" s="2" t="s">
        <v>1256</v>
      </c>
      <c r="K86" s="2" t="s">
        <v>27</v>
      </c>
      <c r="L86" s="11">
        <v>44835</v>
      </c>
      <c r="M86" s="9"/>
      <c r="N86" s="9"/>
      <c r="O86" s="9"/>
      <c r="P86" s="9"/>
      <c r="Q86" s="9"/>
      <c r="R86" s="9"/>
      <c r="S86" s="9"/>
      <c r="T86" s="9">
        <f t="shared" si="1"/>
        <v>0</v>
      </c>
    </row>
    <row r="87" spans="1:20" ht="15.75" customHeight="1" x14ac:dyDescent="0.3">
      <c r="A87" s="10">
        <v>44837</v>
      </c>
      <c r="B87" s="7" t="s">
        <v>1257</v>
      </c>
      <c r="C87" s="7" t="s">
        <v>1258</v>
      </c>
      <c r="D87" s="43" t="s">
        <v>1259</v>
      </c>
      <c r="E87" s="9">
        <v>150000</v>
      </c>
      <c r="F87" s="10">
        <v>44837</v>
      </c>
      <c r="G87" s="10">
        <v>44837</v>
      </c>
      <c r="H87" s="9">
        <v>150000</v>
      </c>
      <c r="I87" s="9">
        <f t="shared" si="0"/>
        <v>0</v>
      </c>
      <c r="J87" s="2" t="s">
        <v>1260</v>
      </c>
      <c r="K87" s="2" t="s">
        <v>32</v>
      </c>
      <c r="L87" s="11">
        <v>44835</v>
      </c>
      <c r="M87" s="9">
        <v>150000</v>
      </c>
      <c r="N87" s="9"/>
      <c r="O87" s="9">
        <v>150000</v>
      </c>
      <c r="P87" s="9"/>
      <c r="Q87" s="9"/>
      <c r="R87" s="9"/>
      <c r="S87" s="9"/>
      <c r="T87" s="9">
        <f t="shared" si="1"/>
        <v>0</v>
      </c>
    </row>
    <row r="88" spans="1:20" ht="15.75" customHeight="1" x14ac:dyDescent="0.3">
      <c r="A88" s="10">
        <v>44840</v>
      </c>
      <c r="B88" s="7" t="s">
        <v>1261</v>
      </c>
      <c r="C88" s="7" t="s">
        <v>1262</v>
      </c>
      <c r="D88" s="43" t="s">
        <v>1263</v>
      </c>
      <c r="E88" s="9">
        <v>100000</v>
      </c>
      <c r="F88" s="10">
        <v>44841</v>
      </c>
      <c r="G88" s="10">
        <v>44840</v>
      </c>
      <c r="H88" s="9">
        <v>100000</v>
      </c>
      <c r="I88" s="9">
        <f t="shared" si="0"/>
        <v>0</v>
      </c>
      <c r="J88" s="2" t="s">
        <v>1264</v>
      </c>
      <c r="K88" s="2" t="s">
        <v>32</v>
      </c>
      <c r="L88" s="11">
        <v>44805</v>
      </c>
      <c r="M88" s="9">
        <v>100000</v>
      </c>
      <c r="N88" s="9"/>
      <c r="O88" s="9"/>
      <c r="P88" s="9"/>
      <c r="Q88" s="9"/>
      <c r="R88" s="9">
        <v>100000</v>
      </c>
      <c r="S88" s="9"/>
      <c r="T88" s="9">
        <f t="shared" si="1"/>
        <v>0</v>
      </c>
    </row>
    <row r="89" spans="1:20" ht="15.75" customHeight="1" x14ac:dyDescent="0.3">
      <c r="A89" s="10">
        <v>44841</v>
      </c>
      <c r="B89" s="7" t="s">
        <v>1265</v>
      </c>
      <c r="C89" s="7" t="s">
        <v>1266</v>
      </c>
      <c r="D89" s="43" t="s">
        <v>1267</v>
      </c>
      <c r="E89" s="9">
        <v>55000</v>
      </c>
      <c r="F89" s="10">
        <v>44841</v>
      </c>
      <c r="G89" s="10">
        <v>44841</v>
      </c>
      <c r="H89" s="9">
        <v>55000</v>
      </c>
      <c r="I89" s="9">
        <f t="shared" si="0"/>
        <v>0</v>
      </c>
      <c r="J89" s="2" t="s">
        <v>1268</v>
      </c>
      <c r="K89" s="2" t="s">
        <v>32</v>
      </c>
      <c r="L89" s="11">
        <v>44805</v>
      </c>
      <c r="M89" s="9">
        <v>55000</v>
      </c>
      <c r="N89" s="9"/>
      <c r="O89" s="9"/>
      <c r="P89" s="9"/>
      <c r="Q89" s="9">
        <v>55000</v>
      </c>
      <c r="R89" s="9"/>
      <c r="S89" s="9"/>
      <c r="T89" s="9">
        <f t="shared" si="1"/>
        <v>0</v>
      </c>
    </row>
    <row r="90" spans="1:20" ht="15.75" customHeight="1" x14ac:dyDescent="0.3">
      <c r="A90" s="10">
        <v>44851</v>
      </c>
      <c r="B90" s="7" t="s">
        <v>1269</v>
      </c>
      <c r="C90" s="7" t="s">
        <v>935</v>
      </c>
      <c r="D90" s="43" t="s">
        <v>1270</v>
      </c>
      <c r="E90" s="9">
        <v>60000</v>
      </c>
      <c r="F90" s="10">
        <v>44851</v>
      </c>
      <c r="G90" s="10">
        <v>44851</v>
      </c>
      <c r="H90" s="9">
        <v>60000</v>
      </c>
      <c r="I90" s="9">
        <f t="shared" si="0"/>
        <v>0</v>
      </c>
      <c r="J90" s="2" t="s">
        <v>1271</v>
      </c>
      <c r="K90" s="2" t="s">
        <v>32</v>
      </c>
      <c r="L90" s="11">
        <v>44835</v>
      </c>
      <c r="M90" s="9">
        <v>60000</v>
      </c>
      <c r="N90" s="9"/>
      <c r="O90" s="9"/>
      <c r="P90" s="9"/>
      <c r="Q90" s="9"/>
      <c r="R90" s="9"/>
      <c r="S90" s="9">
        <v>60000</v>
      </c>
      <c r="T90" s="9">
        <f t="shared" si="1"/>
        <v>0</v>
      </c>
    </row>
    <row r="91" spans="1:20" ht="15.75" customHeight="1" x14ac:dyDescent="0.3">
      <c r="A91" s="10">
        <v>44851</v>
      </c>
      <c r="B91" s="7" t="s">
        <v>1272</v>
      </c>
      <c r="C91" s="7" t="s">
        <v>1007</v>
      </c>
      <c r="D91" s="43" t="s">
        <v>1273</v>
      </c>
      <c r="E91" s="9">
        <v>7500</v>
      </c>
      <c r="F91" s="10">
        <v>44851</v>
      </c>
      <c r="G91" s="10">
        <v>44848</v>
      </c>
      <c r="H91" s="9">
        <v>7500</v>
      </c>
      <c r="I91" s="9">
        <f t="shared" si="0"/>
        <v>0</v>
      </c>
      <c r="J91" s="2" t="s">
        <v>1274</v>
      </c>
      <c r="K91" s="2" t="s">
        <v>32</v>
      </c>
      <c r="L91" s="11">
        <v>44835</v>
      </c>
      <c r="M91" s="9">
        <v>7500</v>
      </c>
      <c r="N91" s="9"/>
      <c r="O91" s="9"/>
      <c r="P91" s="9"/>
      <c r="Q91" s="9"/>
      <c r="R91" s="9">
        <v>7500</v>
      </c>
      <c r="S91" s="9"/>
      <c r="T91" s="9">
        <f t="shared" si="1"/>
        <v>0</v>
      </c>
    </row>
    <row r="92" spans="1:20" ht="15.75" customHeight="1" x14ac:dyDescent="0.3">
      <c r="A92" s="10">
        <v>44862</v>
      </c>
      <c r="B92" s="7" t="s">
        <v>1275</v>
      </c>
      <c r="C92" s="7" t="s">
        <v>1276</v>
      </c>
      <c r="D92" s="43" t="s">
        <v>1277</v>
      </c>
      <c r="E92" s="9">
        <v>65000</v>
      </c>
      <c r="F92" s="10">
        <v>44862</v>
      </c>
      <c r="G92" s="10">
        <v>44862</v>
      </c>
      <c r="H92" s="9">
        <v>65000</v>
      </c>
      <c r="I92" s="9">
        <f t="shared" si="0"/>
        <v>0</v>
      </c>
      <c r="J92" s="2" t="s">
        <v>1278</v>
      </c>
      <c r="K92" s="2" t="s">
        <v>32</v>
      </c>
      <c r="L92" s="11">
        <v>44835</v>
      </c>
      <c r="M92" s="9">
        <v>65000</v>
      </c>
      <c r="N92" s="9"/>
      <c r="O92" s="9"/>
      <c r="P92" s="9"/>
      <c r="Q92" s="9"/>
      <c r="R92" s="9"/>
      <c r="S92" s="9">
        <v>65000</v>
      </c>
      <c r="T92" s="9">
        <f t="shared" si="1"/>
        <v>0</v>
      </c>
    </row>
    <row r="93" spans="1:20" ht="15.75" customHeight="1" x14ac:dyDescent="0.3">
      <c r="A93" s="10">
        <v>44865</v>
      </c>
      <c r="B93" s="7" t="s">
        <v>1279</v>
      </c>
      <c r="C93" s="7" t="s">
        <v>1280</v>
      </c>
      <c r="D93" s="43" t="s">
        <v>1281</v>
      </c>
      <c r="E93" s="9">
        <v>120000</v>
      </c>
      <c r="F93" s="10">
        <v>44865</v>
      </c>
      <c r="G93" s="10">
        <v>44866</v>
      </c>
      <c r="H93" s="9">
        <v>120000</v>
      </c>
      <c r="I93" s="9">
        <f t="shared" si="0"/>
        <v>0</v>
      </c>
      <c r="J93" s="2" t="s">
        <v>1282</v>
      </c>
      <c r="K93" s="2" t="s">
        <v>32</v>
      </c>
      <c r="L93" s="11">
        <v>44835</v>
      </c>
      <c r="M93" s="9">
        <v>120000</v>
      </c>
      <c r="N93" s="9"/>
      <c r="O93" s="9"/>
      <c r="P93" s="9"/>
      <c r="Q93" s="9"/>
      <c r="R93" s="9"/>
      <c r="S93" s="9">
        <v>120000</v>
      </c>
      <c r="T93" s="9">
        <f t="shared" si="1"/>
        <v>0</v>
      </c>
    </row>
    <row r="94" spans="1:20" ht="15.75" customHeight="1" x14ac:dyDescent="0.3">
      <c r="A94" s="10">
        <v>44865</v>
      </c>
      <c r="B94" s="7" t="s">
        <v>1283</v>
      </c>
      <c r="C94" s="7" t="s">
        <v>1284</v>
      </c>
      <c r="D94" s="43" t="s">
        <v>1285</v>
      </c>
      <c r="E94" s="9">
        <v>110000</v>
      </c>
      <c r="F94" s="10">
        <v>44865</v>
      </c>
      <c r="G94" s="10">
        <v>44885</v>
      </c>
      <c r="H94" s="9">
        <v>110000</v>
      </c>
      <c r="I94" s="9">
        <f t="shared" si="0"/>
        <v>0</v>
      </c>
      <c r="J94" s="2" t="s">
        <v>1286</v>
      </c>
      <c r="K94" s="2" t="s">
        <v>32</v>
      </c>
      <c r="L94" s="11">
        <v>44835</v>
      </c>
      <c r="M94" s="9">
        <v>110000</v>
      </c>
      <c r="N94" s="9"/>
      <c r="O94" s="9">
        <v>110000</v>
      </c>
      <c r="P94" s="9"/>
      <c r="Q94" s="9"/>
      <c r="R94" s="9"/>
      <c r="S94" s="9"/>
      <c r="T94" s="9">
        <f t="shared" si="1"/>
        <v>0</v>
      </c>
    </row>
    <row r="95" spans="1:20" ht="15.75" customHeight="1" x14ac:dyDescent="0.3">
      <c r="A95" s="10">
        <v>44866</v>
      </c>
      <c r="B95" s="2" t="s">
        <v>1287</v>
      </c>
      <c r="C95" s="7" t="s">
        <v>20</v>
      </c>
      <c r="D95" s="43" t="s">
        <v>1288</v>
      </c>
      <c r="E95" s="9">
        <v>65000</v>
      </c>
      <c r="F95" s="10">
        <v>44866</v>
      </c>
      <c r="G95" s="10">
        <v>44918</v>
      </c>
      <c r="H95" s="9">
        <v>65000</v>
      </c>
      <c r="I95" s="9">
        <f t="shared" si="0"/>
        <v>0</v>
      </c>
      <c r="J95" s="7" t="s">
        <v>1205</v>
      </c>
      <c r="K95" s="2" t="s">
        <v>22</v>
      </c>
      <c r="L95" s="11">
        <v>44866</v>
      </c>
      <c r="M95" s="9">
        <v>65000</v>
      </c>
      <c r="N95" s="9">
        <v>65000</v>
      </c>
      <c r="O95" s="9"/>
      <c r="P95" s="9"/>
      <c r="Q95" s="9"/>
      <c r="R95" s="9"/>
      <c r="S95" s="9"/>
      <c r="T95" s="9">
        <f t="shared" si="1"/>
        <v>0</v>
      </c>
    </row>
    <row r="96" spans="1:20" ht="15.75" customHeight="1" x14ac:dyDescent="0.3">
      <c r="A96" s="10">
        <v>44866</v>
      </c>
      <c r="B96" s="2" t="s">
        <v>1289</v>
      </c>
      <c r="C96" s="7" t="s">
        <v>991</v>
      </c>
      <c r="D96" s="43" t="s">
        <v>1290</v>
      </c>
      <c r="E96" s="9">
        <v>21000</v>
      </c>
      <c r="F96" s="10">
        <v>44866</v>
      </c>
      <c r="G96" s="10">
        <v>44889</v>
      </c>
      <c r="H96" s="9">
        <v>21000</v>
      </c>
      <c r="I96" s="9">
        <f t="shared" si="0"/>
        <v>0</v>
      </c>
      <c r="J96" s="2" t="s">
        <v>1291</v>
      </c>
      <c r="K96" s="2" t="s">
        <v>27</v>
      </c>
      <c r="L96" s="11">
        <v>44866</v>
      </c>
      <c r="M96" s="9"/>
      <c r="N96" s="9"/>
      <c r="O96" s="9"/>
      <c r="P96" s="9"/>
      <c r="Q96" s="9"/>
      <c r="R96" s="9"/>
      <c r="S96" s="9"/>
      <c r="T96" s="9">
        <f t="shared" si="1"/>
        <v>0</v>
      </c>
    </row>
    <row r="97" spans="1:20" ht="15.75" customHeight="1" x14ac:dyDescent="0.3">
      <c r="A97" s="10">
        <v>44876</v>
      </c>
      <c r="B97" s="7" t="s">
        <v>1292</v>
      </c>
      <c r="C97" s="7" t="s">
        <v>1293</v>
      </c>
      <c r="D97" s="43" t="s">
        <v>1294</v>
      </c>
      <c r="E97" s="9">
        <v>42500</v>
      </c>
      <c r="F97" s="10">
        <v>44876</v>
      </c>
      <c r="G97" s="10">
        <v>44882</v>
      </c>
      <c r="H97" s="9">
        <v>42500</v>
      </c>
      <c r="I97" s="9">
        <f t="shared" si="0"/>
        <v>0</v>
      </c>
      <c r="J97" s="2" t="s">
        <v>1295</v>
      </c>
      <c r="K97" s="2" t="s">
        <v>32</v>
      </c>
      <c r="L97" s="11">
        <v>44866</v>
      </c>
      <c r="M97" s="9">
        <v>42500</v>
      </c>
      <c r="N97" s="9"/>
      <c r="O97" s="9"/>
      <c r="P97" s="9">
        <v>42500</v>
      </c>
      <c r="Q97" s="9"/>
      <c r="R97" s="9"/>
      <c r="S97" s="9"/>
      <c r="T97" s="9">
        <f t="shared" si="1"/>
        <v>0</v>
      </c>
    </row>
    <row r="98" spans="1:20" ht="15.75" customHeight="1" x14ac:dyDescent="0.3">
      <c r="A98" s="10">
        <v>44887</v>
      </c>
      <c r="B98" s="7" t="s">
        <v>1296</v>
      </c>
      <c r="C98" s="7" t="s">
        <v>1147</v>
      </c>
      <c r="D98" s="43" t="s">
        <v>1297</v>
      </c>
      <c r="E98" s="9">
        <v>33333</v>
      </c>
      <c r="F98" s="10">
        <v>44887</v>
      </c>
      <c r="G98" s="10">
        <v>44887</v>
      </c>
      <c r="H98" s="9">
        <v>33333</v>
      </c>
      <c r="I98" s="9">
        <f t="shared" si="0"/>
        <v>0</v>
      </c>
      <c r="J98" s="2" t="s">
        <v>1298</v>
      </c>
      <c r="K98" s="2" t="s">
        <v>32</v>
      </c>
      <c r="L98" s="11">
        <v>44866</v>
      </c>
      <c r="M98" s="9">
        <v>33333</v>
      </c>
      <c r="N98" s="9"/>
      <c r="O98" s="9"/>
      <c r="P98" s="9"/>
      <c r="Q98" s="9">
        <v>33333</v>
      </c>
      <c r="R98" s="9"/>
      <c r="S98" s="9"/>
      <c r="T98" s="9">
        <f t="shared" si="1"/>
        <v>0</v>
      </c>
    </row>
    <row r="99" spans="1:20" ht="15.75" customHeight="1" x14ac:dyDescent="0.3">
      <c r="A99" s="10">
        <v>44889</v>
      </c>
      <c r="B99" s="7" t="s">
        <v>1299</v>
      </c>
      <c r="C99" s="7" t="s">
        <v>1300</v>
      </c>
      <c r="D99" s="43" t="s">
        <v>1301</v>
      </c>
      <c r="E99" s="9">
        <v>57500</v>
      </c>
      <c r="F99" s="10">
        <v>44889</v>
      </c>
      <c r="G99" s="10">
        <v>44888</v>
      </c>
      <c r="H99" s="9">
        <v>57500</v>
      </c>
      <c r="I99" s="9">
        <f t="shared" si="0"/>
        <v>0</v>
      </c>
      <c r="J99" s="2" t="s">
        <v>1302</v>
      </c>
      <c r="K99" s="2" t="s">
        <v>32</v>
      </c>
      <c r="L99" s="11">
        <v>44866</v>
      </c>
      <c r="M99" s="9">
        <v>57500</v>
      </c>
      <c r="N99" s="9"/>
      <c r="O99" s="9">
        <v>57500</v>
      </c>
      <c r="P99" s="9"/>
      <c r="Q99" s="9"/>
      <c r="R99" s="9"/>
      <c r="S99" s="9"/>
      <c r="T99" s="9">
        <f t="shared" si="1"/>
        <v>0</v>
      </c>
    </row>
    <row r="100" spans="1:20" ht="15.75" customHeight="1" x14ac:dyDescent="0.3">
      <c r="A100" s="10">
        <v>44889</v>
      </c>
      <c r="B100" s="7" t="s">
        <v>1046</v>
      </c>
      <c r="C100" s="7" t="s">
        <v>1303</v>
      </c>
      <c r="D100" s="43" t="s">
        <v>1304</v>
      </c>
      <c r="E100" s="9">
        <v>60000</v>
      </c>
      <c r="F100" s="10">
        <v>44889</v>
      </c>
      <c r="G100" s="10">
        <v>44888</v>
      </c>
      <c r="H100" s="9">
        <f>55000+5000</f>
        <v>60000</v>
      </c>
      <c r="I100" s="9">
        <f t="shared" si="0"/>
        <v>0</v>
      </c>
      <c r="J100" s="2" t="s">
        <v>1305</v>
      </c>
      <c r="K100" s="2" t="s">
        <v>32</v>
      </c>
      <c r="L100" s="11">
        <v>44866</v>
      </c>
      <c r="M100" s="9">
        <v>60000</v>
      </c>
      <c r="N100" s="9"/>
      <c r="O100" s="9"/>
      <c r="P100" s="9"/>
      <c r="Q100" s="9">
        <v>60000</v>
      </c>
      <c r="R100" s="9"/>
      <c r="S100" s="9"/>
      <c r="T100" s="9">
        <f t="shared" si="1"/>
        <v>0</v>
      </c>
    </row>
    <row r="101" spans="1:20" ht="15.75" customHeight="1" x14ac:dyDescent="0.3">
      <c r="A101" s="10">
        <v>44894</v>
      </c>
      <c r="B101" s="2" t="s">
        <v>1306</v>
      </c>
      <c r="C101" s="7" t="s">
        <v>1003</v>
      </c>
      <c r="D101" s="43" t="s">
        <v>1307</v>
      </c>
      <c r="E101" s="9">
        <v>5000</v>
      </c>
      <c r="F101" s="10">
        <v>44897</v>
      </c>
      <c r="G101" s="10">
        <v>44894</v>
      </c>
      <c r="H101" s="9">
        <v>5000</v>
      </c>
      <c r="I101" s="9">
        <f t="shared" si="0"/>
        <v>0</v>
      </c>
      <c r="J101" s="2" t="s">
        <v>1308</v>
      </c>
      <c r="K101" s="2" t="s">
        <v>27</v>
      </c>
      <c r="L101" s="11">
        <v>44866</v>
      </c>
      <c r="M101" s="9"/>
      <c r="N101" s="9"/>
      <c r="O101" s="9"/>
      <c r="P101" s="9"/>
      <c r="Q101" s="9"/>
      <c r="R101" s="9"/>
      <c r="S101" s="9"/>
      <c r="T101" s="9">
        <f t="shared" si="1"/>
        <v>0</v>
      </c>
    </row>
    <row r="102" spans="1:20" ht="15.75" customHeight="1" x14ac:dyDescent="0.3">
      <c r="A102" s="10">
        <v>44897</v>
      </c>
      <c r="B102" s="2" t="s">
        <v>1309</v>
      </c>
      <c r="C102" s="7" t="s">
        <v>20</v>
      </c>
      <c r="D102" s="43" t="s">
        <v>1310</v>
      </c>
      <c r="E102" s="9">
        <v>65000</v>
      </c>
      <c r="F102" s="10">
        <v>44897</v>
      </c>
      <c r="G102" s="10">
        <v>44918</v>
      </c>
      <c r="H102" s="9">
        <v>65000</v>
      </c>
      <c r="I102" s="9">
        <f t="shared" si="0"/>
        <v>0</v>
      </c>
      <c r="J102" s="2" t="s">
        <v>1205</v>
      </c>
      <c r="K102" s="2" t="s">
        <v>27</v>
      </c>
      <c r="L102" s="11">
        <v>44896</v>
      </c>
      <c r="M102" s="9">
        <v>65000</v>
      </c>
      <c r="N102" s="9">
        <v>65000</v>
      </c>
      <c r="O102" s="9"/>
      <c r="P102" s="9"/>
      <c r="Q102" s="9"/>
      <c r="R102" s="9"/>
      <c r="S102" s="9"/>
      <c r="T102" s="9">
        <f t="shared" si="1"/>
        <v>0</v>
      </c>
    </row>
    <row r="103" spans="1:20" ht="15.75" customHeight="1" x14ac:dyDescent="0.3">
      <c r="A103" s="10">
        <v>44897</v>
      </c>
      <c r="B103" s="2" t="s">
        <v>1311</v>
      </c>
      <c r="C103" s="7" t="s">
        <v>991</v>
      </c>
      <c r="D103" s="43" t="s">
        <v>1312</v>
      </c>
      <c r="E103" s="9">
        <v>21000</v>
      </c>
      <c r="F103" s="10">
        <v>44897</v>
      </c>
      <c r="G103" s="10">
        <v>44911</v>
      </c>
      <c r="H103" s="9">
        <v>21000</v>
      </c>
      <c r="I103" s="9">
        <f t="shared" si="0"/>
        <v>0</v>
      </c>
      <c r="J103" s="2" t="s">
        <v>1313</v>
      </c>
      <c r="K103" s="2" t="s">
        <v>27</v>
      </c>
      <c r="L103" s="11">
        <v>44896</v>
      </c>
      <c r="M103" s="9"/>
      <c r="N103" s="9"/>
      <c r="O103" s="9"/>
      <c r="P103" s="9"/>
      <c r="Q103" s="9"/>
      <c r="R103" s="9"/>
      <c r="S103" s="9"/>
      <c r="T103" s="9">
        <f t="shared" si="1"/>
        <v>0</v>
      </c>
    </row>
    <row r="104" spans="1:20" ht="15.75" customHeight="1" x14ac:dyDescent="0.3">
      <c r="A104" s="10">
        <v>44921</v>
      </c>
      <c r="B104" s="7" t="s">
        <v>1314</v>
      </c>
      <c r="C104" s="7" t="s">
        <v>1315</v>
      </c>
      <c r="D104" s="43" t="s">
        <v>1316</v>
      </c>
      <c r="E104" s="9">
        <v>35000</v>
      </c>
      <c r="F104" s="10">
        <v>44921</v>
      </c>
      <c r="G104" s="10">
        <v>44922</v>
      </c>
      <c r="H104" s="9">
        <v>35000</v>
      </c>
      <c r="I104" s="9">
        <f t="shared" si="0"/>
        <v>0</v>
      </c>
      <c r="J104" s="2" t="s">
        <v>1317</v>
      </c>
      <c r="K104" s="2" t="s">
        <v>32</v>
      </c>
      <c r="L104" s="11">
        <v>44896</v>
      </c>
      <c r="M104" s="9">
        <v>35000</v>
      </c>
      <c r="N104" s="9"/>
      <c r="O104" s="9"/>
      <c r="P104" s="9"/>
      <c r="Q104" s="9"/>
      <c r="R104" s="9"/>
      <c r="S104" s="9">
        <v>35000</v>
      </c>
      <c r="T104" s="9">
        <f t="shared" si="1"/>
        <v>0</v>
      </c>
    </row>
    <row r="105" spans="1:20" ht="15.75" customHeight="1" x14ac:dyDescent="0.3">
      <c r="A105" s="10">
        <v>44925</v>
      </c>
      <c r="B105" s="7" t="s">
        <v>1318</v>
      </c>
      <c r="C105" s="7" t="s">
        <v>1319</v>
      </c>
      <c r="D105" s="43" t="s">
        <v>1320</v>
      </c>
      <c r="E105" s="9">
        <v>62500</v>
      </c>
      <c r="F105" s="10">
        <v>44931</v>
      </c>
      <c r="G105" s="10">
        <v>44924</v>
      </c>
      <c r="H105" s="9">
        <v>62500</v>
      </c>
      <c r="I105" s="9">
        <f t="shared" si="0"/>
        <v>0</v>
      </c>
      <c r="J105" s="2" t="s">
        <v>1321</v>
      </c>
      <c r="K105" s="2" t="s">
        <v>32</v>
      </c>
      <c r="L105" s="11">
        <v>44896</v>
      </c>
      <c r="M105" s="9">
        <v>62500</v>
      </c>
      <c r="N105" s="9"/>
      <c r="O105" s="9">
        <v>62500</v>
      </c>
      <c r="P105" s="9"/>
      <c r="Q105" s="9"/>
      <c r="R105" s="9"/>
      <c r="S105" s="9"/>
      <c r="T105" s="9">
        <f t="shared" si="1"/>
        <v>0</v>
      </c>
    </row>
    <row r="106" spans="1:20" ht="15.75" customHeight="1" x14ac:dyDescent="0.3">
      <c r="A106" s="10">
        <v>44926</v>
      </c>
      <c r="B106" s="2" t="s">
        <v>1322</v>
      </c>
      <c r="C106" s="7" t="s">
        <v>1003</v>
      </c>
      <c r="D106" s="43" t="s">
        <v>1323</v>
      </c>
      <c r="E106" s="9">
        <v>5000</v>
      </c>
      <c r="F106" s="10">
        <v>44931</v>
      </c>
      <c r="G106" s="10">
        <v>44925</v>
      </c>
      <c r="H106" s="9">
        <v>5000</v>
      </c>
      <c r="I106" s="9">
        <f t="shared" si="0"/>
        <v>0</v>
      </c>
      <c r="J106" s="2" t="s">
        <v>1324</v>
      </c>
      <c r="K106" s="2" t="s">
        <v>27</v>
      </c>
      <c r="L106" s="11">
        <v>44896</v>
      </c>
      <c r="M106" s="9"/>
      <c r="N106" s="9"/>
      <c r="O106" s="9"/>
      <c r="P106" s="9"/>
      <c r="Q106" s="9"/>
      <c r="R106" s="9"/>
      <c r="S106" s="9"/>
      <c r="T106" s="9">
        <f t="shared" si="1"/>
        <v>0</v>
      </c>
    </row>
    <row r="107" spans="1:20" ht="15.75" customHeight="1" x14ac:dyDescent="0.3">
      <c r="A107" s="10"/>
      <c r="B107" s="7"/>
      <c r="C107" s="7"/>
      <c r="D107" s="43"/>
      <c r="E107" s="9"/>
      <c r="F107" s="10"/>
      <c r="H107" s="9"/>
      <c r="I107" s="9">
        <f t="shared" si="0"/>
        <v>0</v>
      </c>
      <c r="L107" s="11"/>
      <c r="M107" s="9"/>
      <c r="N107" s="9"/>
      <c r="O107" s="9"/>
      <c r="P107" s="9"/>
      <c r="Q107" s="9"/>
      <c r="R107" s="9"/>
      <c r="S107" s="9"/>
      <c r="T107" s="9">
        <f t="shared" si="1"/>
        <v>0</v>
      </c>
    </row>
    <row r="108" spans="1:20" ht="15.75" customHeight="1" x14ac:dyDescent="0.3">
      <c r="E108" s="9"/>
      <c r="F108" s="9"/>
      <c r="H108" s="9"/>
      <c r="I108" s="9">
        <f t="shared" si="0"/>
        <v>0</v>
      </c>
      <c r="M108" s="9"/>
      <c r="N108" s="9"/>
      <c r="O108" s="9"/>
      <c r="P108" s="9"/>
      <c r="Q108" s="9"/>
      <c r="R108" s="9"/>
      <c r="S108" s="9"/>
      <c r="T108" s="9">
        <f t="shared" si="1"/>
        <v>0</v>
      </c>
    </row>
    <row r="109" spans="1:20" ht="15.75" customHeight="1" x14ac:dyDescent="0.3">
      <c r="E109" s="29">
        <f>SUM(E2:E108)</f>
        <v>13888997</v>
      </c>
      <c r="F109" s="9"/>
      <c r="G109" s="9"/>
      <c r="H109" s="29">
        <f t="shared" ref="H109:I109" si="2">SUM(H2:H108)</f>
        <v>13873997</v>
      </c>
      <c r="I109" s="29">
        <f t="shared" si="2"/>
        <v>15000</v>
      </c>
      <c r="J109" s="9"/>
      <c r="K109" s="9"/>
      <c r="L109" s="9"/>
      <c r="M109" s="29">
        <f t="shared" ref="M109:S109" si="3">SUM(M2:M108)</f>
        <v>11784997</v>
      </c>
      <c r="N109" s="29">
        <f t="shared" si="3"/>
        <v>1034414</v>
      </c>
      <c r="O109" s="29">
        <f t="shared" si="3"/>
        <v>2634500</v>
      </c>
      <c r="P109" s="29">
        <f t="shared" si="3"/>
        <v>2017500</v>
      </c>
      <c r="Q109" s="29">
        <f t="shared" si="3"/>
        <v>4788583</v>
      </c>
      <c r="R109" s="29">
        <f t="shared" si="3"/>
        <v>1030000</v>
      </c>
      <c r="S109" s="29">
        <f t="shared" si="3"/>
        <v>280000</v>
      </c>
    </row>
    <row r="110" spans="1:20" ht="15.75" customHeight="1" x14ac:dyDescent="0.3">
      <c r="E110" s="9"/>
      <c r="F110" s="9"/>
      <c r="G110" s="9"/>
      <c r="H110" s="9"/>
      <c r="I110" s="9"/>
      <c r="J110" s="9"/>
      <c r="K110" s="9"/>
      <c r="L110" s="9"/>
      <c r="M110" s="9" t="s">
        <v>186</v>
      </c>
      <c r="N110" s="9"/>
      <c r="O110" s="9"/>
      <c r="P110" s="33">
        <f t="shared" ref="P110:R110" si="4">P109/9600000</f>
        <v>0.21015624999999999</v>
      </c>
      <c r="Q110" s="33">
        <f t="shared" si="4"/>
        <v>0.49881072916666669</v>
      </c>
      <c r="R110" s="33">
        <f t="shared" si="4"/>
        <v>0.10729166666666666</v>
      </c>
      <c r="S110" s="33">
        <f>S109/1200000</f>
        <v>0.23333333333333334</v>
      </c>
    </row>
    <row r="111" spans="1:20" ht="15.75" customHeight="1" x14ac:dyDescent="0.3">
      <c r="E111" s="31" t="s">
        <v>181</v>
      </c>
      <c r="F111" s="31" t="s">
        <v>12</v>
      </c>
      <c r="H111" s="9"/>
      <c r="M111" s="9" t="s">
        <v>185</v>
      </c>
      <c r="N111" s="9"/>
      <c r="O111" s="9"/>
      <c r="P111" s="9">
        <f t="shared" ref="P111:R111" si="5">9600000-P109</f>
        <v>7582500</v>
      </c>
      <c r="Q111" s="9">
        <f t="shared" si="5"/>
        <v>4811417</v>
      </c>
      <c r="R111" s="9">
        <f t="shared" si="5"/>
        <v>8570000</v>
      </c>
      <c r="S111" s="9">
        <f>1200000-S109</f>
        <v>920000</v>
      </c>
    </row>
    <row r="112" spans="1:20" ht="15.75" customHeight="1" x14ac:dyDescent="0.3">
      <c r="D112" s="2" t="s">
        <v>32</v>
      </c>
      <c r="E112" s="9">
        <f>SUMIF(K2:K108,D112,E2:E108)</f>
        <v>12435583</v>
      </c>
      <c r="F112" s="9">
        <f>SUMIF(K2:K108,D112,M2:M108)</f>
        <v>10750583</v>
      </c>
      <c r="G112" s="9"/>
      <c r="H112" s="9">
        <f t="shared" ref="H112:I112" si="6">SUMIF($K2:$K108,$D$112,H2:H108)</f>
        <v>12435583</v>
      </c>
      <c r="I112" s="9">
        <f t="shared" si="6"/>
        <v>0</v>
      </c>
      <c r="M112" s="9"/>
      <c r="N112" s="9"/>
      <c r="O112" s="9"/>
      <c r="P112" s="9"/>
      <c r="Q112" s="9"/>
      <c r="R112" s="9"/>
      <c r="S112" s="9"/>
    </row>
    <row r="113" spans="4:19" ht="15.75" customHeight="1" x14ac:dyDescent="0.3">
      <c r="D113" s="2" t="s">
        <v>22</v>
      </c>
      <c r="E113" s="9">
        <f>SUMIF(K2:K108,D113,E2:E108)</f>
        <v>969414</v>
      </c>
      <c r="F113" s="9">
        <f>SUMIF(K2:K108,D113,M2:M108)</f>
        <v>969414</v>
      </c>
      <c r="G113" s="9"/>
      <c r="H113" s="9">
        <f t="shared" ref="H113:I113" si="7">SUMIF($K2:$K108,$D$113,H2:H108)</f>
        <v>969414</v>
      </c>
      <c r="I113" s="9">
        <f t="shared" si="7"/>
        <v>0</v>
      </c>
      <c r="M113" s="9"/>
      <c r="N113" s="9"/>
      <c r="O113" s="9"/>
      <c r="P113" s="9"/>
      <c r="Q113" s="9"/>
      <c r="R113" s="9"/>
      <c r="S113" s="9"/>
    </row>
    <row r="114" spans="4:19" ht="15.75" customHeight="1" x14ac:dyDescent="0.3">
      <c r="D114" s="2" t="s">
        <v>27</v>
      </c>
      <c r="E114" s="9">
        <f>SUMIF(K2:K108,D114,E2:E108)</f>
        <v>484000</v>
      </c>
      <c r="F114" s="9"/>
      <c r="G114" s="9"/>
      <c r="H114" s="9">
        <f t="shared" ref="H114:I114" si="8">SUMIF($K2:$K108,$D$114,H2:H108)</f>
        <v>469000</v>
      </c>
      <c r="I114" s="9">
        <f t="shared" si="8"/>
        <v>15000</v>
      </c>
      <c r="M114" s="9"/>
      <c r="N114" s="9"/>
      <c r="O114" s="9"/>
      <c r="P114" s="9"/>
      <c r="Q114" s="9"/>
      <c r="R114" s="9"/>
      <c r="S114" s="9"/>
    </row>
    <row r="115" spans="4:19" ht="15.75" customHeight="1" x14ac:dyDescent="0.3">
      <c r="E115" s="29">
        <f t="shared" ref="E115:F115" si="9">SUM(E112:E114)</f>
        <v>13888997</v>
      </c>
      <c r="F115" s="29">
        <f t="shared" si="9"/>
        <v>11719997</v>
      </c>
      <c r="G115" s="9"/>
      <c r="H115" s="9">
        <f t="shared" ref="H115:H116" si="10">SUMIF($K5:$K111,$D$112,H5:H111)</f>
        <v>12335583</v>
      </c>
      <c r="I115" s="29">
        <f>SUM(I112:I114)</f>
        <v>15000</v>
      </c>
      <c r="M115" s="9"/>
      <c r="N115" s="9"/>
      <c r="O115" s="9"/>
      <c r="P115" s="9"/>
      <c r="Q115" s="9"/>
      <c r="R115" s="9"/>
      <c r="S115" s="9"/>
    </row>
    <row r="116" spans="4:19" ht="15.75" customHeight="1" x14ac:dyDescent="0.3">
      <c r="E116" s="9">
        <f>E109-E115</f>
        <v>0</v>
      </c>
      <c r="F116" s="9"/>
      <c r="G116" s="9"/>
      <c r="H116" s="9">
        <f t="shared" si="10"/>
        <v>12335583</v>
      </c>
      <c r="I116" s="9">
        <f>I109-I115</f>
        <v>0</v>
      </c>
      <c r="M116" s="9"/>
      <c r="N116" s="9"/>
      <c r="O116" s="9"/>
      <c r="P116" s="9"/>
      <c r="Q116" s="9"/>
      <c r="R116" s="9"/>
      <c r="S116" s="9"/>
    </row>
    <row r="117" spans="4:19" ht="15.75" customHeight="1" x14ac:dyDescent="0.3">
      <c r="E117" s="9"/>
      <c r="F117" s="9"/>
      <c r="G117" s="9"/>
      <c r="H117" s="9"/>
      <c r="M117" s="9"/>
      <c r="N117" s="9"/>
      <c r="O117" s="9"/>
      <c r="P117" s="9"/>
      <c r="Q117" s="9"/>
      <c r="R117" s="9"/>
      <c r="S117" s="9"/>
    </row>
    <row r="118" spans="4:19" ht="15.75" customHeight="1" x14ac:dyDescent="0.3">
      <c r="E118" s="9"/>
      <c r="F118" s="9"/>
      <c r="H118" s="9"/>
      <c r="M118" s="9"/>
      <c r="N118" s="9"/>
      <c r="O118" s="9"/>
      <c r="P118" s="9"/>
      <c r="Q118" s="9"/>
      <c r="R118" s="9"/>
      <c r="S118" s="9"/>
    </row>
    <row r="119" spans="4:19" ht="15.75" customHeight="1" x14ac:dyDescent="0.3">
      <c r="E119" s="9"/>
      <c r="F119" s="9"/>
      <c r="H119" s="9"/>
      <c r="M119" s="9"/>
      <c r="N119" s="9"/>
      <c r="O119" s="9"/>
      <c r="P119" s="9"/>
      <c r="Q119" s="9"/>
      <c r="R119" s="9"/>
      <c r="S119" s="9"/>
    </row>
    <row r="120" spans="4:19" ht="15.75" customHeight="1" x14ac:dyDescent="0.3">
      <c r="E120" s="9"/>
      <c r="F120" s="9"/>
      <c r="H120" s="9"/>
      <c r="M120" s="9"/>
      <c r="N120" s="9"/>
      <c r="O120" s="9"/>
      <c r="P120" s="9"/>
      <c r="Q120" s="9"/>
      <c r="R120" s="9"/>
      <c r="S120" s="9"/>
    </row>
    <row r="121" spans="4:19" ht="15.75" customHeight="1" x14ac:dyDescent="0.3">
      <c r="E121" s="9"/>
      <c r="F121" s="9"/>
      <c r="H121" s="9"/>
      <c r="M121" s="9"/>
      <c r="N121" s="9"/>
      <c r="O121" s="9"/>
      <c r="P121" s="9"/>
      <c r="Q121" s="9"/>
      <c r="R121" s="9"/>
      <c r="S121" s="9"/>
    </row>
    <row r="122" spans="4:19" ht="15.75" customHeight="1" x14ac:dyDescent="0.3">
      <c r="E122" s="9"/>
      <c r="F122" s="9"/>
      <c r="H122" s="9"/>
      <c r="M122" s="9"/>
      <c r="N122" s="9"/>
      <c r="O122" s="9"/>
      <c r="P122" s="9"/>
      <c r="Q122" s="9"/>
      <c r="R122" s="9"/>
      <c r="S122" s="9"/>
    </row>
    <row r="123" spans="4:19" ht="15.75" customHeight="1" x14ac:dyDescent="0.3">
      <c r="E123" s="9"/>
      <c r="F123" s="9"/>
      <c r="H123" s="9"/>
      <c r="M123" s="9"/>
      <c r="N123" s="9"/>
      <c r="O123" s="9"/>
      <c r="P123" s="9"/>
      <c r="Q123" s="9"/>
      <c r="R123" s="9"/>
      <c r="S123" s="9"/>
    </row>
    <row r="124" spans="4:19" ht="15.75" customHeight="1" x14ac:dyDescent="0.3">
      <c r="E124" s="9"/>
      <c r="F124" s="9"/>
      <c r="H124" s="9"/>
      <c r="M124" s="9"/>
      <c r="N124" s="9"/>
      <c r="O124" s="9"/>
      <c r="P124" s="9"/>
      <c r="Q124" s="9"/>
      <c r="R124" s="9"/>
      <c r="S124" s="9"/>
    </row>
    <row r="125" spans="4:19" ht="15.75" customHeight="1" x14ac:dyDescent="0.3">
      <c r="E125" s="9"/>
      <c r="F125" s="9"/>
      <c r="H125" s="9"/>
      <c r="M125" s="9"/>
      <c r="N125" s="9"/>
      <c r="O125" s="9"/>
      <c r="P125" s="9"/>
      <c r="Q125" s="9"/>
      <c r="R125" s="9"/>
      <c r="S125" s="9"/>
    </row>
    <row r="126" spans="4:19" ht="15.75" customHeight="1" x14ac:dyDescent="0.3">
      <c r="E126" s="9"/>
      <c r="F126" s="9"/>
      <c r="H126" s="9"/>
      <c r="M126" s="9"/>
      <c r="N126" s="9"/>
      <c r="O126" s="9"/>
      <c r="P126" s="9"/>
      <c r="Q126" s="9"/>
      <c r="R126" s="9"/>
      <c r="S126" s="9"/>
    </row>
    <row r="127" spans="4:19" ht="15.75" customHeight="1" x14ac:dyDescent="0.3">
      <c r="E127" s="9"/>
      <c r="F127" s="9"/>
      <c r="H127" s="9"/>
      <c r="M127" s="9"/>
      <c r="N127" s="9"/>
      <c r="O127" s="9"/>
      <c r="P127" s="9"/>
      <c r="Q127" s="9"/>
      <c r="R127" s="9"/>
      <c r="S127" s="9"/>
    </row>
    <row r="128" spans="4:19" ht="15.75" customHeight="1" x14ac:dyDescent="0.3">
      <c r="E128" s="9"/>
      <c r="F128" s="9"/>
      <c r="H128" s="9"/>
      <c r="M128" s="9"/>
      <c r="N128" s="9"/>
      <c r="O128" s="9"/>
      <c r="P128" s="9"/>
      <c r="Q128" s="9"/>
      <c r="R128" s="9"/>
      <c r="S128" s="9"/>
    </row>
    <row r="129" spans="5:19" ht="15.75" customHeight="1" x14ac:dyDescent="0.3">
      <c r="E129" s="9"/>
      <c r="F129" s="9"/>
      <c r="H129" s="9"/>
      <c r="M129" s="9"/>
      <c r="N129" s="9"/>
      <c r="O129" s="9"/>
      <c r="P129" s="9"/>
      <c r="Q129" s="9"/>
      <c r="R129" s="9"/>
      <c r="S129" s="9"/>
    </row>
    <row r="130" spans="5:19" ht="15.75" customHeight="1" x14ac:dyDescent="0.3">
      <c r="E130" s="9"/>
      <c r="F130" s="9"/>
      <c r="H130" s="9"/>
      <c r="M130" s="9"/>
      <c r="N130" s="9"/>
      <c r="O130" s="9"/>
      <c r="P130" s="9"/>
      <c r="Q130" s="9"/>
      <c r="R130" s="9"/>
      <c r="S130" s="9"/>
    </row>
    <row r="131" spans="5:19" ht="15.75" customHeight="1" x14ac:dyDescent="0.3">
      <c r="E131" s="9"/>
      <c r="F131" s="9"/>
      <c r="H131" s="9"/>
      <c r="M131" s="9"/>
      <c r="N131" s="9"/>
      <c r="O131" s="9"/>
      <c r="P131" s="9"/>
      <c r="Q131" s="9"/>
      <c r="R131" s="9"/>
      <c r="S131" s="9"/>
    </row>
    <row r="132" spans="5:19" ht="15.75" customHeight="1" x14ac:dyDescent="0.3">
      <c r="E132" s="9"/>
      <c r="F132" s="9"/>
      <c r="H132" s="9"/>
      <c r="M132" s="9"/>
      <c r="N132" s="9"/>
      <c r="O132" s="9"/>
      <c r="P132" s="9"/>
      <c r="Q132" s="9"/>
      <c r="R132" s="9"/>
      <c r="S132" s="9"/>
    </row>
    <row r="133" spans="5:19" ht="15.75" customHeight="1" x14ac:dyDescent="0.3">
      <c r="E133" s="9"/>
      <c r="F133" s="9"/>
      <c r="H133" s="9"/>
      <c r="M133" s="9"/>
      <c r="N133" s="9"/>
      <c r="O133" s="9"/>
      <c r="P133" s="9"/>
      <c r="Q133" s="9"/>
      <c r="R133" s="9"/>
      <c r="S133" s="9"/>
    </row>
    <row r="134" spans="5:19" ht="15.75" customHeight="1" x14ac:dyDescent="0.3">
      <c r="E134" s="9"/>
      <c r="F134" s="9"/>
      <c r="H134" s="9"/>
      <c r="M134" s="9"/>
      <c r="N134" s="9"/>
      <c r="O134" s="9"/>
      <c r="P134" s="9"/>
      <c r="Q134" s="9"/>
      <c r="R134" s="9"/>
      <c r="S134" s="9"/>
    </row>
    <row r="135" spans="5:19" ht="15.75" customHeight="1" x14ac:dyDescent="0.3">
      <c r="E135" s="9"/>
      <c r="F135" s="9"/>
      <c r="H135" s="9"/>
      <c r="M135" s="9"/>
      <c r="N135" s="9"/>
      <c r="O135" s="9"/>
      <c r="P135" s="9"/>
      <c r="Q135" s="9"/>
      <c r="R135" s="9"/>
      <c r="S135" s="9"/>
    </row>
    <row r="136" spans="5:19" ht="15.75" customHeight="1" x14ac:dyDescent="0.3">
      <c r="E136" s="9"/>
      <c r="F136" s="9"/>
      <c r="H136" s="9"/>
      <c r="M136" s="9"/>
      <c r="N136" s="9"/>
      <c r="O136" s="9"/>
      <c r="P136" s="9"/>
      <c r="Q136" s="9"/>
      <c r="R136" s="9"/>
      <c r="S136" s="9"/>
    </row>
    <row r="137" spans="5:19" ht="15.75" customHeight="1" x14ac:dyDescent="0.3">
      <c r="E137" s="9"/>
      <c r="F137" s="9"/>
      <c r="H137" s="9"/>
      <c r="M137" s="9"/>
      <c r="N137" s="9"/>
      <c r="O137" s="9"/>
      <c r="P137" s="9"/>
      <c r="Q137" s="9"/>
      <c r="R137" s="9"/>
      <c r="S137" s="9"/>
    </row>
    <row r="138" spans="5:19" ht="15.75" customHeight="1" x14ac:dyDescent="0.3">
      <c r="E138" s="9"/>
      <c r="F138" s="9"/>
      <c r="H138" s="9"/>
      <c r="M138" s="9"/>
      <c r="N138" s="9"/>
      <c r="O138" s="9"/>
      <c r="P138" s="9"/>
      <c r="Q138" s="9"/>
      <c r="R138" s="9"/>
      <c r="S138" s="9"/>
    </row>
    <row r="139" spans="5:19" ht="15.75" customHeight="1" x14ac:dyDescent="0.3">
      <c r="E139" s="9"/>
      <c r="F139" s="9"/>
      <c r="H139" s="9"/>
      <c r="M139" s="9"/>
      <c r="N139" s="9"/>
      <c r="O139" s="9"/>
      <c r="P139" s="9"/>
      <c r="Q139" s="9"/>
      <c r="R139" s="9"/>
      <c r="S139" s="9"/>
    </row>
    <row r="140" spans="5:19" ht="15.75" customHeight="1" x14ac:dyDescent="0.3">
      <c r="E140" s="9"/>
      <c r="F140" s="9"/>
      <c r="H140" s="9"/>
      <c r="M140" s="9"/>
      <c r="N140" s="9"/>
      <c r="O140" s="9"/>
      <c r="P140" s="9"/>
      <c r="Q140" s="9"/>
      <c r="R140" s="9"/>
      <c r="S140" s="9"/>
    </row>
    <row r="141" spans="5:19" ht="15.75" customHeight="1" x14ac:dyDescent="0.3">
      <c r="E141" s="9"/>
      <c r="F141" s="9"/>
      <c r="H141" s="9"/>
      <c r="M141" s="9"/>
      <c r="N141" s="9"/>
      <c r="O141" s="9"/>
      <c r="P141" s="9"/>
      <c r="Q141" s="9"/>
      <c r="R141" s="9"/>
      <c r="S141" s="9"/>
    </row>
    <row r="142" spans="5:19" ht="15.75" customHeight="1" x14ac:dyDescent="0.3">
      <c r="E142" s="9"/>
      <c r="F142" s="9"/>
      <c r="H142" s="9"/>
      <c r="M142" s="9"/>
      <c r="N142" s="9"/>
      <c r="O142" s="9"/>
      <c r="P142" s="9"/>
      <c r="Q142" s="9"/>
      <c r="R142" s="9"/>
      <c r="S142" s="9"/>
    </row>
    <row r="143" spans="5:19" ht="15.75" customHeight="1" x14ac:dyDescent="0.3">
      <c r="E143" s="9"/>
      <c r="F143" s="9"/>
      <c r="H143" s="9"/>
      <c r="M143" s="9"/>
      <c r="N143" s="9"/>
      <c r="O143" s="9"/>
      <c r="P143" s="9"/>
      <c r="Q143" s="9"/>
      <c r="R143" s="9"/>
      <c r="S143" s="9"/>
    </row>
    <row r="144" spans="5:19" ht="15.75" customHeight="1" x14ac:dyDescent="0.3">
      <c r="E144" s="9"/>
      <c r="F144" s="9"/>
      <c r="H144" s="9"/>
      <c r="M144" s="9"/>
      <c r="N144" s="9"/>
      <c r="O144" s="9"/>
      <c r="P144" s="9"/>
      <c r="Q144" s="9"/>
      <c r="R144" s="9"/>
      <c r="S144" s="9"/>
    </row>
    <row r="145" spans="5:19" ht="15.75" customHeight="1" x14ac:dyDescent="0.3">
      <c r="E145" s="9"/>
      <c r="F145" s="9"/>
      <c r="H145" s="9"/>
      <c r="M145" s="9"/>
      <c r="N145" s="9"/>
      <c r="O145" s="9"/>
      <c r="P145" s="9"/>
      <c r="Q145" s="9"/>
      <c r="R145" s="9"/>
      <c r="S145" s="9"/>
    </row>
    <row r="146" spans="5:19" ht="15.75" customHeight="1" x14ac:dyDescent="0.3">
      <c r="E146" s="9"/>
      <c r="F146" s="9"/>
      <c r="H146" s="9"/>
      <c r="M146" s="9"/>
      <c r="N146" s="9"/>
      <c r="O146" s="9"/>
      <c r="P146" s="9"/>
      <c r="Q146" s="9"/>
      <c r="R146" s="9"/>
      <c r="S146" s="9"/>
    </row>
    <row r="147" spans="5:19" ht="15.75" customHeight="1" x14ac:dyDescent="0.3">
      <c r="E147" s="9"/>
      <c r="F147" s="9"/>
      <c r="H147" s="9"/>
      <c r="M147" s="9"/>
      <c r="N147" s="9"/>
      <c r="O147" s="9"/>
      <c r="P147" s="9"/>
      <c r="Q147" s="9"/>
      <c r="R147" s="9"/>
      <c r="S147" s="9"/>
    </row>
    <row r="148" spans="5:19" ht="15.75" customHeight="1" x14ac:dyDescent="0.3">
      <c r="E148" s="9"/>
      <c r="F148" s="9"/>
      <c r="H148" s="9"/>
      <c r="M148" s="9"/>
      <c r="N148" s="9"/>
      <c r="O148" s="9"/>
      <c r="P148" s="9"/>
      <c r="Q148" s="9"/>
      <c r="R148" s="9"/>
      <c r="S148" s="9"/>
    </row>
    <row r="149" spans="5:19" ht="15.75" customHeight="1" x14ac:dyDescent="0.3">
      <c r="E149" s="9"/>
      <c r="F149" s="9"/>
      <c r="H149" s="9"/>
      <c r="M149" s="9"/>
      <c r="N149" s="9"/>
      <c r="O149" s="9"/>
      <c r="P149" s="9"/>
      <c r="Q149" s="9"/>
      <c r="R149" s="9"/>
      <c r="S149" s="9"/>
    </row>
    <row r="150" spans="5:19" ht="15.75" customHeight="1" x14ac:dyDescent="0.3">
      <c r="E150" s="9"/>
      <c r="F150" s="9"/>
      <c r="H150" s="9"/>
      <c r="M150" s="9"/>
      <c r="N150" s="9"/>
      <c r="O150" s="9"/>
      <c r="P150" s="9"/>
      <c r="Q150" s="9"/>
      <c r="R150" s="9"/>
      <c r="S150" s="9"/>
    </row>
    <row r="151" spans="5:19" ht="15.75" customHeight="1" x14ac:dyDescent="0.3">
      <c r="E151" s="9"/>
      <c r="F151" s="9"/>
      <c r="H151" s="9"/>
      <c r="M151" s="9"/>
      <c r="N151" s="9"/>
      <c r="O151" s="9"/>
      <c r="P151" s="9"/>
      <c r="Q151" s="9"/>
      <c r="R151" s="9"/>
      <c r="S151" s="9"/>
    </row>
    <row r="152" spans="5:19" ht="15.75" customHeight="1" x14ac:dyDescent="0.3">
      <c r="E152" s="9"/>
      <c r="F152" s="9"/>
      <c r="H152" s="9"/>
      <c r="M152" s="9"/>
      <c r="N152" s="9"/>
      <c r="O152" s="9"/>
      <c r="P152" s="9"/>
      <c r="Q152" s="9"/>
      <c r="R152" s="9"/>
      <c r="S152" s="9"/>
    </row>
    <row r="153" spans="5:19" ht="15.75" customHeight="1" x14ac:dyDescent="0.3">
      <c r="E153" s="9"/>
      <c r="F153" s="9"/>
      <c r="H153" s="9"/>
      <c r="M153" s="9"/>
      <c r="N153" s="9"/>
      <c r="O153" s="9"/>
      <c r="P153" s="9"/>
      <c r="Q153" s="9"/>
      <c r="R153" s="9"/>
      <c r="S153" s="9"/>
    </row>
    <row r="154" spans="5:19" ht="15.75" customHeight="1" x14ac:dyDescent="0.3">
      <c r="E154" s="9"/>
      <c r="F154" s="9"/>
      <c r="H154" s="9"/>
      <c r="M154" s="9"/>
      <c r="N154" s="9"/>
      <c r="O154" s="9"/>
      <c r="P154" s="9"/>
      <c r="Q154" s="9"/>
      <c r="R154" s="9"/>
      <c r="S154" s="9"/>
    </row>
    <row r="155" spans="5:19" ht="15.75" customHeight="1" x14ac:dyDescent="0.3">
      <c r="E155" s="9"/>
      <c r="F155" s="9"/>
      <c r="H155" s="9"/>
      <c r="M155" s="9"/>
      <c r="N155" s="9"/>
      <c r="O155" s="9"/>
      <c r="P155" s="9"/>
      <c r="Q155" s="9"/>
      <c r="R155" s="9"/>
      <c r="S155" s="9"/>
    </row>
    <row r="156" spans="5:19" ht="15.75" customHeight="1" x14ac:dyDescent="0.3">
      <c r="E156" s="9"/>
      <c r="F156" s="9"/>
      <c r="H156" s="9"/>
      <c r="M156" s="9"/>
      <c r="N156" s="9"/>
      <c r="O156" s="9"/>
      <c r="P156" s="9"/>
      <c r="Q156" s="9"/>
      <c r="R156" s="9"/>
      <c r="S156" s="9"/>
    </row>
    <row r="157" spans="5:19" ht="15.75" customHeight="1" x14ac:dyDescent="0.3">
      <c r="E157" s="9"/>
      <c r="F157" s="9"/>
      <c r="H157" s="9"/>
      <c r="M157" s="9"/>
      <c r="N157" s="9"/>
      <c r="O157" s="9"/>
      <c r="P157" s="9"/>
      <c r="Q157" s="9"/>
      <c r="R157" s="9"/>
      <c r="S157" s="9"/>
    </row>
    <row r="158" spans="5:19" ht="15.75" customHeight="1" x14ac:dyDescent="0.3">
      <c r="E158" s="9"/>
      <c r="F158" s="9"/>
      <c r="H158" s="9"/>
      <c r="M158" s="9"/>
      <c r="N158" s="9"/>
      <c r="O158" s="9"/>
      <c r="P158" s="9"/>
      <c r="Q158" s="9"/>
      <c r="R158" s="9"/>
      <c r="S158" s="9"/>
    </row>
    <row r="159" spans="5:19" ht="15.75" customHeight="1" x14ac:dyDescent="0.3">
      <c r="E159" s="9"/>
      <c r="F159" s="9"/>
      <c r="H159" s="9"/>
      <c r="M159" s="9"/>
      <c r="N159" s="9"/>
      <c r="O159" s="9"/>
      <c r="P159" s="9"/>
      <c r="Q159" s="9"/>
      <c r="R159" s="9"/>
      <c r="S159" s="9"/>
    </row>
    <row r="160" spans="5:19" ht="15.75" customHeight="1" x14ac:dyDescent="0.3">
      <c r="E160" s="9"/>
      <c r="F160" s="9"/>
      <c r="H160" s="9"/>
      <c r="M160" s="9"/>
      <c r="N160" s="9"/>
      <c r="O160" s="9"/>
      <c r="P160" s="9"/>
      <c r="Q160" s="9"/>
      <c r="R160" s="9"/>
      <c r="S160" s="9"/>
    </row>
    <row r="161" spans="5:19" ht="15.75" customHeight="1" x14ac:dyDescent="0.3">
      <c r="E161" s="9"/>
      <c r="F161" s="9"/>
      <c r="H161" s="9"/>
      <c r="M161" s="9"/>
      <c r="N161" s="9"/>
      <c r="O161" s="9"/>
      <c r="P161" s="9"/>
      <c r="Q161" s="9"/>
      <c r="R161" s="9"/>
      <c r="S161" s="9"/>
    </row>
    <row r="162" spans="5:19" ht="15.75" customHeight="1" x14ac:dyDescent="0.3">
      <c r="E162" s="9"/>
      <c r="F162" s="9"/>
      <c r="H162" s="9"/>
      <c r="M162" s="9"/>
      <c r="N162" s="9"/>
      <c r="O162" s="9"/>
      <c r="P162" s="9"/>
      <c r="Q162" s="9"/>
      <c r="R162" s="9"/>
      <c r="S162" s="9"/>
    </row>
    <row r="163" spans="5:19" ht="15.75" customHeight="1" x14ac:dyDescent="0.3">
      <c r="E163" s="9"/>
      <c r="F163" s="9"/>
      <c r="H163" s="9"/>
      <c r="M163" s="9"/>
      <c r="N163" s="9"/>
      <c r="O163" s="9"/>
      <c r="P163" s="9"/>
      <c r="Q163" s="9"/>
      <c r="R163" s="9"/>
      <c r="S163" s="9"/>
    </row>
    <row r="164" spans="5:19" ht="15.75" customHeight="1" x14ac:dyDescent="0.3">
      <c r="E164" s="9"/>
      <c r="F164" s="9"/>
      <c r="H164" s="9"/>
      <c r="M164" s="9"/>
      <c r="N164" s="9"/>
      <c r="O164" s="9"/>
      <c r="P164" s="9"/>
      <c r="Q164" s="9"/>
      <c r="R164" s="9"/>
      <c r="S164" s="9"/>
    </row>
    <row r="165" spans="5:19" ht="15.75" customHeight="1" x14ac:dyDescent="0.3">
      <c r="E165" s="9"/>
      <c r="F165" s="9"/>
      <c r="H165" s="9"/>
      <c r="M165" s="9"/>
      <c r="N165" s="9"/>
      <c r="O165" s="9"/>
      <c r="P165" s="9"/>
      <c r="Q165" s="9"/>
      <c r="R165" s="9"/>
      <c r="S165" s="9"/>
    </row>
    <row r="166" spans="5:19" ht="15.75" customHeight="1" x14ac:dyDescent="0.3">
      <c r="E166" s="9"/>
      <c r="F166" s="9"/>
      <c r="H166" s="9"/>
      <c r="M166" s="9"/>
      <c r="N166" s="9"/>
      <c r="O166" s="9"/>
      <c r="P166" s="9"/>
      <c r="Q166" s="9"/>
      <c r="R166" s="9"/>
      <c r="S166" s="9"/>
    </row>
    <row r="167" spans="5:19" ht="15.75" customHeight="1" x14ac:dyDescent="0.3">
      <c r="E167" s="9"/>
      <c r="F167" s="9"/>
      <c r="H167" s="9"/>
      <c r="M167" s="9"/>
      <c r="N167" s="9"/>
      <c r="O167" s="9"/>
      <c r="P167" s="9"/>
      <c r="Q167" s="9"/>
      <c r="R167" s="9"/>
      <c r="S167" s="9"/>
    </row>
    <row r="168" spans="5:19" ht="15.75" customHeight="1" x14ac:dyDescent="0.3">
      <c r="E168" s="9"/>
      <c r="F168" s="9"/>
      <c r="H168" s="9"/>
      <c r="M168" s="9"/>
      <c r="N168" s="9"/>
      <c r="O168" s="9"/>
      <c r="P168" s="9"/>
      <c r="Q168" s="9"/>
      <c r="R168" s="9"/>
      <c r="S168" s="9"/>
    </row>
    <row r="169" spans="5:19" ht="15.75" customHeight="1" x14ac:dyDescent="0.3">
      <c r="E169" s="9"/>
      <c r="F169" s="9"/>
      <c r="H169" s="9"/>
      <c r="M169" s="9"/>
      <c r="N169" s="9"/>
      <c r="O169" s="9"/>
      <c r="P169" s="9"/>
      <c r="Q169" s="9"/>
      <c r="R169" s="9"/>
      <c r="S169" s="9"/>
    </row>
    <row r="170" spans="5:19" ht="15.75" customHeight="1" x14ac:dyDescent="0.3">
      <c r="E170" s="9"/>
      <c r="F170" s="9"/>
      <c r="H170" s="9"/>
      <c r="M170" s="9"/>
      <c r="N170" s="9"/>
      <c r="O170" s="9"/>
      <c r="P170" s="9"/>
      <c r="Q170" s="9"/>
      <c r="R170" s="9"/>
      <c r="S170" s="9"/>
    </row>
    <row r="171" spans="5:19" ht="15.75" customHeight="1" x14ac:dyDescent="0.3">
      <c r="E171" s="9"/>
      <c r="F171" s="9"/>
      <c r="H171" s="9"/>
      <c r="M171" s="9"/>
      <c r="N171" s="9"/>
      <c r="O171" s="9"/>
      <c r="P171" s="9"/>
      <c r="Q171" s="9"/>
      <c r="R171" s="9"/>
      <c r="S171" s="9"/>
    </row>
    <row r="172" spans="5:19" ht="15.75" customHeight="1" x14ac:dyDescent="0.3">
      <c r="E172" s="9"/>
      <c r="F172" s="9"/>
      <c r="H172" s="9"/>
      <c r="M172" s="9"/>
      <c r="N172" s="9"/>
      <c r="O172" s="9"/>
      <c r="P172" s="9"/>
      <c r="Q172" s="9"/>
      <c r="R172" s="9"/>
      <c r="S172" s="9"/>
    </row>
    <row r="173" spans="5:19" ht="15.75" customHeight="1" x14ac:dyDescent="0.3">
      <c r="E173" s="9"/>
      <c r="F173" s="9"/>
      <c r="H173" s="9"/>
      <c r="M173" s="9"/>
      <c r="N173" s="9"/>
      <c r="O173" s="9"/>
      <c r="P173" s="9"/>
      <c r="Q173" s="9"/>
      <c r="R173" s="9"/>
      <c r="S173" s="9"/>
    </row>
    <row r="174" spans="5:19" ht="15.75" customHeight="1" x14ac:dyDescent="0.3">
      <c r="E174" s="9"/>
      <c r="F174" s="9"/>
      <c r="H174" s="9"/>
      <c r="M174" s="9"/>
      <c r="N174" s="9"/>
      <c r="O174" s="9"/>
      <c r="P174" s="9"/>
      <c r="Q174" s="9"/>
      <c r="R174" s="9"/>
      <c r="S174" s="9"/>
    </row>
    <row r="175" spans="5:19" ht="15.75" customHeight="1" x14ac:dyDescent="0.3">
      <c r="E175" s="9"/>
      <c r="F175" s="9"/>
      <c r="H175" s="9"/>
      <c r="M175" s="9"/>
      <c r="N175" s="9"/>
      <c r="O175" s="9"/>
      <c r="P175" s="9"/>
      <c r="Q175" s="9"/>
      <c r="R175" s="9"/>
      <c r="S175" s="9"/>
    </row>
    <row r="176" spans="5:19" ht="15.75" customHeight="1" x14ac:dyDescent="0.3">
      <c r="E176" s="9"/>
      <c r="F176" s="9"/>
      <c r="H176" s="9"/>
      <c r="M176" s="9"/>
      <c r="N176" s="9"/>
      <c r="O176" s="9"/>
      <c r="P176" s="9"/>
      <c r="Q176" s="9"/>
      <c r="R176" s="9"/>
      <c r="S176" s="9"/>
    </row>
    <row r="177" spans="5:19" ht="15.75" customHeight="1" x14ac:dyDescent="0.3">
      <c r="E177" s="9"/>
      <c r="F177" s="9"/>
      <c r="H177" s="9"/>
      <c r="M177" s="9"/>
      <c r="N177" s="9"/>
      <c r="O177" s="9"/>
      <c r="P177" s="9"/>
      <c r="Q177" s="9"/>
      <c r="R177" s="9"/>
      <c r="S177" s="9"/>
    </row>
    <row r="178" spans="5:19" ht="15.75" customHeight="1" x14ac:dyDescent="0.3">
      <c r="E178" s="9"/>
      <c r="F178" s="9"/>
      <c r="H178" s="9"/>
      <c r="M178" s="9"/>
      <c r="N178" s="9"/>
      <c r="O178" s="9"/>
      <c r="P178" s="9"/>
      <c r="Q178" s="9"/>
      <c r="R178" s="9"/>
      <c r="S178" s="9"/>
    </row>
    <row r="179" spans="5:19" ht="15.75" customHeight="1" x14ac:dyDescent="0.3">
      <c r="E179" s="9"/>
      <c r="F179" s="9"/>
      <c r="H179" s="9"/>
      <c r="M179" s="9"/>
      <c r="N179" s="9"/>
      <c r="O179" s="9"/>
      <c r="P179" s="9"/>
      <c r="Q179" s="9"/>
      <c r="R179" s="9"/>
      <c r="S179" s="9"/>
    </row>
    <row r="180" spans="5:19" ht="15.75" customHeight="1" x14ac:dyDescent="0.3">
      <c r="E180" s="9"/>
      <c r="F180" s="9"/>
      <c r="H180" s="9"/>
      <c r="M180" s="9"/>
      <c r="N180" s="9"/>
      <c r="O180" s="9"/>
      <c r="P180" s="9"/>
      <c r="Q180" s="9"/>
      <c r="R180" s="9"/>
      <c r="S180" s="9"/>
    </row>
    <row r="181" spans="5:19" ht="15.75" customHeight="1" x14ac:dyDescent="0.3">
      <c r="E181" s="9"/>
      <c r="F181" s="9"/>
      <c r="H181" s="9"/>
      <c r="M181" s="9"/>
      <c r="N181" s="9"/>
      <c r="O181" s="9"/>
      <c r="P181" s="9"/>
      <c r="Q181" s="9"/>
      <c r="R181" s="9"/>
      <c r="S181" s="9"/>
    </row>
    <row r="182" spans="5:19" ht="15.75" customHeight="1" x14ac:dyDescent="0.3">
      <c r="E182" s="9"/>
      <c r="F182" s="9"/>
      <c r="H182" s="9"/>
      <c r="M182" s="9"/>
      <c r="N182" s="9"/>
      <c r="O182" s="9"/>
      <c r="P182" s="9"/>
      <c r="Q182" s="9"/>
      <c r="R182" s="9"/>
      <c r="S182" s="9"/>
    </row>
    <row r="183" spans="5:19" ht="15.75" customHeight="1" x14ac:dyDescent="0.3">
      <c r="E183" s="9"/>
      <c r="F183" s="9"/>
      <c r="H183" s="9"/>
      <c r="M183" s="9"/>
      <c r="N183" s="9"/>
      <c r="O183" s="9"/>
      <c r="P183" s="9"/>
      <c r="Q183" s="9"/>
      <c r="R183" s="9"/>
      <c r="S183" s="9"/>
    </row>
    <row r="184" spans="5:19" ht="15.75" customHeight="1" x14ac:dyDescent="0.3">
      <c r="E184" s="9"/>
      <c r="F184" s="9"/>
      <c r="H184" s="9"/>
      <c r="M184" s="9"/>
      <c r="N184" s="9"/>
      <c r="O184" s="9"/>
      <c r="P184" s="9"/>
      <c r="Q184" s="9"/>
      <c r="R184" s="9"/>
      <c r="S184" s="9"/>
    </row>
    <row r="185" spans="5:19" ht="15.75" customHeight="1" x14ac:dyDescent="0.3">
      <c r="E185" s="9"/>
      <c r="F185" s="9"/>
      <c r="H185" s="9"/>
      <c r="M185" s="9"/>
      <c r="N185" s="9"/>
      <c r="O185" s="9"/>
      <c r="P185" s="9"/>
      <c r="Q185" s="9"/>
      <c r="R185" s="9"/>
      <c r="S185" s="9"/>
    </row>
    <row r="186" spans="5:19" ht="15.75" customHeight="1" x14ac:dyDescent="0.3">
      <c r="E186" s="9"/>
      <c r="F186" s="9"/>
      <c r="H186" s="9"/>
      <c r="M186" s="9"/>
      <c r="N186" s="9"/>
      <c r="O186" s="9"/>
      <c r="P186" s="9"/>
      <c r="Q186" s="9"/>
      <c r="R186" s="9"/>
      <c r="S186" s="9"/>
    </row>
    <row r="187" spans="5:19" ht="15.75" customHeight="1" x14ac:dyDescent="0.3">
      <c r="E187" s="9"/>
      <c r="F187" s="9"/>
      <c r="H187" s="9"/>
      <c r="M187" s="9"/>
      <c r="N187" s="9"/>
      <c r="O187" s="9"/>
      <c r="P187" s="9"/>
      <c r="Q187" s="9"/>
      <c r="R187" s="9"/>
      <c r="S187" s="9"/>
    </row>
    <row r="188" spans="5:19" ht="15.75" customHeight="1" x14ac:dyDescent="0.3">
      <c r="E188" s="9"/>
      <c r="F188" s="9"/>
      <c r="H188" s="9"/>
      <c r="M188" s="9"/>
      <c r="N188" s="9"/>
      <c r="O188" s="9"/>
      <c r="P188" s="9"/>
      <c r="Q188" s="9"/>
      <c r="R188" s="9"/>
      <c r="S188" s="9"/>
    </row>
    <row r="189" spans="5:19" ht="15.75" customHeight="1" x14ac:dyDescent="0.3">
      <c r="E189" s="9"/>
      <c r="F189" s="9"/>
      <c r="H189" s="9"/>
      <c r="M189" s="9"/>
      <c r="N189" s="9"/>
      <c r="O189" s="9"/>
      <c r="P189" s="9"/>
      <c r="Q189" s="9"/>
      <c r="R189" s="9"/>
      <c r="S189" s="9"/>
    </row>
    <row r="190" spans="5:19" ht="15.75" customHeight="1" x14ac:dyDescent="0.3">
      <c r="E190" s="9"/>
      <c r="F190" s="9"/>
      <c r="H190" s="9"/>
      <c r="M190" s="9"/>
      <c r="N190" s="9"/>
      <c r="O190" s="9"/>
      <c r="P190" s="9"/>
      <c r="Q190" s="9"/>
      <c r="R190" s="9"/>
      <c r="S190" s="9"/>
    </row>
    <row r="191" spans="5:19" ht="15.75" customHeight="1" x14ac:dyDescent="0.3">
      <c r="E191" s="9"/>
      <c r="F191" s="9"/>
      <c r="H191" s="9"/>
      <c r="M191" s="9"/>
      <c r="N191" s="9"/>
      <c r="O191" s="9"/>
      <c r="P191" s="9"/>
      <c r="Q191" s="9"/>
      <c r="R191" s="9"/>
      <c r="S191" s="9"/>
    </row>
    <row r="192" spans="5:19" ht="15.75" customHeight="1" x14ac:dyDescent="0.3">
      <c r="E192" s="9"/>
      <c r="F192" s="9"/>
      <c r="H192" s="9"/>
      <c r="M192" s="9"/>
      <c r="N192" s="9"/>
      <c r="O192" s="9"/>
      <c r="P192" s="9"/>
      <c r="Q192" s="9"/>
      <c r="R192" s="9"/>
      <c r="S192" s="9"/>
    </row>
    <row r="193" spans="5:19" ht="15.75" customHeight="1" x14ac:dyDescent="0.3">
      <c r="E193" s="9"/>
      <c r="F193" s="9"/>
      <c r="H193" s="9"/>
      <c r="M193" s="9"/>
      <c r="N193" s="9"/>
      <c r="O193" s="9"/>
      <c r="P193" s="9"/>
      <c r="Q193" s="9"/>
      <c r="R193" s="9"/>
      <c r="S193" s="9"/>
    </row>
    <row r="194" spans="5:19" ht="15.75" customHeight="1" x14ac:dyDescent="0.3">
      <c r="E194" s="9"/>
      <c r="F194" s="9"/>
      <c r="H194" s="9"/>
      <c r="M194" s="9"/>
      <c r="N194" s="9"/>
      <c r="O194" s="9"/>
      <c r="P194" s="9"/>
      <c r="Q194" s="9"/>
      <c r="R194" s="9"/>
      <c r="S194" s="9"/>
    </row>
    <row r="195" spans="5:19" ht="15.75" customHeight="1" x14ac:dyDescent="0.3">
      <c r="E195" s="9"/>
      <c r="F195" s="9"/>
      <c r="H195" s="9"/>
      <c r="M195" s="9"/>
      <c r="N195" s="9"/>
      <c r="O195" s="9"/>
      <c r="P195" s="9"/>
      <c r="Q195" s="9"/>
      <c r="R195" s="9"/>
      <c r="S195" s="9"/>
    </row>
    <row r="196" spans="5:19" ht="15.75" customHeight="1" x14ac:dyDescent="0.3">
      <c r="E196" s="9"/>
      <c r="F196" s="9"/>
      <c r="H196" s="9"/>
      <c r="M196" s="9"/>
      <c r="N196" s="9"/>
      <c r="O196" s="9"/>
      <c r="P196" s="9"/>
      <c r="Q196" s="9"/>
      <c r="R196" s="9"/>
      <c r="S196" s="9"/>
    </row>
    <row r="197" spans="5:19" ht="15.75" customHeight="1" x14ac:dyDescent="0.3">
      <c r="E197" s="9"/>
      <c r="F197" s="9"/>
      <c r="H197" s="9"/>
      <c r="M197" s="9"/>
      <c r="N197" s="9"/>
      <c r="O197" s="9"/>
      <c r="P197" s="9"/>
      <c r="Q197" s="9"/>
      <c r="R197" s="9"/>
      <c r="S197" s="9"/>
    </row>
    <row r="198" spans="5:19" ht="15.75" customHeight="1" x14ac:dyDescent="0.3">
      <c r="E198" s="9"/>
      <c r="F198" s="9"/>
      <c r="H198" s="9"/>
      <c r="M198" s="9"/>
      <c r="N198" s="9"/>
      <c r="O198" s="9"/>
      <c r="P198" s="9"/>
      <c r="Q198" s="9"/>
      <c r="R198" s="9"/>
      <c r="S198" s="9"/>
    </row>
    <row r="199" spans="5:19" ht="15.75" customHeight="1" x14ac:dyDescent="0.3">
      <c r="E199" s="9"/>
      <c r="F199" s="9"/>
      <c r="H199" s="9"/>
      <c r="M199" s="9"/>
      <c r="N199" s="9"/>
      <c r="O199" s="9"/>
      <c r="P199" s="9"/>
      <c r="Q199" s="9"/>
      <c r="R199" s="9"/>
      <c r="S199" s="9"/>
    </row>
    <row r="200" spans="5:19" ht="15.75" customHeight="1" x14ac:dyDescent="0.3">
      <c r="E200" s="9"/>
      <c r="F200" s="9"/>
      <c r="H200" s="9"/>
      <c r="M200" s="9"/>
      <c r="N200" s="9"/>
      <c r="O200" s="9"/>
      <c r="P200" s="9"/>
      <c r="Q200" s="9"/>
      <c r="R200" s="9"/>
      <c r="S200" s="9"/>
    </row>
    <row r="201" spans="5:19" ht="15.75" customHeight="1" x14ac:dyDescent="0.3">
      <c r="E201" s="9"/>
      <c r="F201" s="9"/>
      <c r="H201" s="9"/>
      <c r="M201" s="9"/>
      <c r="N201" s="9"/>
      <c r="O201" s="9"/>
      <c r="P201" s="9"/>
      <c r="Q201" s="9"/>
      <c r="R201" s="9"/>
      <c r="S201" s="9"/>
    </row>
    <row r="202" spans="5:19" ht="15.75" customHeight="1" x14ac:dyDescent="0.3">
      <c r="E202" s="9"/>
      <c r="F202" s="9"/>
      <c r="H202" s="9"/>
      <c r="M202" s="9"/>
      <c r="N202" s="9"/>
      <c r="O202" s="9"/>
      <c r="P202" s="9"/>
      <c r="Q202" s="9"/>
      <c r="R202" s="9"/>
      <c r="S202" s="9"/>
    </row>
    <row r="203" spans="5:19" ht="15.75" customHeight="1" x14ac:dyDescent="0.3">
      <c r="E203" s="9"/>
      <c r="F203" s="9"/>
      <c r="H203" s="9"/>
      <c r="M203" s="9"/>
      <c r="N203" s="9"/>
      <c r="O203" s="9"/>
      <c r="P203" s="9"/>
      <c r="Q203" s="9"/>
      <c r="R203" s="9"/>
      <c r="S203" s="9"/>
    </row>
    <row r="204" spans="5:19" ht="15.75" customHeight="1" x14ac:dyDescent="0.3">
      <c r="E204" s="9"/>
      <c r="F204" s="9"/>
      <c r="H204" s="9"/>
      <c r="M204" s="9"/>
      <c r="N204" s="9"/>
      <c r="O204" s="9"/>
      <c r="P204" s="9"/>
      <c r="Q204" s="9"/>
      <c r="R204" s="9"/>
      <c r="S204" s="9"/>
    </row>
    <row r="205" spans="5:19" ht="15.75" customHeight="1" x14ac:dyDescent="0.3">
      <c r="E205" s="9"/>
      <c r="F205" s="9"/>
      <c r="H205" s="9"/>
      <c r="M205" s="9"/>
      <c r="N205" s="9"/>
      <c r="O205" s="9"/>
      <c r="P205" s="9"/>
      <c r="Q205" s="9"/>
      <c r="R205" s="9"/>
      <c r="S205" s="9"/>
    </row>
    <row r="206" spans="5:19" ht="15.75" customHeight="1" x14ac:dyDescent="0.3">
      <c r="E206" s="9"/>
      <c r="F206" s="9"/>
      <c r="H206" s="9"/>
      <c r="M206" s="9"/>
      <c r="N206" s="9"/>
      <c r="O206" s="9"/>
      <c r="P206" s="9"/>
      <c r="Q206" s="9"/>
      <c r="R206" s="9"/>
      <c r="S206" s="9"/>
    </row>
    <row r="207" spans="5:19" ht="15.75" customHeight="1" x14ac:dyDescent="0.3">
      <c r="E207" s="9"/>
      <c r="F207" s="9"/>
      <c r="H207" s="9"/>
      <c r="M207" s="9"/>
      <c r="N207" s="9"/>
      <c r="O207" s="9"/>
      <c r="P207" s="9"/>
      <c r="Q207" s="9"/>
      <c r="R207" s="9"/>
      <c r="S207" s="9"/>
    </row>
    <row r="208" spans="5:19" ht="15.75" customHeight="1" x14ac:dyDescent="0.3">
      <c r="E208" s="9"/>
      <c r="F208" s="9"/>
      <c r="H208" s="9"/>
      <c r="M208" s="9"/>
      <c r="N208" s="9"/>
      <c r="O208" s="9"/>
      <c r="P208" s="9"/>
      <c r="Q208" s="9"/>
      <c r="R208" s="9"/>
      <c r="S208" s="9"/>
    </row>
    <row r="209" spans="5:19" ht="15.75" customHeight="1" x14ac:dyDescent="0.3">
      <c r="E209" s="9"/>
      <c r="F209" s="9"/>
      <c r="H209" s="9"/>
      <c r="M209" s="9"/>
      <c r="N209" s="9"/>
      <c r="O209" s="9"/>
      <c r="P209" s="9"/>
      <c r="Q209" s="9"/>
      <c r="R209" s="9"/>
      <c r="S209" s="9"/>
    </row>
    <row r="210" spans="5:19" ht="15.75" customHeight="1" x14ac:dyDescent="0.3">
      <c r="E210" s="9"/>
      <c r="F210" s="9"/>
      <c r="H210" s="9"/>
      <c r="M210" s="9"/>
      <c r="N210" s="9"/>
      <c r="O210" s="9"/>
      <c r="P210" s="9"/>
      <c r="Q210" s="9"/>
      <c r="R210" s="9"/>
      <c r="S210" s="9"/>
    </row>
    <row r="211" spans="5:19" ht="15.75" customHeight="1" x14ac:dyDescent="0.3">
      <c r="E211" s="9"/>
      <c r="F211" s="9"/>
      <c r="H211" s="9"/>
      <c r="M211" s="9"/>
      <c r="N211" s="9"/>
      <c r="O211" s="9"/>
      <c r="P211" s="9"/>
      <c r="Q211" s="9"/>
      <c r="R211" s="9"/>
      <c r="S211" s="9"/>
    </row>
    <row r="212" spans="5:19" ht="15.75" customHeight="1" x14ac:dyDescent="0.3">
      <c r="E212" s="9"/>
      <c r="F212" s="9"/>
      <c r="H212" s="9"/>
      <c r="M212" s="9"/>
      <c r="N212" s="9"/>
      <c r="O212" s="9"/>
      <c r="P212" s="9"/>
      <c r="Q212" s="9"/>
      <c r="R212" s="9"/>
      <c r="S212" s="9"/>
    </row>
    <row r="213" spans="5:19" ht="15.75" customHeight="1" x14ac:dyDescent="0.3">
      <c r="E213" s="9"/>
      <c r="F213" s="9"/>
      <c r="H213" s="9"/>
      <c r="M213" s="9"/>
      <c r="N213" s="9"/>
      <c r="O213" s="9"/>
      <c r="P213" s="9"/>
      <c r="Q213" s="9"/>
      <c r="R213" s="9"/>
      <c r="S213" s="9"/>
    </row>
    <row r="214" spans="5:19" ht="15.75" customHeight="1" x14ac:dyDescent="0.3">
      <c r="E214" s="9"/>
      <c r="F214" s="9"/>
      <c r="H214" s="9"/>
      <c r="M214" s="9"/>
      <c r="N214" s="9"/>
      <c r="O214" s="9"/>
      <c r="P214" s="9"/>
      <c r="Q214" s="9"/>
      <c r="R214" s="9"/>
      <c r="S214" s="9"/>
    </row>
    <row r="215" spans="5:19" ht="15.75" customHeight="1" x14ac:dyDescent="0.3">
      <c r="E215" s="9"/>
      <c r="F215" s="9"/>
      <c r="H215" s="9"/>
      <c r="M215" s="9"/>
      <c r="N215" s="9"/>
      <c r="O215" s="9"/>
      <c r="P215" s="9"/>
      <c r="Q215" s="9"/>
      <c r="R215" s="9"/>
      <c r="S215" s="9"/>
    </row>
    <row r="216" spans="5:19" ht="15.75" customHeight="1" x14ac:dyDescent="0.3">
      <c r="E216" s="9"/>
      <c r="F216" s="9"/>
      <c r="H216" s="9"/>
      <c r="M216" s="9"/>
      <c r="N216" s="9"/>
      <c r="O216" s="9"/>
      <c r="P216" s="9"/>
      <c r="Q216" s="9"/>
      <c r="R216" s="9"/>
      <c r="S216" s="9"/>
    </row>
    <row r="217" spans="5:19" ht="15.75" customHeight="1" x14ac:dyDescent="0.3">
      <c r="E217" s="9"/>
      <c r="F217" s="9"/>
      <c r="H217" s="9"/>
      <c r="M217" s="9"/>
      <c r="N217" s="9"/>
      <c r="O217" s="9"/>
      <c r="P217" s="9"/>
      <c r="Q217" s="9"/>
      <c r="R217" s="9"/>
      <c r="S217" s="9"/>
    </row>
    <row r="218" spans="5:19" ht="15.75" customHeight="1" x14ac:dyDescent="0.3">
      <c r="E218" s="9"/>
      <c r="F218" s="9"/>
      <c r="H218" s="9"/>
      <c r="M218" s="9"/>
      <c r="N218" s="9"/>
      <c r="O218" s="9"/>
      <c r="P218" s="9"/>
      <c r="Q218" s="9"/>
      <c r="R218" s="9"/>
      <c r="S218" s="9"/>
    </row>
    <row r="219" spans="5:19" ht="15.75" customHeight="1" x14ac:dyDescent="0.3">
      <c r="E219" s="9"/>
      <c r="F219" s="9"/>
      <c r="H219" s="9"/>
      <c r="M219" s="9"/>
      <c r="N219" s="9"/>
      <c r="O219" s="9"/>
      <c r="P219" s="9"/>
      <c r="Q219" s="9"/>
      <c r="R219" s="9"/>
      <c r="S219" s="9"/>
    </row>
    <row r="220" spans="5:19" ht="15.75" customHeight="1" x14ac:dyDescent="0.3">
      <c r="E220" s="9"/>
      <c r="F220" s="9"/>
      <c r="H220" s="9"/>
      <c r="M220" s="9"/>
      <c r="N220" s="9"/>
      <c r="O220" s="9"/>
      <c r="P220" s="9"/>
      <c r="Q220" s="9"/>
      <c r="R220" s="9"/>
      <c r="S220" s="9"/>
    </row>
    <row r="221" spans="5:19" ht="15.75" customHeight="1" x14ac:dyDescent="0.3">
      <c r="E221" s="9"/>
      <c r="F221" s="9"/>
      <c r="H221" s="9"/>
      <c r="M221" s="9"/>
      <c r="N221" s="9"/>
      <c r="O221" s="9"/>
      <c r="P221" s="9"/>
      <c r="Q221" s="9"/>
      <c r="R221" s="9"/>
      <c r="S221" s="9"/>
    </row>
    <row r="222" spans="5:19" ht="15.75" customHeight="1" x14ac:dyDescent="0.3">
      <c r="E222" s="9"/>
      <c r="F222" s="9"/>
      <c r="H222" s="9"/>
      <c r="M222" s="9"/>
      <c r="N222" s="9"/>
      <c r="O222" s="9"/>
      <c r="P222" s="9"/>
      <c r="Q222" s="9"/>
      <c r="R222" s="9"/>
      <c r="S222" s="9"/>
    </row>
    <row r="223" spans="5:19" ht="15.75" customHeight="1" x14ac:dyDescent="0.3">
      <c r="E223" s="9"/>
      <c r="F223" s="9"/>
      <c r="H223" s="9"/>
      <c r="M223" s="9"/>
      <c r="N223" s="9"/>
      <c r="O223" s="9"/>
      <c r="P223" s="9"/>
      <c r="Q223" s="9"/>
      <c r="R223" s="9"/>
      <c r="S223" s="9"/>
    </row>
    <row r="224" spans="5:19" ht="15.75" customHeight="1" x14ac:dyDescent="0.3">
      <c r="E224" s="9"/>
      <c r="F224" s="9"/>
      <c r="H224" s="9"/>
      <c r="M224" s="9"/>
      <c r="N224" s="9"/>
      <c r="O224" s="9"/>
      <c r="P224" s="9"/>
      <c r="Q224" s="9"/>
      <c r="R224" s="9"/>
      <c r="S224" s="9"/>
    </row>
    <row r="225" spans="5:19" ht="15.75" customHeight="1" x14ac:dyDescent="0.3">
      <c r="E225" s="9"/>
      <c r="F225" s="9"/>
      <c r="H225" s="9"/>
      <c r="M225" s="9"/>
      <c r="N225" s="9"/>
      <c r="O225" s="9"/>
      <c r="P225" s="9"/>
      <c r="Q225" s="9"/>
      <c r="R225" s="9"/>
      <c r="S225" s="9"/>
    </row>
    <row r="226" spans="5:19" ht="15.75" customHeight="1" x14ac:dyDescent="0.3">
      <c r="E226" s="9"/>
      <c r="F226" s="9"/>
      <c r="H226" s="9"/>
      <c r="M226" s="9"/>
      <c r="N226" s="9"/>
      <c r="O226" s="9"/>
      <c r="P226" s="9"/>
      <c r="Q226" s="9"/>
      <c r="R226" s="9"/>
      <c r="S226" s="9"/>
    </row>
    <row r="227" spans="5:19" ht="15.75" customHeight="1" x14ac:dyDescent="0.3">
      <c r="E227" s="9"/>
      <c r="F227" s="9"/>
      <c r="H227" s="9"/>
      <c r="M227" s="9"/>
      <c r="N227" s="9"/>
      <c r="O227" s="9"/>
      <c r="P227" s="9"/>
      <c r="Q227" s="9"/>
      <c r="R227" s="9"/>
      <c r="S227" s="9"/>
    </row>
    <row r="228" spans="5:19" ht="15.75" customHeight="1" x14ac:dyDescent="0.3">
      <c r="E228" s="9"/>
      <c r="F228" s="9"/>
      <c r="H228" s="9"/>
      <c r="M228" s="9"/>
      <c r="N228" s="9"/>
      <c r="O228" s="9"/>
      <c r="P228" s="9"/>
      <c r="Q228" s="9"/>
      <c r="R228" s="9"/>
      <c r="S228" s="9"/>
    </row>
    <row r="229" spans="5:19" ht="15.75" customHeight="1" x14ac:dyDescent="0.3">
      <c r="E229" s="9"/>
      <c r="F229" s="9"/>
      <c r="H229" s="9"/>
      <c r="M229" s="9"/>
      <c r="N229" s="9"/>
      <c r="O229" s="9"/>
      <c r="P229" s="9"/>
      <c r="Q229" s="9"/>
      <c r="R229" s="9"/>
      <c r="S229" s="9"/>
    </row>
    <row r="230" spans="5:19" ht="15.75" customHeight="1" x14ac:dyDescent="0.3">
      <c r="E230" s="9"/>
      <c r="F230" s="9"/>
      <c r="H230" s="9"/>
      <c r="M230" s="9"/>
      <c r="N230" s="9"/>
      <c r="O230" s="9"/>
      <c r="P230" s="9"/>
      <c r="Q230" s="9"/>
      <c r="R230" s="9"/>
      <c r="S230" s="9"/>
    </row>
    <row r="231" spans="5:19" ht="15.75" customHeight="1" x14ac:dyDescent="0.3">
      <c r="E231" s="9"/>
      <c r="F231" s="9"/>
      <c r="H231" s="9"/>
      <c r="M231" s="9"/>
      <c r="N231" s="9"/>
      <c r="O231" s="9"/>
      <c r="P231" s="9"/>
      <c r="Q231" s="9"/>
      <c r="R231" s="9"/>
      <c r="S231" s="9"/>
    </row>
    <row r="232" spans="5:19" ht="15.75" customHeight="1" x14ac:dyDescent="0.3">
      <c r="E232" s="9"/>
      <c r="F232" s="9"/>
      <c r="H232" s="9"/>
      <c r="M232" s="9"/>
      <c r="N232" s="9"/>
      <c r="O232" s="9"/>
      <c r="P232" s="9"/>
      <c r="Q232" s="9"/>
      <c r="R232" s="9"/>
      <c r="S232" s="9"/>
    </row>
    <row r="233" spans="5:19" ht="15.75" customHeight="1" x14ac:dyDescent="0.3">
      <c r="E233" s="9"/>
      <c r="F233" s="9"/>
      <c r="H233" s="9"/>
      <c r="M233" s="9"/>
      <c r="N233" s="9"/>
      <c r="O233" s="9"/>
      <c r="P233" s="9"/>
      <c r="Q233" s="9"/>
      <c r="R233" s="9"/>
      <c r="S233" s="9"/>
    </row>
    <row r="234" spans="5:19" ht="15.75" customHeight="1" x14ac:dyDescent="0.3">
      <c r="E234" s="9"/>
      <c r="F234" s="9"/>
      <c r="H234" s="9"/>
      <c r="M234" s="9"/>
      <c r="N234" s="9"/>
      <c r="O234" s="9"/>
      <c r="P234" s="9"/>
      <c r="Q234" s="9"/>
      <c r="R234" s="9"/>
      <c r="S234" s="9"/>
    </row>
    <row r="235" spans="5:19" ht="15.75" customHeight="1" x14ac:dyDescent="0.3">
      <c r="E235" s="9"/>
      <c r="F235" s="9"/>
      <c r="H235" s="9"/>
      <c r="M235" s="9"/>
      <c r="N235" s="9"/>
      <c r="O235" s="9"/>
      <c r="P235" s="9"/>
      <c r="Q235" s="9"/>
      <c r="R235" s="9"/>
      <c r="S235" s="9"/>
    </row>
    <row r="236" spans="5:19" ht="15.75" customHeight="1" x14ac:dyDescent="0.3">
      <c r="E236" s="9"/>
      <c r="F236" s="9"/>
      <c r="H236" s="9"/>
      <c r="M236" s="9"/>
      <c r="N236" s="9"/>
      <c r="O236" s="9"/>
      <c r="P236" s="9"/>
      <c r="Q236" s="9"/>
      <c r="R236" s="9"/>
      <c r="S236" s="9"/>
    </row>
    <row r="237" spans="5:19" ht="15.75" customHeight="1" x14ac:dyDescent="0.3">
      <c r="E237" s="9"/>
      <c r="F237" s="9"/>
      <c r="H237" s="9"/>
      <c r="M237" s="9"/>
      <c r="N237" s="9"/>
      <c r="O237" s="9"/>
      <c r="P237" s="9"/>
      <c r="Q237" s="9"/>
      <c r="R237" s="9"/>
      <c r="S237" s="9"/>
    </row>
    <row r="238" spans="5:19" ht="15.75" customHeight="1" x14ac:dyDescent="0.3">
      <c r="E238" s="9"/>
      <c r="F238" s="9"/>
      <c r="H238" s="9"/>
      <c r="M238" s="9"/>
      <c r="N238" s="9"/>
      <c r="O238" s="9"/>
      <c r="P238" s="9"/>
      <c r="Q238" s="9"/>
      <c r="R238" s="9"/>
      <c r="S238" s="9"/>
    </row>
    <row r="239" spans="5:19" ht="15.75" customHeight="1" x14ac:dyDescent="0.3">
      <c r="E239" s="9"/>
      <c r="F239" s="9"/>
      <c r="H239" s="9"/>
      <c r="M239" s="9"/>
      <c r="N239" s="9"/>
      <c r="O239" s="9"/>
      <c r="P239" s="9"/>
      <c r="Q239" s="9"/>
      <c r="R239" s="9"/>
      <c r="S239" s="9"/>
    </row>
    <row r="240" spans="5:19" ht="15.75" customHeight="1" x14ac:dyDescent="0.3">
      <c r="E240" s="9"/>
      <c r="F240" s="9"/>
      <c r="H240" s="9"/>
      <c r="M240" s="9"/>
      <c r="N240" s="9"/>
      <c r="O240" s="9"/>
      <c r="P240" s="9"/>
      <c r="Q240" s="9"/>
      <c r="R240" s="9"/>
      <c r="S240" s="9"/>
    </row>
    <row r="241" spans="5:19" ht="15.75" customHeight="1" x14ac:dyDescent="0.3">
      <c r="E241" s="9"/>
      <c r="F241" s="9"/>
      <c r="H241" s="9"/>
      <c r="M241" s="9"/>
      <c r="N241" s="9"/>
      <c r="O241" s="9"/>
      <c r="P241" s="9"/>
      <c r="Q241" s="9"/>
      <c r="R241" s="9"/>
      <c r="S241" s="9"/>
    </row>
    <row r="242" spans="5:19" ht="15.75" customHeight="1" x14ac:dyDescent="0.3">
      <c r="E242" s="9"/>
      <c r="F242" s="9"/>
      <c r="H242" s="9"/>
      <c r="M242" s="9"/>
      <c r="N242" s="9"/>
      <c r="O242" s="9"/>
      <c r="P242" s="9"/>
      <c r="Q242" s="9"/>
      <c r="R242" s="9"/>
      <c r="S242" s="9"/>
    </row>
    <row r="243" spans="5:19" ht="15.75" customHeight="1" x14ac:dyDescent="0.3">
      <c r="E243" s="9"/>
      <c r="F243" s="9"/>
      <c r="H243" s="9"/>
      <c r="M243" s="9"/>
      <c r="N243" s="9"/>
      <c r="O243" s="9"/>
      <c r="P243" s="9"/>
      <c r="Q243" s="9"/>
      <c r="R243" s="9"/>
      <c r="S243" s="9"/>
    </row>
    <row r="244" spans="5:19" ht="15.75" customHeight="1" x14ac:dyDescent="0.3">
      <c r="E244" s="9"/>
      <c r="F244" s="9"/>
      <c r="H244" s="9"/>
      <c r="M244" s="9"/>
      <c r="N244" s="9"/>
      <c r="O244" s="9"/>
      <c r="P244" s="9"/>
      <c r="Q244" s="9"/>
      <c r="R244" s="9"/>
      <c r="S244" s="9"/>
    </row>
    <row r="245" spans="5:19" ht="15.75" customHeight="1" x14ac:dyDescent="0.3">
      <c r="E245" s="9"/>
      <c r="F245" s="9"/>
      <c r="H245" s="9"/>
      <c r="M245" s="9"/>
      <c r="N245" s="9"/>
      <c r="O245" s="9"/>
      <c r="P245" s="9"/>
      <c r="Q245" s="9"/>
      <c r="R245" s="9"/>
      <c r="S245" s="9"/>
    </row>
    <row r="246" spans="5:19" ht="15.75" customHeight="1" x14ac:dyDescent="0.3">
      <c r="E246" s="9"/>
      <c r="F246" s="9"/>
      <c r="H246" s="9"/>
      <c r="M246" s="9"/>
      <c r="N246" s="9"/>
      <c r="O246" s="9"/>
      <c r="P246" s="9"/>
      <c r="Q246" s="9"/>
      <c r="R246" s="9"/>
      <c r="S246" s="9"/>
    </row>
    <row r="247" spans="5:19" ht="15.75" customHeight="1" x14ac:dyDescent="0.3">
      <c r="E247" s="9"/>
      <c r="F247" s="9"/>
      <c r="H247" s="9"/>
      <c r="M247" s="9"/>
      <c r="N247" s="9"/>
      <c r="O247" s="9"/>
      <c r="P247" s="9"/>
      <c r="Q247" s="9"/>
      <c r="R247" s="9"/>
      <c r="S247" s="9"/>
    </row>
    <row r="248" spans="5:19" ht="15.75" customHeight="1" x14ac:dyDescent="0.3">
      <c r="E248" s="9"/>
      <c r="F248" s="9"/>
      <c r="H248" s="9"/>
      <c r="M248" s="9"/>
      <c r="N248" s="9"/>
      <c r="O248" s="9"/>
      <c r="P248" s="9"/>
      <c r="Q248" s="9"/>
      <c r="R248" s="9"/>
      <c r="S248" s="9"/>
    </row>
    <row r="249" spans="5:19" ht="15.75" customHeight="1" x14ac:dyDescent="0.3">
      <c r="E249" s="9"/>
      <c r="F249" s="9"/>
      <c r="H249" s="9"/>
      <c r="M249" s="9"/>
      <c r="N249" s="9"/>
      <c r="O249" s="9"/>
      <c r="P249" s="9"/>
      <c r="Q249" s="9"/>
      <c r="R249" s="9"/>
      <c r="S249" s="9"/>
    </row>
    <row r="250" spans="5:19" ht="15.75" customHeight="1" x14ac:dyDescent="0.3">
      <c r="E250" s="9"/>
      <c r="F250" s="9"/>
      <c r="H250" s="9"/>
      <c r="M250" s="9"/>
      <c r="N250" s="9"/>
      <c r="O250" s="9"/>
      <c r="P250" s="9"/>
      <c r="Q250" s="9"/>
      <c r="R250" s="9"/>
      <c r="S250" s="9"/>
    </row>
    <row r="251" spans="5:19" ht="15.75" customHeight="1" x14ac:dyDescent="0.3">
      <c r="E251" s="9"/>
      <c r="F251" s="9"/>
      <c r="H251" s="9"/>
      <c r="M251" s="9"/>
      <c r="N251" s="9"/>
      <c r="O251" s="9"/>
      <c r="P251" s="9"/>
      <c r="Q251" s="9"/>
      <c r="R251" s="9"/>
      <c r="S251" s="9"/>
    </row>
    <row r="252" spans="5:19" ht="15.75" customHeight="1" x14ac:dyDescent="0.3">
      <c r="E252" s="9"/>
      <c r="F252" s="9"/>
      <c r="H252" s="9"/>
      <c r="M252" s="9"/>
      <c r="N252" s="9"/>
      <c r="O252" s="9"/>
      <c r="P252" s="9"/>
      <c r="Q252" s="9"/>
      <c r="R252" s="9"/>
      <c r="S252" s="9"/>
    </row>
    <row r="253" spans="5:19" ht="15.75" customHeight="1" x14ac:dyDescent="0.3">
      <c r="E253" s="9"/>
      <c r="F253" s="9"/>
      <c r="H253" s="9"/>
      <c r="M253" s="9"/>
      <c r="N253" s="9"/>
      <c r="O253" s="9"/>
      <c r="P253" s="9"/>
      <c r="Q253" s="9"/>
      <c r="R253" s="9"/>
      <c r="S253" s="9"/>
    </row>
    <row r="254" spans="5:19" ht="15.75" customHeight="1" x14ac:dyDescent="0.3">
      <c r="E254" s="9"/>
      <c r="F254" s="9"/>
      <c r="H254" s="9"/>
      <c r="M254" s="9"/>
      <c r="N254" s="9"/>
      <c r="O254" s="9"/>
      <c r="P254" s="9"/>
      <c r="Q254" s="9"/>
      <c r="R254" s="9"/>
      <c r="S254" s="9"/>
    </row>
    <row r="255" spans="5:19" ht="15.75" customHeight="1" x14ac:dyDescent="0.3">
      <c r="E255" s="9"/>
      <c r="F255" s="9"/>
      <c r="H255" s="9"/>
      <c r="M255" s="9"/>
      <c r="N255" s="9"/>
      <c r="O255" s="9"/>
      <c r="P255" s="9"/>
      <c r="Q255" s="9"/>
      <c r="R255" s="9"/>
      <c r="S255" s="9"/>
    </row>
    <row r="256" spans="5:19" ht="15.75" customHeight="1" x14ac:dyDescent="0.3">
      <c r="E256" s="9"/>
      <c r="F256" s="9"/>
      <c r="H256" s="9"/>
      <c r="M256" s="9"/>
      <c r="N256" s="9"/>
      <c r="O256" s="9"/>
      <c r="P256" s="9"/>
      <c r="Q256" s="9"/>
      <c r="R256" s="9"/>
      <c r="S256" s="9"/>
    </row>
    <row r="257" spans="5:19" ht="15.75" customHeight="1" x14ac:dyDescent="0.3">
      <c r="E257" s="9"/>
      <c r="F257" s="9"/>
      <c r="H257" s="9"/>
      <c r="M257" s="9"/>
      <c r="N257" s="9"/>
      <c r="O257" s="9"/>
      <c r="P257" s="9"/>
      <c r="Q257" s="9"/>
      <c r="R257" s="9"/>
      <c r="S257" s="9"/>
    </row>
    <row r="258" spans="5:19" ht="15.75" customHeight="1" x14ac:dyDescent="0.3">
      <c r="E258" s="9"/>
      <c r="F258" s="9"/>
      <c r="H258" s="9"/>
      <c r="M258" s="9"/>
      <c r="N258" s="9"/>
      <c r="O258" s="9"/>
      <c r="P258" s="9"/>
      <c r="Q258" s="9"/>
      <c r="R258" s="9"/>
      <c r="S258" s="9"/>
    </row>
    <row r="259" spans="5:19" ht="15.75" customHeight="1" x14ac:dyDescent="0.3">
      <c r="E259" s="9"/>
      <c r="F259" s="9"/>
      <c r="H259" s="9"/>
      <c r="M259" s="9"/>
      <c r="N259" s="9"/>
      <c r="O259" s="9"/>
      <c r="P259" s="9"/>
      <c r="Q259" s="9"/>
      <c r="R259" s="9"/>
      <c r="S259" s="9"/>
    </row>
    <row r="260" spans="5:19" ht="15.75" customHeight="1" x14ac:dyDescent="0.3">
      <c r="E260" s="9"/>
      <c r="F260" s="9"/>
      <c r="H260" s="9"/>
      <c r="M260" s="9"/>
      <c r="N260" s="9"/>
      <c r="O260" s="9"/>
      <c r="P260" s="9"/>
      <c r="Q260" s="9"/>
      <c r="R260" s="9"/>
      <c r="S260" s="9"/>
    </row>
    <row r="261" spans="5:19" ht="15.75" customHeight="1" x14ac:dyDescent="0.3">
      <c r="E261" s="9"/>
      <c r="F261" s="9"/>
      <c r="H261" s="9"/>
      <c r="M261" s="9"/>
      <c r="N261" s="9"/>
      <c r="O261" s="9"/>
      <c r="P261" s="9"/>
      <c r="Q261" s="9"/>
      <c r="R261" s="9"/>
      <c r="S261" s="9"/>
    </row>
    <row r="262" spans="5:19" ht="15.75" customHeight="1" x14ac:dyDescent="0.3">
      <c r="E262" s="9"/>
      <c r="F262" s="9"/>
      <c r="H262" s="9"/>
      <c r="M262" s="9"/>
      <c r="N262" s="9"/>
      <c r="O262" s="9"/>
      <c r="P262" s="9"/>
      <c r="Q262" s="9"/>
      <c r="R262" s="9"/>
      <c r="S262" s="9"/>
    </row>
    <row r="263" spans="5:19" ht="15.75" customHeight="1" x14ac:dyDescent="0.3">
      <c r="E263" s="9"/>
      <c r="F263" s="9"/>
      <c r="H263" s="9"/>
      <c r="M263" s="9"/>
      <c r="N263" s="9"/>
      <c r="O263" s="9"/>
      <c r="P263" s="9"/>
      <c r="Q263" s="9"/>
      <c r="R263" s="9"/>
      <c r="S263" s="9"/>
    </row>
    <row r="264" spans="5:19" ht="15.75" customHeight="1" x14ac:dyDescent="0.3">
      <c r="E264" s="9"/>
      <c r="F264" s="9"/>
      <c r="H264" s="9"/>
      <c r="M264" s="9"/>
      <c r="N264" s="9"/>
      <c r="O264" s="9"/>
      <c r="P264" s="9"/>
      <c r="Q264" s="9"/>
      <c r="R264" s="9"/>
      <c r="S264" s="9"/>
    </row>
    <row r="265" spans="5:19" ht="15.75" customHeight="1" x14ac:dyDescent="0.3">
      <c r="E265" s="9"/>
      <c r="F265" s="9"/>
      <c r="H265" s="9"/>
      <c r="M265" s="9"/>
      <c r="N265" s="9"/>
      <c r="O265" s="9"/>
      <c r="P265" s="9"/>
      <c r="Q265" s="9"/>
      <c r="R265" s="9"/>
      <c r="S265" s="9"/>
    </row>
    <row r="266" spans="5:19" ht="15.75" customHeight="1" x14ac:dyDescent="0.3">
      <c r="E266" s="9"/>
      <c r="F266" s="9"/>
      <c r="H266" s="9"/>
      <c r="M266" s="9"/>
      <c r="N266" s="9"/>
      <c r="O266" s="9"/>
      <c r="P266" s="9"/>
      <c r="Q266" s="9"/>
      <c r="R266" s="9"/>
      <c r="S266" s="9"/>
    </row>
    <row r="267" spans="5:19" ht="15.75" customHeight="1" x14ac:dyDescent="0.3">
      <c r="E267" s="9"/>
      <c r="F267" s="9"/>
      <c r="H267" s="9"/>
      <c r="M267" s="9"/>
      <c r="N267" s="9"/>
      <c r="O267" s="9"/>
      <c r="P267" s="9"/>
      <c r="Q267" s="9"/>
      <c r="R267" s="9"/>
      <c r="S267" s="9"/>
    </row>
    <row r="268" spans="5:19" ht="15.75" customHeight="1" x14ac:dyDescent="0.3">
      <c r="E268" s="9"/>
      <c r="F268" s="9"/>
      <c r="H268" s="9"/>
      <c r="M268" s="9"/>
      <c r="N268" s="9"/>
      <c r="O268" s="9"/>
      <c r="P268" s="9"/>
      <c r="Q268" s="9"/>
      <c r="R268" s="9"/>
      <c r="S268" s="9"/>
    </row>
    <row r="269" spans="5:19" ht="15.75" customHeight="1" x14ac:dyDescent="0.3">
      <c r="E269" s="9"/>
      <c r="F269" s="9"/>
      <c r="H269" s="9"/>
      <c r="M269" s="9"/>
      <c r="N269" s="9"/>
      <c r="O269" s="9"/>
      <c r="P269" s="9"/>
      <c r="Q269" s="9"/>
      <c r="R269" s="9"/>
      <c r="S269" s="9"/>
    </row>
    <row r="270" spans="5:19" ht="15.75" customHeight="1" x14ac:dyDescent="0.3">
      <c r="E270" s="9"/>
      <c r="F270" s="9"/>
      <c r="H270" s="9"/>
      <c r="M270" s="9"/>
      <c r="N270" s="9"/>
      <c r="O270" s="9"/>
      <c r="P270" s="9"/>
      <c r="Q270" s="9"/>
      <c r="R270" s="9"/>
      <c r="S270" s="9"/>
    </row>
    <row r="271" spans="5:19" ht="15.75" customHeight="1" x14ac:dyDescent="0.3">
      <c r="E271" s="9"/>
      <c r="F271" s="9"/>
      <c r="H271" s="9"/>
      <c r="M271" s="9"/>
      <c r="N271" s="9"/>
      <c r="O271" s="9"/>
      <c r="P271" s="9"/>
      <c r="Q271" s="9"/>
      <c r="R271" s="9"/>
      <c r="S271" s="9"/>
    </row>
    <row r="272" spans="5:19" ht="15.75" customHeight="1" x14ac:dyDescent="0.3">
      <c r="E272" s="9"/>
      <c r="F272" s="9"/>
      <c r="H272" s="9"/>
      <c r="M272" s="9"/>
      <c r="N272" s="9"/>
      <c r="O272" s="9"/>
      <c r="P272" s="9"/>
      <c r="Q272" s="9"/>
      <c r="R272" s="9"/>
      <c r="S272" s="9"/>
    </row>
    <row r="273" spans="5:19" ht="15.75" customHeight="1" x14ac:dyDescent="0.3">
      <c r="E273" s="9"/>
      <c r="F273" s="9"/>
      <c r="H273" s="9"/>
      <c r="M273" s="9"/>
      <c r="N273" s="9"/>
      <c r="O273" s="9"/>
      <c r="P273" s="9"/>
      <c r="Q273" s="9"/>
      <c r="R273" s="9"/>
      <c r="S273" s="9"/>
    </row>
    <row r="274" spans="5:19" ht="15.75" customHeight="1" x14ac:dyDescent="0.3">
      <c r="E274" s="9"/>
      <c r="F274" s="9"/>
      <c r="H274" s="9"/>
      <c r="M274" s="9"/>
      <c r="N274" s="9"/>
      <c r="O274" s="9"/>
      <c r="P274" s="9"/>
      <c r="Q274" s="9"/>
      <c r="R274" s="9"/>
      <c r="S274" s="9"/>
    </row>
    <row r="275" spans="5:19" ht="15.75" customHeight="1" x14ac:dyDescent="0.3">
      <c r="E275" s="9"/>
      <c r="F275" s="9"/>
      <c r="H275" s="9"/>
      <c r="M275" s="9"/>
      <c r="N275" s="9"/>
      <c r="O275" s="9"/>
      <c r="P275" s="9"/>
      <c r="Q275" s="9"/>
      <c r="R275" s="9"/>
      <c r="S275" s="9"/>
    </row>
    <row r="276" spans="5:19" ht="15.75" customHeight="1" x14ac:dyDescent="0.3">
      <c r="E276" s="9"/>
      <c r="F276" s="9"/>
      <c r="H276" s="9"/>
      <c r="M276" s="9"/>
      <c r="N276" s="9"/>
      <c r="O276" s="9"/>
      <c r="P276" s="9"/>
      <c r="Q276" s="9"/>
      <c r="R276" s="9"/>
      <c r="S276" s="9"/>
    </row>
    <row r="277" spans="5:19" ht="15.75" customHeight="1" x14ac:dyDescent="0.3">
      <c r="E277" s="9"/>
      <c r="F277" s="9"/>
      <c r="H277" s="9"/>
      <c r="M277" s="9"/>
      <c r="N277" s="9"/>
      <c r="O277" s="9"/>
      <c r="P277" s="9"/>
      <c r="Q277" s="9"/>
      <c r="R277" s="9"/>
      <c r="S277" s="9"/>
    </row>
    <row r="278" spans="5:19" ht="15.75" customHeight="1" x14ac:dyDescent="0.3">
      <c r="E278" s="9"/>
      <c r="F278" s="9"/>
      <c r="H278" s="9"/>
      <c r="M278" s="9"/>
      <c r="N278" s="9"/>
      <c r="O278" s="9"/>
      <c r="P278" s="9"/>
      <c r="Q278" s="9"/>
      <c r="R278" s="9"/>
      <c r="S278" s="9"/>
    </row>
    <row r="279" spans="5:19" ht="15.75" customHeight="1" x14ac:dyDescent="0.3">
      <c r="E279" s="9"/>
      <c r="F279" s="9"/>
      <c r="H279" s="9"/>
      <c r="M279" s="9"/>
      <c r="N279" s="9"/>
      <c r="O279" s="9"/>
      <c r="P279" s="9"/>
      <c r="Q279" s="9"/>
      <c r="R279" s="9"/>
      <c r="S279" s="9"/>
    </row>
    <row r="280" spans="5:19" ht="15.75" customHeight="1" x14ac:dyDescent="0.3">
      <c r="E280" s="9"/>
      <c r="F280" s="9"/>
      <c r="H280" s="9"/>
      <c r="M280" s="9"/>
      <c r="N280" s="9"/>
      <c r="O280" s="9"/>
      <c r="P280" s="9"/>
      <c r="Q280" s="9"/>
      <c r="R280" s="9"/>
      <c r="S280" s="9"/>
    </row>
    <row r="281" spans="5:19" ht="15.75" customHeight="1" x14ac:dyDescent="0.3">
      <c r="E281" s="9"/>
      <c r="F281" s="9"/>
      <c r="H281" s="9"/>
      <c r="M281" s="9"/>
      <c r="N281" s="9"/>
      <c r="O281" s="9"/>
      <c r="P281" s="9"/>
      <c r="Q281" s="9"/>
      <c r="R281" s="9"/>
      <c r="S281" s="9"/>
    </row>
    <row r="282" spans="5:19" ht="15.75" customHeight="1" x14ac:dyDescent="0.3">
      <c r="E282" s="9"/>
      <c r="F282" s="9"/>
      <c r="H282" s="9"/>
      <c r="M282" s="9"/>
      <c r="N282" s="9"/>
      <c r="O282" s="9"/>
      <c r="P282" s="9"/>
      <c r="Q282" s="9"/>
      <c r="R282" s="9"/>
      <c r="S282" s="9"/>
    </row>
    <row r="283" spans="5:19" ht="15.75" customHeight="1" x14ac:dyDescent="0.3">
      <c r="E283" s="9"/>
      <c r="F283" s="9"/>
      <c r="H283" s="9"/>
      <c r="M283" s="9"/>
      <c r="N283" s="9"/>
      <c r="O283" s="9"/>
      <c r="P283" s="9"/>
      <c r="Q283" s="9"/>
      <c r="R283" s="9"/>
      <c r="S283" s="9"/>
    </row>
    <row r="284" spans="5:19" ht="15.75" customHeight="1" x14ac:dyDescent="0.3">
      <c r="E284" s="9"/>
      <c r="F284" s="9"/>
      <c r="H284" s="9"/>
      <c r="M284" s="9"/>
      <c r="N284" s="9"/>
      <c r="O284" s="9"/>
      <c r="P284" s="9"/>
      <c r="Q284" s="9"/>
      <c r="R284" s="9"/>
      <c r="S284" s="9"/>
    </row>
    <row r="285" spans="5:19" ht="15.75" customHeight="1" x14ac:dyDescent="0.3">
      <c r="E285" s="9"/>
      <c r="F285" s="9"/>
      <c r="H285" s="9"/>
      <c r="M285" s="9"/>
      <c r="N285" s="9"/>
      <c r="O285" s="9"/>
      <c r="P285" s="9"/>
      <c r="Q285" s="9"/>
      <c r="R285" s="9"/>
      <c r="S285" s="9"/>
    </row>
    <row r="286" spans="5:19" ht="15.75" customHeight="1" x14ac:dyDescent="0.3">
      <c r="E286" s="9"/>
      <c r="F286" s="9"/>
      <c r="H286" s="9"/>
      <c r="M286" s="9"/>
      <c r="N286" s="9"/>
      <c r="O286" s="9"/>
      <c r="P286" s="9"/>
      <c r="Q286" s="9"/>
      <c r="R286" s="9"/>
      <c r="S286" s="9"/>
    </row>
    <row r="287" spans="5:19" ht="15.75" customHeight="1" x14ac:dyDescent="0.3">
      <c r="E287" s="9"/>
      <c r="F287" s="9"/>
      <c r="H287" s="9"/>
      <c r="M287" s="9"/>
      <c r="N287" s="9"/>
      <c r="O287" s="9"/>
      <c r="P287" s="9"/>
      <c r="Q287" s="9"/>
      <c r="R287" s="9"/>
      <c r="S287" s="9"/>
    </row>
    <row r="288" spans="5:19" ht="15.75" customHeight="1" x14ac:dyDescent="0.3">
      <c r="E288" s="9"/>
      <c r="F288" s="9"/>
      <c r="H288" s="9"/>
      <c r="M288" s="9"/>
      <c r="N288" s="9"/>
      <c r="O288" s="9"/>
      <c r="P288" s="9"/>
      <c r="Q288" s="9"/>
      <c r="R288" s="9"/>
      <c r="S288" s="9"/>
    </row>
    <row r="289" spans="5:19" ht="15.75" customHeight="1" x14ac:dyDescent="0.3">
      <c r="E289" s="9"/>
      <c r="F289" s="9"/>
      <c r="H289" s="9"/>
      <c r="M289" s="9"/>
      <c r="N289" s="9"/>
      <c r="O289" s="9"/>
      <c r="P289" s="9"/>
      <c r="Q289" s="9"/>
      <c r="R289" s="9"/>
      <c r="S289" s="9"/>
    </row>
    <row r="290" spans="5:19" ht="15.75" customHeight="1" x14ac:dyDescent="0.3">
      <c r="E290" s="9"/>
      <c r="F290" s="9"/>
      <c r="H290" s="9"/>
      <c r="M290" s="9"/>
      <c r="N290" s="9"/>
      <c r="O290" s="9"/>
      <c r="P290" s="9"/>
      <c r="Q290" s="9"/>
      <c r="R290" s="9"/>
      <c r="S290" s="9"/>
    </row>
    <row r="291" spans="5:19" ht="15.75" customHeight="1" x14ac:dyDescent="0.3">
      <c r="E291" s="9"/>
      <c r="F291" s="9"/>
      <c r="H291" s="9"/>
      <c r="M291" s="9"/>
      <c r="N291" s="9"/>
      <c r="O291" s="9"/>
      <c r="P291" s="9"/>
      <c r="Q291" s="9"/>
      <c r="R291" s="9"/>
      <c r="S291" s="9"/>
    </row>
    <row r="292" spans="5:19" ht="15.75" customHeight="1" x14ac:dyDescent="0.3">
      <c r="E292" s="9"/>
      <c r="F292" s="9"/>
      <c r="H292" s="9"/>
      <c r="M292" s="9"/>
      <c r="N292" s="9"/>
      <c r="O292" s="9"/>
      <c r="P292" s="9"/>
      <c r="Q292" s="9"/>
      <c r="R292" s="9"/>
      <c r="S292" s="9"/>
    </row>
    <row r="293" spans="5:19" ht="15.75" customHeight="1" x14ac:dyDescent="0.3">
      <c r="E293" s="9"/>
      <c r="F293" s="9"/>
      <c r="H293" s="9"/>
      <c r="M293" s="9"/>
      <c r="N293" s="9"/>
      <c r="O293" s="9"/>
      <c r="P293" s="9"/>
      <c r="Q293" s="9"/>
      <c r="R293" s="9"/>
      <c r="S293" s="9"/>
    </row>
    <row r="294" spans="5:19" ht="15.75" customHeight="1" x14ac:dyDescent="0.3">
      <c r="E294" s="9"/>
      <c r="F294" s="9"/>
      <c r="H294" s="9"/>
      <c r="M294" s="9"/>
      <c r="N294" s="9"/>
      <c r="O294" s="9"/>
      <c r="P294" s="9"/>
      <c r="Q294" s="9"/>
      <c r="R294" s="9"/>
      <c r="S294" s="9"/>
    </row>
    <row r="295" spans="5:19" ht="15.75" customHeight="1" x14ac:dyDescent="0.3">
      <c r="E295" s="9"/>
      <c r="F295" s="9"/>
      <c r="H295" s="9"/>
      <c r="M295" s="9"/>
      <c r="N295" s="9"/>
      <c r="O295" s="9"/>
      <c r="P295" s="9"/>
      <c r="Q295" s="9"/>
      <c r="R295" s="9"/>
      <c r="S295" s="9"/>
    </row>
    <row r="296" spans="5:19" ht="15.75" customHeight="1" x14ac:dyDescent="0.3">
      <c r="E296" s="9"/>
      <c r="F296" s="9"/>
      <c r="H296" s="9"/>
      <c r="M296" s="9"/>
      <c r="N296" s="9"/>
      <c r="O296" s="9"/>
      <c r="P296" s="9"/>
      <c r="Q296" s="9"/>
      <c r="R296" s="9"/>
      <c r="S296" s="9"/>
    </row>
    <row r="297" spans="5:19" ht="15.75" customHeight="1" x14ac:dyDescent="0.3">
      <c r="E297" s="9"/>
      <c r="F297" s="9"/>
      <c r="H297" s="9"/>
      <c r="M297" s="9"/>
      <c r="N297" s="9"/>
      <c r="O297" s="9"/>
      <c r="P297" s="9"/>
      <c r="Q297" s="9"/>
      <c r="R297" s="9"/>
      <c r="S297" s="9"/>
    </row>
    <row r="298" spans="5:19" ht="15.75" customHeight="1" x14ac:dyDescent="0.3">
      <c r="E298" s="9"/>
      <c r="F298" s="9"/>
      <c r="H298" s="9"/>
      <c r="M298" s="9"/>
      <c r="N298" s="9"/>
      <c r="O298" s="9"/>
      <c r="P298" s="9"/>
      <c r="Q298" s="9"/>
      <c r="R298" s="9"/>
      <c r="S298" s="9"/>
    </row>
    <row r="299" spans="5:19" ht="15.75" customHeight="1" x14ac:dyDescent="0.3">
      <c r="E299" s="9"/>
      <c r="F299" s="9"/>
      <c r="H299" s="9"/>
      <c r="M299" s="9"/>
      <c r="N299" s="9"/>
      <c r="O299" s="9"/>
      <c r="P299" s="9"/>
      <c r="Q299" s="9"/>
      <c r="R299" s="9"/>
      <c r="S299" s="9"/>
    </row>
    <row r="300" spans="5:19" ht="15.75" customHeight="1" x14ac:dyDescent="0.3">
      <c r="E300" s="9"/>
      <c r="F300" s="9"/>
      <c r="H300" s="9"/>
      <c r="M300" s="9"/>
      <c r="N300" s="9"/>
      <c r="O300" s="9"/>
      <c r="P300" s="9"/>
      <c r="Q300" s="9"/>
      <c r="R300" s="9"/>
      <c r="S300" s="9"/>
    </row>
    <row r="301" spans="5:19" ht="15.75" customHeight="1" x14ac:dyDescent="0.3">
      <c r="E301" s="9"/>
      <c r="F301" s="9"/>
      <c r="H301" s="9"/>
      <c r="M301" s="9"/>
      <c r="N301" s="9"/>
      <c r="O301" s="9"/>
      <c r="P301" s="9"/>
      <c r="Q301" s="9"/>
      <c r="R301" s="9"/>
      <c r="S301" s="9"/>
    </row>
    <row r="302" spans="5:19" ht="15.75" customHeight="1" x14ac:dyDescent="0.3">
      <c r="E302" s="9"/>
      <c r="F302" s="9"/>
      <c r="H302" s="9"/>
      <c r="M302" s="9"/>
      <c r="N302" s="9"/>
      <c r="O302" s="9"/>
      <c r="P302" s="9"/>
      <c r="Q302" s="9"/>
      <c r="R302" s="9"/>
      <c r="S302" s="9"/>
    </row>
    <row r="303" spans="5:19" ht="15.75" customHeight="1" x14ac:dyDescent="0.3">
      <c r="E303" s="9"/>
      <c r="F303" s="9"/>
      <c r="H303" s="9"/>
      <c r="M303" s="9"/>
      <c r="N303" s="9"/>
      <c r="O303" s="9"/>
      <c r="P303" s="9"/>
      <c r="Q303" s="9"/>
      <c r="R303" s="9"/>
      <c r="S303" s="9"/>
    </row>
    <row r="304" spans="5:19" ht="15.75" customHeight="1" x14ac:dyDescent="0.3">
      <c r="E304" s="9"/>
      <c r="F304" s="9"/>
      <c r="H304" s="9"/>
      <c r="M304" s="9"/>
      <c r="N304" s="9"/>
      <c r="O304" s="9"/>
      <c r="P304" s="9"/>
      <c r="Q304" s="9"/>
      <c r="R304" s="9"/>
      <c r="S304" s="9"/>
    </row>
    <row r="305" spans="5:19" ht="15.75" customHeight="1" x14ac:dyDescent="0.3">
      <c r="E305" s="9"/>
      <c r="F305" s="9"/>
      <c r="H305" s="9"/>
      <c r="M305" s="9"/>
      <c r="N305" s="9"/>
      <c r="O305" s="9"/>
      <c r="P305" s="9"/>
      <c r="Q305" s="9"/>
      <c r="R305" s="9"/>
      <c r="S305" s="9"/>
    </row>
    <row r="306" spans="5:19" ht="15.75" customHeight="1" x14ac:dyDescent="0.3">
      <c r="E306" s="9"/>
      <c r="F306" s="9"/>
      <c r="H306" s="9"/>
      <c r="M306" s="9"/>
      <c r="N306" s="9"/>
      <c r="O306" s="9"/>
      <c r="P306" s="9"/>
      <c r="Q306" s="9"/>
      <c r="R306" s="9"/>
      <c r="S306" s="9"/>
    </row>
    <row r="307" spans="5:19" ht="15.75" customHeight="1" x14ac:dyDescent="0.3">
      <c r="E307" s="9"/>
      <c r="F307" s="9"/>
      <c r="H307" s="9"/>
      <c r="M307" s="9"/>
      <c r="N307" s="9"/>
      <c r="O307" s="9"/>
      <c r="P307" s="9"/>
      <c r="Q307" s="9"/>
      <c r="R307" s="9"/>
      <c r="S307" s="9"/>
    </row>
    <row r="308" spans="5:19" ht="15.75" customHeight="1" x14ac:dyDescent="0.3">
      <c r="E308" s="9"/>
      <c r="F308" s="9"/>
      <c r="H308" s="9"/>
      <c r="M308" s="9"/>
      <c r="N308" s="9"/>
      <c r="O308" s="9"/>
      <c r="P308" s="9"/>
      <c r="Q308" s="9"/>
      <c r="R308" s="9"/>
      <c r="S308" s="9"/>
    </row>
    <row r="309" spans="5:19" ht="15.75" customHeight="1" x14ac:dyDescent="0.3">
      <c r="E309" s="9"/>
      <c r="F309" s="9"/>
      <c r="H309" s="9"/>
      <c r="M309" s="9"/>
      <c r="N309" s="9"/>
      <c r="O309" s="9"/>
      <c r="P309" s="9"/>
      <c r="Q309" s="9"/>
      <c r="R309" s="9"/>
      <c r="S309" s="9"/>
    </row>
    <row r="310" spans="5:19" ht="15.75" customHeight="1" x14ac:dyDescent="0.3">
      <c r="E310" s="9"/>
      <c r="F310" s="9"/>
      <c r="H310" s="9"/>
      <c r="M310" s="9"/>
      <c r="N310" s="9"/>
      <c r="O310" s="9"/>
      <c r="P310" s="9"/>
      <c r="Q310" s="9"/>
      <c r="R310" s="9"/>
      <c r="S310" s="9"/>
    </row>
    <row r="311" spans="5:19" ht="15.75" customHeight="1" x14ac:dyDescent="0.3">
      <c r="E311" s="9"/>
      <c r="F311" s="9"/>
      <c r="H311" s="9"/>
      <c r="M311" s="9"/>
      <c r="N311" s="9"/>
      <c r="O311" s="9"/>
      <c r="P311" s="9"/>
      <c r="Q311" s="9"/>
      <c r="R311" s="9"/>
      <c r="S311" s="9"/>
    </row>
    <row r="312" spans="5:19" ht="15.75" customHeight="1" x14ac:dyDescent="0.3">
      <c r="E312" s="9"/>
      <c r="F312" s="9"/>
      <c r="H312" s="9"/>
      <c r="M312" s="9"/>
      <c r="N312" s="9"/>
      <c r="O312" s="9"/>
      <c r="P312" s="9"/>
      <c r="Q312" s="9"/>
      <c r="R312" s="9"/>
      <c r="S312" s="9"/>
    </row>
    <row r="313" spans="5:19" ht="15.75" customHeight="1" x14ac:dyDescent="0.3">
      <c r="E313" s="9"/>
      <c r="F313" s="9"/>
      <c r="H313" s="9"/>
      <c r="M313" s="9"/>
      <c r="N313" s="9"/>
      <c r="O313" s="9"/>
      <c r="P313" s="9"/>
      <c r="Q313" s="9"/>
      <c r="R313" s="9"/>
      <c r="S313" s="9"/>
    </row>
    <row r="314" spans="5:19" ht="15.75" customHeight="1" x14ac:dyDescent="0.3">
      <c r="E314" s="9"/>
      <c r="F314" s="9"/>
      <c r="H314" s="9"/>
      <c r="M314" s="9"/>
      <c r="N314" s="9"/>
      <c r="O314" s="9"/>
      <c r="P314" s="9"/>
      <c r="Q314" s="9"/>
      <c r="R314" s="9"/>
      <c r="S314" s="9"/>
    </row>
    <row r="315" spans="5:19" ht="15.75" customHeight="1" x14ac:dyDescent="0.3">
      <c r="E315" s="9"/>
      <c r="F315" s="9"/>
      <c r="H315" s="9"/>
      <c r="M315" s="9"/>
      <c r="N315" s="9"/>
      <c r="O315" s="9"/>
      <c r="P315" s="9"/>
      <c r="Q315" s="9"/>
      <c r="R315" s="9"/>
      <c r="S315" s="9"/>
    </row>
    <row r="316" spans="5:19" ht="15.75" customHeight="1" x14ac:dyDescent="0.3">
      <c r="E316" s="9"/>
      <c r="F316" s="9"/>
      <c r="H316" s="9"/>
      <c r="M316" s="9"/>
      <c r="N316" s="9"/>
      <c r="O316" s="9"/>
      <c r="P316" s="9"/>
      <c r="Q316" s="9"/>
      <c r="R316" s="9"/>
      <c r="S316" s="9"/>
    </row>
    <row r="317" spans="5:19" ht="15.75" customHeight="1" x14ac:dyDescent="0.3">
      <c r="E317" s="9"/>
      <c r="F317" s="9"/>
      <c r="H317" s="9"/>
      <c r="M317" s="9"/>
      <c r="N317" s="9"/>
      <c r="O317" s="9"/>
      <c r="P317" s="9"/>
      <c r="Q317" s="9"/>
      <c r="R317" s="9"/>
      <c r="S317" s="9"/>
    </row>
    <row r="318" spans="5:19" ht="15.75" customHeight="1" x14ac:dyDescent="0.3">
      <c r="E318" s="9"/>
      <c r="F318" s="9"/>
      <c r="H318" s="9"/>
      <c r="M318" s="9"/>
      <c r="N318" s="9"/>
      <c r="O318" s="9"/>
      <c r="P318" s="9"/>
      <c r="Q318" s="9"/>
      <c r="R318" s="9"/>
      <c r="S318" s="9"/>
    </row>
    <row r="319" spans="5:19" ht="15.75" customHeight="1" x14ac:dyDescent="0.3">
      <c r="E319" s="9"/>
      <c r="F319" s="9"/>
      <c r="H319" s="9"/>
      <c r="M319" s="9"/>
      <c r="N319" s="9"/>
      <c r="O319" s="9"/>
      <c r="P319" s="9"/>
      <c r="Q319" s="9"/>
      <c r="R319" s="9"/>
      <c r="S319" s="9"/>
    </row>
    <row r="320" spans="5:19" ht="15.75" customHeight="1" x14ac:dyDescent="0.3">
      <c r="E320" s="9"/>
      <c r="F320" s="9"/>
      <c r="H320" s="9"/>
      <c r="M320" s="9"/>
      <c r="N320" s="9"/>
      <c r="O320" s="9"/>
      <c r="P320" s="9"/>
      <c r="Q320" s="9"/>
      <c r="R320" s="9"/>
      <c r="S320" s="9"/>
    </row>
    <row r="321" spans="5:19" ht="15.75" customHeight="1" x14ac:dyDescent="0.3">
      <c r="E321" s="9"/>
      <c r="F321" s="9"/>
      <c r="H321" s="9"/>
      <c r="M321" s="9"/>
      <c r="N321" s="9"/>
      <c r="O321" s="9"/>
      <c r="P321" s="9"/>
      <c r="Q321" s="9"/>
      <c r="R321" s="9"/>
      <c r="S321" s="9"/>
    </row>
    <row r="322" spans="5:19" ht="15.75" customHeight="1" x14ac:dyDescent="0.3">
      <c r="E322" s="9"/>
      <c r="F322" s="9"/>
      <c r="H322" s="9"/>
      <c r="M322" s="9"/>
      <c r="N322" s="9"/>
      <c r="O322" s="9"/>
      <c r="P322" s="9"/>
      <c r="Q322" s="9"/>
      <c r="R322" s="9"/>
      <c r="S322" s="9"/>
    </row>
    <row r="323" spans="5:19" ht="15.75" customHeight="1" x14ac:dyDescent="0.3">
      <c r="E323" s="9"/>
      <c r="F323" s="9"/>
      <c r="H323" s="9"/>
      <c r="M323" s="9"/>
      <c r="N323" s="9"/>
      <c r="O323" s="9"/>
      <c r="P323" s="9"/>
      <c r="Q323" s="9"/>
      <c r="R323" s="9"/>
      <c r="S323" s="9"/>
    </row>
    <row r="324" spans="5:19" ht="15.75" customHeight="1" x14ac:dyDescent="0.3">
      <c r="E324" s="9"/>
      <c r="F324" s="9"/>
      <c r="H324" s="9"/>
      <c r="M324" s="9"/>
      <c r="N324" s="9"/>
      <c r="O324" s="9"/>
      <c r="P324" s="9"/>
      <c r="Q324" s="9"/>
      <c r="R324" s="9"/>
      <c r="S324" s="9"/>
    </row>
    <row r="325" spans="5:19" ht="15.75" customHeight="1" x14ac:dyDescent="0.3">
      <c r="E325" s="9"/>
      <c r="F325" s="9"/>
      <c r="H325" s="9"/>
      <c r="M325" s="9"/>
      <c r="N325" s="9"/>
      <c r="O325" s="9"/>
      <c r="P325" s="9"/>
      <c r="Q325" s="9"/>
      <c r="R325" s="9"/>
      <c r="S325" s="9"/>
    </row>
    <row r="326" spans="5:19" ht="15.75" customHeight="1" x14ac:dyDescent="0.3">
      <c r="E326" s="9"/>
      <c r="F326" s="9"/>
      <c r="H326" s="9"/>
      <c r="M326" s="9"/>
      <c r="N326" s="9"/>
      <c r="O326" s="9"/>
      <c r="P326" s="9"/>
      <c r="Q326" s="9"/>
      <c r="R326" s="9"/>
      <c r="S326" s="9"/>
    </row>
    <row r="327" spans="5:19" ht="15.75" customHeight="1" x14ac:dyDescent="0.3">
      <c r="E327" s="9"/>
      <c r="F327" s="9"/>
      <c r="H327" s="9"/>
      <c r="M327" s="9"/>
      <c r="N327" s="9"/>
      <c r="O327" s="9"/>
      <c r="P327" s="9"/>
      <c r="Q327" s="9"/>
      <c r="R327" s="9"/>
      <c r="S327" s="9"/>
    </row>
    <row r="328" spans="5:19" ht="15.75" customHeight="1" x14ac:dyDescent="0.3">
      <c r="E328" s="9"/>
      <c r="F328" s="9"/>
      <c r="H328" s="9"/>
      <c r="M328" s="9"/>
      <c r="N328" s="9"/>
      <c r="O328" s="9"/>
      <c r="P328" s="9"/>
      <c r="Q328" s="9"/>
      <c r="R328" s="9"/>
      <c r="S328" s="9"/>
    </row>
    <row r="329" spans="5:19" ht="15.75" customHeight="1" x14ac:dyDescent="0.3">
      <c r="E329" s="9"/>
      <c r="F329" s="9"/>
      <c r="H329" s="9"/>
      <c r="M329" s="9"/>
      <c r="N329" s="9"/>
      <c r="O329" s="9"/>
      <c r="P329" s="9"/>
      <c r="Q329" s="9"/>
      <c r="R329" s="9"/>
      <c r="S329" s="9"/>
    </row>
    <row r="330" spans="5:19" ht="15.75" customHeight="1" x14ac:dyDescent="0.3">
      <c r="E330" s="9"/>
      <c r="F330" s="9"/>
      <c r="H330" s="9"/>
      <c r="M330" s="9"/>
      <c r="N330" s="9"/>
      <c r="O330" s="9"/>
      <c r="P330" s="9"/>
      <c r="Q330" s="9"/>
      <c r="R330" s="9"/>
      <c r="S330" s="9"/>
    </row>
    <row r="331" spans="5:19" ht="15.75" customHeight="1" x14ac:dyDescent="0.3">
      <c r="E331" s="9"/>
      <c r="F331" s="9"/>
      <c r="H331" s="9"/>
      <c r="M331" s="9"/>
      <c r="N331" s="9"/>
      <c r="O331" s="9"/>
      <c r="P331" s="9"/>
      <c r="Q331" s="9"/>
      <c r="R331" s="9"/>
      <c r="S331" s="9"/>
    </row>
    <row r="332" spans="5:19" ht="15.75" customHeight="1" x14ac:dyDescent="0.3">
      <c r="E332" s="9"/>
      <c r="F332" s="9"/>
      <c r="H332" s="9"/>
      <c r="M332" s="9"/>
      <c r="N332" s="9"/>
      <c r="O332" s="9"/>
      <c r="P332" s="9"/>
      <c r="Q332" s="9"/>
      <c r="R332" s="9"/>
      <c r="S332" s="9"/>
    </row>
    <row r="333" spans="5:19" ht="15.75" customHeight="1" x14ac:dyDescent="0.3">
      <c r="E333" s="9"/>
      <c r="F333" s="9"/>
      <c r="H333" s="9"/>
      <c r="M333" s="9"/>
      <c r="N333" s="9"/>
      <c r="O333" s="9"/>
      <c r="P333" s="9"/>
      <c r="Q333" s="9"/>
      <c r="R333" s="9"/>
      <c r="S333" s="9"/>
    </row>
    <row r="334" spans="5:19" ht="15.75" customHeight="1" x14ac:dyDescent="0.3">
      <c r="E334" s="9"/>
      <c r="F334" s="9"/>
      <c r="H334" s="9"/>
      <c r="M334" s="9"/>
      <c r="N334" s="9"/>
      <c r="O334" s="9"/>
      <c r="P334" s="9"/>
      <c r="Q334" s="9"/>
      <c r="R334" s="9"/>
      <c r="S334" s="9"/>
    </row>
    <row r="335" spans="5:19" ht="15.75" customHeight="1" x14ac:dyDescent="0.3">
      <c r="E335" s="9"/>
      <c r="F335" s="9"/>
      <c r="H335" s="9"/>
      <c r="M335" s="9"/>
      <c r="N335" s="9"/>
      <c r="O335" s="9"/>
      <c r="P335" s="9"/>
      <c r="Q335" s="9"/>
      <c r="R335" s="9"/>
      <c r="S335" s="9"/>
    </row>
    <row r="336" spans="5:19" ht="15.75" customHeight="1" x14ac:dyDescent="0.3">
      <c r="E336" s="9"/>
      <c r="F336" s="9"/>
      <c r="H336" s="9"/>
      <c r="M336" s="9"/>
      <c r="N336" s="9"/>
      <c r="O336" s="9"/>
      <c r="P336" s="9"/>
      <c r="Q336" s="9"/>
      <c r="R336" s="9"/>
      <c r="S336" s="9"/>
    </row>
    <row r="337" spans="5:19" ht="15.75" customHeight="1" x14ac:dyDescent="0.3">
      <c r="E337" s="9"/>
      <c r="F337" s="9"/>
      <c r="H337" s="9"/>
      <c r="M337" s="9"/>
      <c r="N337" s="9"/>
      <c r="O337" s="9"/>
      <c r="P337" s="9"/>
      <c r="Q337" s="9"/>
      <c r="R337" s="9"/>
      <c r="S337" s="9"/>
    </row>
    <row r="338" spans="5:19" ht="15.75" customHeight="1" x14ac:dyDescent="0.3">
      <c r="E338" s="9"/>
      <c r="F338" s="9"/>
      <c r="H338" s="9"/>
      <c r="M338" s="9"/>
      <c r="N338" s="9"/>
      <c r="O338" s="9"/>
      <c r="P338" s="9"/>
      <c r="Q338" s="9"/>
      <c r="R338" s="9"/>
      <c r="S338" s="9"/>
    </row>
    <row r="339" spans="5:19" ht="15.75" customHeight="1" x14ac:dyDescent="0.3">
      <c r="E339" s="9"/>
      <c r="F339" s="9"/>
      <c r="H339" s="9"/>
      <c r="M339" s="9"/>
      <c r="N339" s="9"/>
      <c r="O339" s="9"/>
      <c r="P339" s="9"/>
      <c r="Q339" s="9"/>
      <c r="R339" s="9"/>
      <c r="S339" s="9"/>
    </row>
    <row r="340" spans="5:19" ht="15.75" customHeight="1" x14ac:dyDescent="0.3">
      <c r="E340" s="9"/>
      <c r="F340" s="9"/>
      <c r="H340" s="9"/>
      <c r="M340" s="9"/>
      <c r="N340" s="9"/>
      <c r="O340" s="9"/>
      <c r="P340" s="9"/>
      <c r="Q340" s="9"/>
      <c r="R340" s="9"/>
      <c r="S340" s="9"/>
    </row>
    <row r="341" spans="5:19" ht="15.75" customHeight="1" x14ac:dyDescent="0.3">
      <c r="E341" s="9"/>
      <c r="F341" s="9"/>
      <c r="H341" s="9"/>
      <c r="M341" s="9"/>
      <c r="N341" s="9"/>
      <c r="O341" s="9"/>
      <c r="P341" s="9"/>
      <c r="Q341" s="9"/>
      <c r="R341" s="9"/>
      <c r="S341" s="9"/>
    </row>
    <row r="342" spans="5:19" ht="15.75" customHeight="1" x14ac:dyDescent="0.3">
      <c r="E342" s="9"/>
      <c r="F342" s="9"/>
      <c r="H342" s="9"/>
      <c r="M342" s="9"/>
      <c r="N342" s="9"/>
      <c r="O342" s="9"/>
      <c r="P342" s="9"/>
      <c r="Q342" s="9"/>
      <c r="R342" s="9"/>
      <c r="S342" s="9"/>
    </row>
    <row r="343" spans="5:19" ht="15.75" customHeight="1" x14ac:dyDescent="0.3">
      <c r="E343" s="9"/>
      <c r="F343" s="9"/>
      <c r="H343" s="9"/>
      <c r="M343" s="9"/>
      <c r="N343" s="9"/>
      <c r="O343" s="9"/>
      <c r="P343" s="9"/>
      <c r="Q343" s="9"/>
      <c r="R343" s="9"/>
      <c r="S343" s="9"/>
    </row>
    <row r="344" spans="5:19" ht="15.75" customHeight="1" x14ac:dyDescent="0.3">
      <c r="E344" s="9"/>
      <c r="F344" s="9"/>
      <c r="H344" s="9"/>
      <c r="M344" s="9"/>
      <c r="N344" s="9"/>
      <c r="O344" s="9"/>
      <c r="P344" s="9"/>
      <c r="Q344" s="9"/>
      <c r="R344" s="9"/>
      <c r="S344" s="9"/>
    </row>
    <row r="345" spans="5:19" ht="15.75" customHeight="1" x14ac:dyDescent="0.3">
      <c r="E345" s="9"/>
      <c r="F345" s="9"/>
      <c r="H345" s="9"/>
      <c r="M345" s="9"/>
      <c r="N345" s="9"/>
      <c r="O345" s="9"/>
      <c r="P345" s="9"/>
      <c r="Q345" s="9"/>
      <c r="R345" s="9"/>
      <c r="S345" s="9"/>
    </row>
    <row r="346" spans="5:19" ht="15.75" customHeight="1" x14ac:dyDescent="0.3">
      <c r="E346" s="9"/>
      <c r="F346" s="9"/>
      <c r="H346" s="9"/>
      <c r="M346" s="9"/>
      <c r="N346" s="9"/>
      <c r="O346" s="9"/>
      <c r="P346" s="9"/>
      <c r="Q346" s="9"/>
      <c r="R346" s="9"/>
      <c r="S346" s="9"/>
    </row>
    <row r="347" spans="5:19" ht="15.75" customHeight="1" x14ac:dyDescent="0.3">
      <c r="E347" s="9"/>
      <c r="F347" s="9"/>
      <c r="H347" s="9"/>
      <c r="M347" s="9"/>
      <c r="N347" s="9"/>
      <c r="O347" s="9"/>
      <c r="P347" s="9"/>
      <c r="Q347" s="9"/>
      <c r="R347" s="9"/>
      <c r="S347" s="9"/>
    </row>
    <row r="348" spans="5:19" ht="15.75" customHeight="1" x14ac:dyDescent="0.3">
      <c r="E348" s="9"/>
      <c r="F348" s="9"/>
      <c r="H348" s="9"/>
      <c r="M348" s="9"/>
      <c r="N348" s="9"/>
      <c r="O348" s="9"/>
      <c r="P348" s="9"/>
      <c r="Q348" s="9"/>
      <c r="R348" s="9"/>
      <c r="S348" s="9"/>
    </row>
    <row r="349" spans="5:19" ht="15.75" customHeight="1" x14ac:dyDescent="0.3">
      <c r="E349" s="9"/>
      <c r="F349" s="9"/>
      <c r="H349" s="9"/>
      <c r="M349" s="9"/>
      <c r="N349" s="9"/>
      <c r="O349" s="9"/>
      <c r="P349" s="9"/>
      <c r="Q349" s="9"/>
      <c r="R349" s="9"/>
      <c r="S349" s="9"/>
    </row>
    <row r="350" spans="5:19" ht="15.75" customHeight="1" x14ac:dyDescent="0.3">
      <c r="E350" s="9"/>
      <c r="F350" s="9"/>
      <c r="H350" s="9"/>
      <c r="M350" s="9"/>
      <c r="N350" s="9"/>
      <c r="O350" s="9"/>
      <c r="P350" s="9"/>
      <c r="Q350" s="9"/>
      <c r="R350" s="9"/>
      <c r="S350" s="9"/>
    </row>
    <row r="351" spans="5:19" ht="15.75" customHeight="1" x14ac:dyDescent="0.3">
      <c r="E351" s="9"/>
      <c r="F351" s="9"/>
      <c r="H351" s="9"/>
      <c r="M351" s="9"/>
      <c r="N351" s="9"/>
      <c r="O351" s="9"/>
      <c r="P351" s="9"/>
      <c r="Q351" s="9"/>
      <c r="R351" s="9"/>
      <c r="S351" s="9"/>
    </row>
    <row r="352" spans="5:19" ht="15.75" customHeight="1" x14ac:dyDescent="0.3">
      <c r="E352" s="9"/>
      <c r="F352" s="9"/>
      <c r="H352" s="9"/>
      <c r="M352" s="9"/>
      <c r="N352" s="9"/>
      <c r="O352" s="9"/>
      <c r="P352" s="9"/>
      <c r="Q352" s="9"/>
      <c r="R352" s="9"/>
      <c r="S352" s="9"/>
    </row>
    <row r="353" spans="5:19" ht="15.75" customHeight="1" x14ac:dyDescent="0.3">
      <c r="E353" s="9"/>
      <c r="F353" s="9"/>
      <c r="H353" s="9"/>
      <c r="M353" s="9"/>
      <c r="N353" s="9"/>
      <c r="O353" s="9"/>
      <c r="P353" s="9"/>
      <c r="Q353" s="9"/>
      <c r="R353" s="9"/>
      <c r="S353" s="9"/>
    </row>
    <row r="354" spans="5:19" ht="15.75" customHeight="1" x14ac:dyDescent="0.3">
      <c r="E354" s="9"/>
      <c r="F354" s="9"/>
      <c r="H354" s="9"/>
      <c r="M354" s="9"/>
      <c r="N354" s="9"/>
      <c r="O354" s="9"/>
      <c r="P354" s="9"/>
      <c r="Q354" s="9"/>
      <c r="R354" s="9"/>
      <c r="S354" s="9"/>
    </row>
    <row r="355" spans="5:19" ht="15.75" customHeight="1" x14ac:dyDescent="0.3">
      <c r="E355" s="9"/>
      <c r="F355" s="9"/>
      <c r="H355" s="9"/>
      <c r="M355" s="9"/>
      <c r="N355" s="9"/>
      <c r="O355" s="9"/>
      <c r="P355" s="9"/>
      <c r="Q355" s="9"/>
      <c r="R355" s="9"/>
      <c r="S355" s="9"/>
    </row>
    <row r="356" spans="5:19" ht="15.75" customHeight="1" x14ac:dyDescent="0.3">
      <c r="E356" s="9"/>
      <c r="F356" s="9"/>
      <c r="H356" s="9"/>
      <c r="M356" s="9"/>
      <c r="N356" s="9"/>
      <c r="O356" s="9"/>
      <c r="P356" s="9"/>
      <c r="Q356" s="9"/>
      <c r="R356" s="9"/>
      <c r="S356" s="9"/>
    </row>
    <row r="357" spans="5:19" ht="15.75" customHeight="1" x14ac:dyDescent="0.3">
      <c r="E357" s="9"/>
      <c r="F357" s="9"/>
      <c r="H357" s="9"/>
      <c r="M357" s="9"/>
      <c r="N357" s="9"/>
      <c r="O357" s="9"/>
      <c r="P357" s="9"/>
      <c r="Q357" s="9"/>
      <c r="R357" s="9"/>
      <c r="S357" s="9"/>
    </row>
    <row r="358" spans="5:19" ht="15.75" customHeight="1" x14ac:dyDescent="0.3">
      <c r="E358" s="9"/>
      <c r="F358" s="9"/>
      <c r="H358" s="9"/>
      <c r="M358" s="9"/>
      <c r="N358" s="9"/>
      <c r="O358" s="9"/>
      <c r="P358" s="9"/>
      <c r="Q358" s="9"/>
      <c r="R358" s="9"/>
      <c r="S358" s="9"/>
    </row>
    <row r="359" spans="5:19" ht="15.75" customHeight="1" x14ac:dyDescent="0.3">
      <c r="E359" s="9"/>
      <c r="F359" s="9"/>
      <c r="H359" s="9"/>
      <c r="M359" s="9"/>
      <c r="N359" s="9"/>
      <c r="O359" s="9"/>
      <c r="P359" s="9"/>
      <c r="Q359" s="9"/>
      <c r="R359" s="9"/>
      <c r="S359" s="9"/>
    </row>
    <row r="360" spans="5:19" ht="15.75" customHeight="1" x14ac:dyDescent="0.3">
      <c r="E360" s="9"/>
      <c r="F360" s="9"/>
      <c r="H360" s="9"/>
      <c r="M360" s="9"/>
      <c r="N360" s="9"/>
      <c r="O360" s="9"/>
      <c r="P360" s="9"/>
      <c r="Q360" s="9"/>
      <c r="R360" s="9"/>
      <c r="S360" s="9"/>
    </row>
    <row r="361" spans="5:19" ht="15.75" customHeight="1" x14ac:dyDescent="0.3">
      <c r="E361" s="9"/>
      <c r="F361" s="9"/>
      <c r="H361" s="9"/>
      <c r="M361" s="9"/>
      <c r="N361" s="9"/>
      <c r="O361" s="9"/>
      <c r="P361" s="9"/>
      <c r="Q361" s="9"/>
      <c r="R361" s="9"/>
      <c r="S361" s="9"/>
    </row>
    <row r="362" spans="5:19" ht="15.75" customHeight="1" x14ac:dyDescent="0.3">
      <c r="E362" s="9"/>
      <c r="F362" s="9"/>
      <c r="H362" s="9"/>
      <c r="M362" s="9"/>
      <c r="N362" s="9"/>
      <c r="O362" s="9"/>
      <c r="P362" s="9"/>
      <c r="Q362" s="9"/>
      <c r="R362" s="9"/>
      <c r="S362" s="9"/>
    </row>
    <row r="363" spans="5:19" ht="15.75" customHeight="1" x14ac:dyDescent="0.3">
      <c r="E363" s="9"/>
      <c r="F363" s="9"/>
      <c r="H363" s="9"/>
      <c r="M363" s="9"/>
      <c r="N363" s="9"/>
      <c r="O363" s="9"/>
      <c r="P363" s="9"/>
      <c r="Q363" s="9"/>
      <c r="R363" s="9"/>
      <c r="S363" s="9"/>
    </row>
    <row r="364" spans="5:19" ht="15.75" customHeight="1" x14ac:dyDescent="0.3">
      <c r="E364" s="9"/>
      <c r="F364" s="9"/>
      <c r="H364" s="9"/>
      <c r="M364" s="9"/>
      <c r="N364" s="9"/>
      <c r="O364" s="9"/>
      <c r="P364" s="9"/>
      <c r="Q364" s="9"/>
      <c r="R364" s="9"/>
      <c r="S364" s="9"/>
    </row>
    <row r="365" spans="5:19" ht="15.75" customHeight="1" x14ac:dyDescent="0.3">
      <c r="E365" s="9"/>
      <c r="F365" s="9"/>
      <c r="H365" s="9"/>
      <c r="M365" s="9"/>
      <c r="N365" s="9"/>
      <c r="O365" s="9"/>
      <c r="P365" s="9"/>
      <c r="Q365" s="9"/>
      <c r="R365" s="9"/>
      <c r="S365" s="9"/>
    </row>
    <row r="366" spans="5:19" ht="15.75" customHeight="1" x14ac:dyDescent="0.3">
      <c r="E366" s="9"/>
      <c r="F366" s="9"/>
      <c r="H366" s="9"/>
      <c r="M366" s="9"/>
      <c r="N366" s="9"/>
      <c r="O366" s="9"/>
      <c r="P366" s="9"/>
      <c r="Q366" s="9"/>
      <c r="R366" s="9"/>
      <c r="S366" s="9"/>
    </row>
    <row r="367" spans="5:19" ht="15.75" customHeight="1" x14ac:dyDescent="0.3">
      <c r="E367" s="9"/>
      <c r="F367" s="9"/>
      <c r="H367" s="9"/>
      <c r="M367" s="9"/>
      <c r="N367" s="9"/>
      <c r="O367" s="9"/>
      <c r="P367" s="9"/>
      <c r="Q367" s="9"/>
      <c r="R367" s="9"/>
      <c r="S367" s="9"/>
    </row>
    <row r="368" spans="5:19" ht="15.75" customHeight="1" x14ac:dyDescent="0.3">
      <c r="E368" s="9"/>
      <c r="F368" s="9"/>
      <c r="H368" s="9"/>
      <c r="M368" s="9"/>
      <c r="N368" s="9"/>
      <c r="O368" s="9"/>
      <c r="P368" s="9"/>
      <c r="Q368" s="9"/>
      <c r="R368" s="9"/>
      <c r="S368" s="9"/>
    </row>
    <row r="369" spans="5:19" ht="15.75" customHeight="1" x14ac:dyDescent="0.3">
      <c r="E369" s="9"/>
      <c r="F369" s="9"/>
      <c r="H369" s="9"/>
      <c r="M369" s="9"/>
      <c r="N369" s="9"/>
      <c r="O369" s="9"/>
      <c r="P369" s="9"/>
      <c r="Q369" s="9"/>
      <c r="R369" s="9"/>
      <c r="S369" s="9"/>
    </row>
    <row r="370" spans="5:19" ht="15.75" customHeight="1" x14ac:dyDescent="0.3">
      <c r="E370" s="9"/>
      <c r="F370" s="9"/>
      <c r="H370" s="9"/>
      <c r="M370" s="9"/>
      <c r="N370" s="9"/>
      <c r="O370" s="9"/>
      <c r="P370" s="9"/>
      <c r="Q370" s="9"/>
      <c r="R370" s="9"/>
      <c r="S370" s="9"/>
    </row>
    <row r="371" spans="5:19" ht="15.75" customHeight="1" x14ac:dyDescent="0.3">
      <c r="E371" s="9"/>
      <c r="F371" s="9"/>
      <c r="H371" s="9"/>
      <c r="M371" s="9"/>
      <c r="N371" s="9"/>
      <c r="O371" s="9"/>
      <c r="P371" s="9"/>
      <c r="Q371" s="9"/>
      <c r="R371" s="9"/>
      <c r="S371" s="9"/>
    </row>
    <row r="372" spans="5:19" ht="15.75" customHeight="1" x14ac:dyDescent="0.3">
      <c r="E372" s="9"/>
      <c r="F372" s="9"/>
      <c r="H372" s="9"/>
      <c r="M372" s="9"/>
      <c r="N372" s="9"/>
      <c r="O372" s="9"/>
      <c r="P372" s="9"/>
      <c r="Q372" s="9"/>
      <c r="R372" s="9"/>
      <c r="S372" s="9"/>
    </row>
    <row r="373" spans="5:19" ht="15.75" customHeight="1" x14ac:dyDescent="0.3">
      <c r="E373" s="9"/>
      <c r="F373" s="9"/>
      <c r="H373" s="9"/>
      <c r="M373" s="9"/>
      <c r="N373" s="9"/>
      <c r="O373" s="9"/>
      <c r="P373" s="9"/>
      <c r="Q373" s="9"/>
      <c r="R373" s="9"/>
      <c r="S373" s="9"/>
    </row>
    <row r="374" spans="5:19" ht="15.75" customHeight="1" x14ac:dyDescent="0.3">
      <c r="E374" s="9"/>
      <c r="F374" s="9"/>
      <c r="H374" s="9"/>
      <c r="M374" s="9"/>
      <c r="N374" s="9"/>
      <c r="O374" s="9"/>
      <c r="P374" s="9"/>
      <c r="Q374" s="9"/>
      <c r="R374" s="9"/>
      <c r="S374" s="9"/>
    </row>
    <row r="375" spans="5:19" ht="15.75" customHeight="1" x14ac:dyDescent="0.3">
      <c r="E375" s="9"/>
      <c r="F375" s="9"/>
      <c r="H375" s="9"/>
      <c r="M375" s="9"/>
      <c r="N375" s="9"/>
      <c r="O375" s="9"/>
      <c r="P375" s="9"/>
      <c r="Q375" s="9"/>
      <c r="R375" s="9"/>
      <c r="S375" s="9"/>
    </row>
    <row r="376" spans="5:19" ht="15.75" customHeight="1" x14ac:dyDescent="0.3">
      <c r="E376" s="9"/>
      <c r="F376" s="9"/>
      <c r="H376" s="9"/>
      <c r="M376" s="9"/>
      <c r="N376" s="9"/>
      <c r="O376" s="9"/>
      <c r="P376" s="9"/>
      <c r="Q376" s="9"/>
      <c r="R376" s="9"/>
      <c r="S376" s="9"/>
    </row>
    <row r="377" spans="5:19" ht="15.75" customHeight="1" x14ac:dyDescent="0.3">
      <c r="E377" s="9"/>
      <c r="F377" s="9"/>
      <c r="H377" s="9"/>
      <c r="M377" s="9"/>
      <c r="N377" s="9"/>
      <c r="O377" s="9"/>
      <c r="P377" s="9"/>
      <c r="Q377" s="9"/>
      <c r="R377" s="9"/>
      <c r="S377" s="9"/>
    </row>
    <row r="378" spans="5:19" ht="15.75" customHeight="1" x14ac:dyDescent="0.3">
      <c r="E378" s="9"/>
      <c r="F378" s="9"/>
      <c r="H378" s="9"/>
      <c r="M378" s="9"/>
      <c r="N378" s="9"/>
      <c r="O378" s="9"/>
      <c r="P378" s="9"/>
      <c r="Q378" s="9"/>
      <c r="R378" s="9"/>
      <c r="S378" s="9"/>
    </row>
    <row r="379" spans="5:19" ht="15.75" customHeight="1" x14ac:dyDescent="0.3">
      <c r="E379" s="9"/>
      <c r="F379" s="9"/>
      <c r="H379" s="9"/>
      <c r="M379" s="9"/>
      <c r="N379" s="9"/>
      <c r="O379" s="9"/>
      <c r="P379" s="9"/>
      <c r="Q379" s="9"/>
      <c r="R379" s="9"/>
      <c r="S379" s="9"/>
    </row>
    <row r="380" spans="5:19" ht="15.75" customHeight="1" x14ac:dyDescent="0.3">
      <c r="E380" s="9"/>
      <c r="F380" s="9"/>
      <c r="H380" s="9"/>
      <c r="M380" s="9"/>
      <c r="N380" s="9"/>
      <c r="O380" s="9"/>
      <c r="P380" s="9"/>
      <c r="Q380" s="9"/>
      <c r="R380" s="9"/>
      <c r="S380" s="9"/>
    </row>
    <row r="381" spans="5:19" ht="15.75" customHeight="1" x14ac:dyDescent="0.3">
      <c r="E381" s="9"/>
      <c r="F381" s="9"/>
      <c r="H381" s="9"/>
      <c r="M381" s="9"/>
      <c r="N381" s="9"/>
      <c r="O381" s="9"/>
      <c r="P381" s="9"/>
      <c r="Q381" s="9"/>
      <c r="R381" s="9"/>
      <c r="S381" s="9"/>
    </row>
    <row r="382" spans="5:19" ht="15.75" customHeight="1" x14ac:dyDescent="0.3">
      <c r="E382" s="9"/>
      <c r="F382" s="9"/>
      <c r="H382" s="9"/>
      <c r="M382" s="9"/>
      <c r="N382" s="9"/>
      <c r="O382" s="9"/>
      <c r="P382" s="9"/>
      <c r="Q382" s="9"/>
      <c r="R382" s="9"/>
      <c r="S382" s="9"/>
    </row>
    <row r="383" spans="5:19" ht="15.75" customHeight="1" x14ac:dyDescent="0.3">
      <c r="E383" s="9"/>
      <c r="F383" s="9"/>
      <c r="H383" s="9"/>
      <c r="M383" s="9"/>
      <c r="N383" s="9"/>
      <c r="O383" s="9"/>
      <c r="P383" s="9"/>
      <c r="Q383" s="9"/>
      <c r="R383" s="9"/>
      <c r="S383" s="9"/>
    </row>
    <row r="384" spans="5:19" ht="15.75" customHeight="1" x14ac:dyDescent="0.3">
      <c r="E384" s="9"/>
      <c r="F384" s="9"/>
      <c r="H384" s="9"/>
      <c r="M384" s="9"/>
      <c r="N384" s="9"/>
      <c r="O384" s="9"/>
      <c r="P384" s="9"/>
      <c r="Q384" s="9"/>
      <c r="R384" s="9"/>
      <c r="S384" s="9"/>
    </row>
    <row r="385" spans="5:19" ht="15.75" customHeight="1" x14ac:dyDescent="0.3">
      <c r="E385" s="9"/>
      <c r="F385" s="9"/>
      <c r="H385" s="9"/>
      <c r="M385" s="9"/>
      <c r="N385" s="9"/>
      <c r="O385" s="9"/>
      <c r="P385" s="9"/>
      <c r="Q385" s="9"/>
      <c r="R385" s="9"/>
      <c r="S385" s="9"/>
    </row>
    <row r="386" spans="5:19" ht="15.75" customHeight="1" x14ac:dyDescent="0.3">
      <c r="E386" s="9"/>
      <c r="F386" s="9"/>
      <c r="H386" s="9"/>
      <c r="M386" s="9"/>
      <c r="N386" s="9"/>
      <c r="O386" s="9"/>
      <c r="P386" s="9"/>
      <c r="Q386" s="9"/>
      <c r="R386" s="9"/>
      <c r="S386" s="9"/>
    </row>
    <row r="387" spans="5:19" ht="15.75" customHeight="1" x14ac:dyDescent="0.3">
      <c r="E387" s="9"/>
      <c r="F387" s="9"/>
      <c r="H387" s="9"/>
      <c r="M387" s="9"/>
      <c r="N387" s="9"/>
      <c r="O387" s="9"/>
      <c r="P387" s="9"/>
      <c r="Q387" s="9"/>
      <c r="R387" s="9"/>
      <c r="S387" s="9"/>
    </row>
    <row r="388" spans="5:19" ht="15.75" customHeight="1" x14ac:dyDescent="0.3">
      <c r="E388" s="9"/>
      <c r="F388" s="9"/>
      <c r="H388" s="9"/>
      <c r="M388" s="9"/>
      <c r="N388" s="9"/>
      <c r="O388" s="9"/>
      <c r="P388" s="9"/>
      <c r="Q388" s="9"/>
      <c r="R388" s="9"/>
      <c r="S388" s="9"/>
    </row>
    <row r="389" spans="5:19" ht="15.75" customHeight="1" x14ac:dyDescent="0.3">
      <c r="E389" s="9"/>
      <c r="F389" s="9"/>
      <c r="H389" s="9"/>
      <c r="M389" s="9"/>
      <c r="N389" s="9"/>
      <c r="O389" s="9"/>
      <c r="P389" s="9"/>
      <c r="Q389" s="9"/>
      <c r="R389" s="9"/>
      <c r="S389" s="9"/>
    </row>
    <row r="390" spans="5:19" ht="15.75" customHeight="1" x14ac:dyDescent="0.3">
      <c r="E390" s="9"/>
      <c r="F390" s="9"/>
      <c r="H390" s="9"/>
      <c r="M390" s="9"/>
      <c r="N390" s="9"/>
      <c r="O390" s="9"/>
      <c r="P390" s="9"/>
      <c r="Q390" s="9"/>
      <c r="R390" s="9"/>
      <c r="S390" s="9"/>
    </row>
    <row r="391" spans="5:19" ht="15.75" customHeight="1" x14ac:dyDescent="0.3">
      <c r="E391" s="9"/>
      <c r="F391" s="9"/>
      <c r="H391" s="9"/>
      <c r="M391" s="9"/>
      <c r="N391" s="9"/>
      <c r="O391" s="9"/>
      <c r="P391" s="9"/>
      <c r="Q391" s="9"/>
      <c r="R391" s="9"/>
      <c r="S391" s="9"/>
    </row>
    <row r="392" spans="5:19" ht="15.75" customHeight="1" x14ac:dyDescent="0.3">
      <c r="E392" s="9"/>
      <c r="F392" s="9"/>
      <c r="H392" s="9"/>
      <c r="M392" s="9"/>
      <c r="N392" s="9"/>
      <c r="O392" s="9"/>
      <c r="P392" s="9"/>
      <c r="Q392" s="9"/>
      <c r="R392" s="9"/>
      <c r="S392" s="9"/>
    </row>
    <row r="393" spans="5:19" ht="15.75" customHeight="1" x14ac:dyDescent="0.3">
      <c r="E393" s="9"/>
      <c r="F393" s="9"/>
      <c r="H393" s="9"/>
      <c r="M393" s="9"/>
      <c r="N393" s="9"/>
      <c r="O393" s="9"/>
      <c r="P393" s="9"/>
      <c r="Q393" s="9"/>
      <c r="R393" s="9"/>
      <c r="S393" s="9"/>
    </row>
    <row r="394" spans="5:19" ht="15.75" customHeight="1" x14ac:dyDescent="0.3">
      <c r="E394" s="9"/>
      <c r="F394" s="9"/>
      <c r="H394" s="9"/>
      <c r="M394" s="9"/>
      <c r="N394" s="9"/>
      <c r="O394" s="9"/>
      <c r="P394" s="9"/>
      <c r="Q394" s="9"/>
      <c r="R394" s="9"/>
      <c r="S394" s="9"/>
    </row>
    <row r="395" spans="5:19" ht="15.75" customHeight="1" x14ac:dyDescent="0.3">
      <c r="E395" s="9"/>
      <c r="F395" s="9"/>
      <c r="H395" s="9"/>
      <c r="M395" s="9"/>
      <c r="N395" s="9"/>
      <c r="O395" s="9"/>
      <c r="P395" s="9"/>
      <c r="Q395" s="9"/>
      <c r="R395" s="9"/>
      <c r="S395" s="9"/>
    </row>
    <row r="396" spans="5:19" ht="15.75" customHeight="1" x14ac:dyDescent="0.3">
      <c r="E396" s="9"/>
      <c r="F396" s="9"/>
      <c r="H396" s="9"/>
      <c r="M396" s="9"/>
      <c r="N396" s="9"/>
      <c r="O396" s="9"/>
      <c r="P396" s="9"/>
      <c r="Q396" s="9"/>
      <c r="R396" s="9"/>
      <c r="S396" s="9"/>
    </row>
    <row r="397" spans="5:19" ht="15.75" customHeight="1" x14ac:dyDescent="0.3">
      <c r="E397" s="9"/>
      <c r="F397" s="9"/>
      <c r="H397" s="9"/>
      <c r="M397" s="9"/>
      <c r="N397" s="9"/>
      <c r="O397" s="9"/>
      <c r="P397" s="9"/>
      <c r="Q397" s="9"/>
      <c r="R397" s="9"/>
      <c r="S397" s="9"/>
    </row>
    <row r="398" spans="5:19" ht="15.75" customHeight="1" x14ac:dyDescent="0.3">
      <c r="E398" s="9"/>
      <c r="F398" s="9"/>
      <c r="H398" s="9"/>
      <c r="M398" s="9"/>
      <c r="N398" s="9"/>
      <c r="O398" s="9"/>
      <c r="P398" s="9"/>
      <c r="Q398" s="9"/>
      <c r="R398" s="9"/>
      <c r="S398" s="9"/>
    </row>
    <row r="399" spans="5:19" ht="15.75" customHeight="1" x14ac:dyDescent="0.3">
      <c r="E399" s="9"/>
      <c r="F399" s="9"/>
      <c r="H399" s="9"/>
      <c r="M399" s="9"/>
      <c r="N399" s="9"/>
      <c r="O399" s="9"/>
      <c r="P399" s="9"/>
      <c r="Q399" s="9"/>
      <c r="R399" s="9"/>
      <c r="S399" s="9"/>
    </row>
    <row r="400" spans="5:19" ht="15.75" customHeight="1" x14ac:dyDescent="0.3">
      <c r="E400" s="9"/>
      <c r="F400" s="9"/>
      <c r="H400" s="9"/>
      <c r="M400" s="9"/>
      <c r="N400" s="9"/>
      <c r="O400" s="9"/>
      <c r="P400" s="9"/>
      <c r="Q400" s="9"/>
      <c r="R400" s="9"/>
      <c r="S400" s="9"/>
    </row>
    <row r="401" spans="5:19" ht="15.75" customHeight="1" x14ac:dyDescent="0.3">
      <c r="E401" s="9"/>
      <c r="F401" s="9"/>
      <c r="H401" s="9"/>
      <c r="M401" s="9"/>
      <c r="N401" s="9"/>
      <c r="O401" s="9"/>
      <c r="P401" s="9"/>
      <c r="Q401" s="9"/>
      <c r="R401" s="9"/>
      <c r="S401" s="9"/>
    </row>
    <row r="402" spans="5:19" ht="15.75" customHeight="1" x14ac:dyDescent="0.3">
      <c r="E402" s="9"/>
      <c r="F402" s="9"/>
      <c r="H402" s="9"/>
      <c r="M402" s="9"/>
      <c r="N402" s="9"/>
      <c r="O402" s="9"/>
      <c r="P402" s="9"/>
      <c r="Q402" s="9"/>
      <c r="R402" s="9"/>
      <c r="S402" s="9"/>
    </row>
    <row r="403" spans="5:19" ht="15.75" customHeight="1" x14ac:dyDescent="0.3">
      <c r="E403" s="9"/>
      <c r="F403" s="9"/>
      <c r="H403" s="9"/>
      <c r="M403" s="9"/>
      <c r="N403" s="9"/>
      <c r="O403" s="9"/>
      <c r="P403" s="9"/>
      <c r="Q403" s="9"/>
      <c r="R403" s="9"/>
      <c r="S403" s="9"/>
    </row>
    <row r="404" spans="5:19" ht="15.75" customHeight="1" x14ac:dyDescent="0.3">
      <c r="E404" s="9"/>
      <c r="F404" s="9"/>
      <c r="H404" s="9"/>
      <c r="M404" s="9"/>
      <c r="N404" s="9"/>
      <c r="O404" s="9"/>
      <c r="P404" s="9"/>
      <c r="Q404" s="9"/>
      <c r="R404" s="9"/>
      <c r="S404" s="9"/>
    </row>
    <row r="405" spans="5:19" ht="15.75" customHeight="1" x14ac:dyDescent="0.3">
      <c r="E405" s="9"/>
      <c r="F405" s="9"/>
      <c r="H405" s="9"/>
      <c r="M405" s="9"/>
      <c r="N405" s="9"/>
      <c r="O405" s="9"/>
      <c r="P405" s="9"/>
      <c r="Q405" s="9"/>
      <c r="R405" s="9"/>
      <c r="S405" s="9"/>
    </row>
    <row r="406" spans="5:19" ht="15.75" customHeight="1" x14ac:dyDescent="0.3">
      <c r="E406" s="9"/>
      <c r="F406" s="9"/>
      <c r="H406" s="9"/>
      <c r="M406" s="9"/>
      <c r="N406" s="9"/>
      <c r="O406" s="9"/>
      <c r="P406" s="9"/>
      <c r="Q406" s="9"/>
      <c r="R406" s="9"/>
      <c r="S406" s="9"/>
    </row>
    <row r="407" spans="5:19" ht="15.75" customHeight="1" x14ac:dyDescent="0.3">
      <c r="E407" s="9"/>
      <c r="F407" s="9"/>
      <c r="H407" s="9"/>
      <c r="M407" s="9"/>
      <c r="N407" s="9"/>
      <c r="O407" s="9"/>
      <c r="P407" s="9"/>
      <c r="Q407" s="9"/>
      <c r="R407" s="9"/>
      <c r="S407" s="9"/>
    </row>
    <row r="408" spans="5:19" ht="15.75" customHeight="1" x14ac:dyDescent="0.3">
      <c r="E408" s="9"/>
      <c r="F408" s="9"/>
      <c r="H408" s="9"/>
      <c r="M408" s="9"/>
      <c r="N408" s="9"/>
      <c r="O408" s="9"/>
      <c r="P408" s="9"/>
      <c r="Q408" s="9"/>
      <c r="R408" s="9"/>
      <c r="S408" s="9"/>
    </row>
    <row r="409" spans="5:19" ht="15.75" customHeight="1" x14ac:dyDescent="0.3">
      <c r="E409" s="9"/>
      <c r="F409" s="9"/>
      <c r="H409" s="9"/>
      <c r="M409" s="9"/>
      <c r="N409" s="9"/>
      <c r="O409" s="9"/>
      <c r="P409" s="9"/>
      <c r="Q409" s="9"/>
      <c r="R409" s="9"/>
      <c r="S409" s="9"/>
    </row>
    <row r="410" spans="5:19" ht="15.75" customHeight="1" x14ac:dyDescent="0.3">
      <c r="E410" s="9"/>
      <c r="F410" s="9"/>
      <c r="H410" s="9"/>
      <c r="M410" s="9"/>
      <c r="N410" s="9"/>
      <c r="O410" s="9"/>
      <c r="P410" s="9"/>
      <c r="Q410" s="9"/>
      <c r="R410" s="9"/>
      <c r="S410" s="9"/>
    </row>
    <row r="411" spans="5:19" ht="15.75" customHeight="1" x14ac:dyDescent="0.3">
      <c r="E411" s="9"/>
      <c r="F411" s="9"/>
      <c r="H411" s="9"/>
      <c r="M411" s="9"/>
      <c r="N411" s="9"/>
      <c r="O411" s="9"/>
      <c r="P411" s="9"/>
      <c r="Q411" s="9"/>
      <c r="R411" s="9"/>
      <c r="S411" s="9"/>
    </row>
    <row r="412" spans="5:19" ht="15.75" customHeight="1" x14ac:dyDescent="0.3">
      <c r="E412" s="9"/>
      <c r="F412" s="9"/>
      <c r="H412" s="9"/>
      <c r="M412" s="9"/>
      <c r="N412" s="9"/>
      <c r="O412" s="9"/>
      <c r="P412" s="9"/>
      <c r="Q412" s="9"/>
      <c r="R412" s="9"/>
      <c r="S412" s="9"/>
    </row>
    <row r="413" spans="5:19" ht="15.75" customHeight="1" x14ac:dyDescent="0.3">
      <c r="E413" s="9"/>
      <c r="F413" s="9"/>
      <c r="H413" s="9"/>
      <c r="M413" s="9"/>
      <c r="N413" s="9"/>
      <c r="O413" s="9"/>
      <c r="P413" s="9"/>
      <c r="Q413" s="9"/>
      <c r="R413" s="9"/>
      <c r="S413" s="9"/>
    </row>
    <row r="414" spans="5:19" ht="15.75" customHeight="1" x14ac:dyDescent="0.3">
      <c r="E414" s="9"/>
      <c r="F414" s="9"/>
      <c r="H414" s="9"/>
      <c r="M414" s="9"/>
      <c r="N414" s="9"/>
      <c r="O414" s="9"/>
      <c r="P414" s="9"/>
      <c r="Q414" s="9"/>
      <c r="R414" s="9"/>
      <c r="S414" s="9"/>
    </row>
    <row r="415" spans="5:19" ht="15.75" customHeight="1" x14ac:dyDescent="0.3">
      <c r="E415" s="9"/>
      <c r="F415" s="9"/>
      <c r="H415" s="9"/>
      <c r="M415" s="9"/>
      <c r="N415" s="9"/>
      <c r="O415" s="9"/>
      <c r="P415" s="9"/>
      <c r="Q415" s="9"/>
      <c r="R415" s="9"/>
      <c r="S415" s="9"/>
    </row>
    <row r="416" spans="5:19" ht="15.75" customHeight="1" x14ac:dyDescent="0.3">
      <c r="E416" s="9"/>
      <c r="F416" s="9"/>
      <c r="H416" s="9"/>
      <c r="M416" s="9"/>
      <c r="N416" s="9"/>
      <c r="O416" s="9"/>
      <c r="P416" s="9"/>
      <c r="Q416" s="9"/>
      <c r="R416" s="9"/>
      <c r="S416" s="9"/>
    </row>
    <row r="417" spans="5:19" ht="15.75" customHeight="1" x14ac:dyDescent="0.3">
      <c r="E417" s="9"/>
      <c r="F417" s="9"/>
      <c r="H417" s="9"/>
      <c r="M417" s="9"/>
      <c r="N417" s="9"/>
      <c r="O417" s="9"/>
      <c r="P417" s="9"/>
      <c r="Q417" s="9"/>
      <c r="R417" s="9"/>
      <c r="S417" s="9"/>
    </row>
    <row r="418" spans="5:19" ht="15.75" customHeight="1" x14ac:dyDescent="0.3">
      <c r="E418" s="9"/>
      <c r="F418" s="9"/>
      <c r="H418" s="9"/>
      <c r="M418" s="9"/>
      <c r="N418" s="9"/>
      <c r="O418" s="9"/>
      <c r="P418" s="9"/>
      <c r="Q418" s="9"/>
      <c r="R418" s="9"/>
      <c r="S418" s="9"/>
    </row>
    <row r="419" spans="5:19" ht="15.75" customHeight="1" x14ac:dyDescent="0.3">
      <c r="E419" s="9"/>
      <c r="F419" s="9"/>
      <c r="H419" s="9"/>
      <c r="M419" s="9"/>
      <c r="N419" s="9"/>
      <c r="O419" s="9"/>
      <c r="P419" s="9"/>
      <c r="Q419" s="9"/>
      <c r="R419" s="9"/>
      <c r="S419" s="9"/>
    </row>
    <row r="420" spans="5:19" ht="15.75" customHeight="1" x14ac:dyDescent="0.3">
      <c r="E420" s="9"/>
      <c r="F420" s="9"/>
      <c r="H420" s="9"/>
      <c r="M420" s="9"/>
      <c r="N420" s="9"/>
      <c r="O420" s="9"/>
      <c r="P420" s="9"/>
      <c r="Q420" s="9"/>
      <c r="R420" s="9"/>
      <c r="S420" s="9"/>
    </row>
    <row r="421" spans="5:19" ht="15.75" customHeight="1" x14ac:dyDescent="0.3">
      <c r="E421" s="9"/>
      <c r="F421" s="9"/>
      <c r="H421" s="9"/>
      <c r="M421" s="9"/>
      <c r="N421" s="9"/>
      <c r="O421" s="9"/>
      <c r="P421" s="9"/>
      <c r="Q421" s="9"/>
      <c r="R421" s="9"/>
      <c r="S421" s="9"/>
    </row>
    <row r="422" spans="5:19" ht="15.75" customHeight="1" x14ac:dyDescent="0.3">
      <c r="E422" s="9"/>
      <c r="F422" s="9"/>
      <c r="H422" s="9"/>
      <c r="M422" s="9"/>
      <c r="N422" s="9"/>
      <c r="O422" s="9"/>
      <c r="P422" s="9"/>
      <c r="Q422" s="9"/>
      <c r="R422" s="9"/>
      <c r="S422" s="9"/>
    </row>
    <row r="423" spans="5:19" ht="15.75" customHeight="1" x14ac:dyDescent="0.3">
      <c r="E423" s="9"/>
      <c r="F423" s="9"/>
      <c r="H423" s="9"/>
      <c r="M423" s="9"/>
      <c r="N423" s="9"/>
      <c r="O423" s="9"/>
      <c r="P423" s="9"/>
      <c r="Q423" s="9"/>
      <c r="R423" s="9"/>
      <c r="S423" s="9"/>
    </row>
    <row r="424" spans="5:19" ht="15.75" customHeight="1" x14ac:dyDescent="0.3">
      <c r="E424" s="9"/>
      <c r="F424" s="9"/>
      <c r="H424" s="9"/>
      <c r="M424" s="9"/>
      <c r="N424" s="9"/>
      <c r="O424" s="9"/>
      <c r="P424" s="9"/>
      <c r="Q424" s="9"/>
      <c r="R424" s="9"/>
      <c r="S424" s="9"/>
    </row>
    <row r="425" spans="5:19" ht="15.75" customHeight="1" x14ac:dyDescent="0.3">
      <c r="E425" s="9"/>
      <c r="F425" s="9"/>
      <c r="H425" s="9"/>
      <c r="M425" s="9"/>
      <c r="N425" s="9"/>
      <c r="O425" s="9"/>
      <c r="P425" s="9"/>
      <c r="Q425" s="9"/>
      <c r="R425" s="9"/>
      <c r="S425" s="9"/>
    </row>
    <row r="426" spans="5:19" ht="15.75" customHeight="1" x14ac:dyDescent="0.3">
      <c r="E426" s="9"/>
      <c r="F426" s="9"/>
      <c r="H426" s="9"/>
      <c r="M426" s="9"/>
      <c r="N426" s="9"/>
      <c r="O426" s="9"/>
      <c r="P426" s="9"/>
      <c r="Q426" s="9"/>
      <c r="R426" s="9"/>
      <c r="S426" s="9"/>
    </row>
    <row r="427" spans="5:19" ht="15.75" customHeight="1" x14ac:dyDescent="0.3">
      <c r="E427" s="9"/>
      <c r="F427" s="9"/>
      <c r="H427" s="9"/>
      <c r="M427" s="9"/>
      <c r="N427" s="9"/>
      <c r="O427" s="9"/>
      <c r="P427" s="9"/>
      <c r="Q427" s="9"/>
      <c r="R427" s="9"/>
      <c r="S427" s="9"/>
    </row>
    <row r="428" spans="5:19" ht="15.75" customHeight="1" x14ac:dyDescent="0.3">
      <c r="E428" s="9"/>
      <c r="F428" s="9"/>
      <c r="H428" s="9"/>
      <c r="M428" s="9"/>
      <c r="N428" s="9"/>
      <c r="O428" s="9"/>
      <c r="P428" s="9"/>
      <c r="Q428" s="9"/>
      <c r="R428" s="9"/>
      <c r="S428" s="9"/>
    </row>
    <row r="429" spans="5:19" ht="15.75" customHeight="1" x14ac:dyDescent="0.3">
      <c r="E429" s="9"/>
      <c r="F429" s="9"/>
      <c r="H429" s="9"/>
      <c r="M429" s="9"/>
      <c r="N429" s="9"/>
      <c r="O429" s="9"/>
      <c r="P429" s="9"/>
      <c r="Q429" s="9"/>
      <c r="R429" s="9"/>
      <c r="S429" s="9"/>
    </row>
    <row r="430" spans="5:19" ht="15.75" customHeight="1" x14ac:dyDescent="0.3">
      <c r="E430" s="9"/>
      <c r="F430" s="9"/>
      <c r="H430" s="9"/>
      <c r="M430" s="9"/>
      <c r="N430" s="9"/>
      <c r="O430" s="9"/>
      <c r="P430" s="9"/>
      <c r="Q430" s="9"/>
      <c r="R430" s="9"/>
      <c r="S430" s="9"/>
    </row>
    <row r="431" spans="5:19" ht="15.75" customHeight="1" x14ac:dyDescent="0.3">
      <c r="E431" s="9"/>
      <c r="F431" s="9"/>
      <c r="H431" s="9"/>
      <c r="M431" s="9"/>
      <c r="N431" s="9"/>
      <c r="O431" s="9"/>
      <c r="P431" s="9"/>
      <c r="Q431" s="9"/>
      <c r="R431" s="9"/>
      <c r="S431" s="9"/>
    </row>
    <row r="432" spans="5:19" ht="15.75" customHeight="1" x14ac:dyDescent="0.3">
      <c r="E432" s="9"/>
      <c r="F432" s="9"/>
      <c r="H432" s="9"/>
      <c r="M432" s="9"/>
      <c r="N432" s="9"/>
      <c r="O432" s="9"/>
      <c r="P432" s="9"/>
      <c r="Q432" s="9"/>
      <c r="R432" s="9"/>
      <c r="S432" s="9"/>
    </row>
    <row r="433" spans="5:19" ht="15.75" customHeight="1" x14ac:dyDescent="0.3">
      <c r="E433" s="9"/>
      <c r="F433" s="9"/>
      <c r="H433" s="9"/>
      <c r="M433" s="9"/>
      <c r="N433" s="9"/>
      <c r="O433" s="9"/>
      <c r="P433" s="9"/>
      <c r="Q433" s="9"/>
      <c r="R433" s="9"/>
      <c r="S433" s="9"/>
    </row>
    <row r="434" spans="5:19" ht="15.75" customHeight="1" x14ac:dyDescent="0.3">
      <c r="E434" s="9"/>
      <c r="F434" s="9"/>
      <c r="H434" s="9"/>
      <c r="M434" s="9"/>
      <c r="N434" s="9"/>
      <c r="O434" s="9"/>
      <c r="P434" s="9"/>
      <c r="Q434" s="9"/>
      <c r="R434" s="9"/>
      <c r="S434" s="9"/>
    </row>
    <row r="435" spans="5:19" ht="15.75" customHeight="1" x14ac:dyDescent="0.3">
      <c r="E435" s="9"/>
      <c r="F435" s="9"/>
      <c r="H435" s="9"/>
      <c r="M435" s="9"/>
      <c r="N435" s="9"/>
      <c r="O435" s="9"/>
      <c r="P435" s="9"/>
      <c r="Q435" s="9"/>
      <c r="R435" s="9"/>
      <c r="S435" s="9"/>
    </row>
    <row r="436" spans="5:19" ht="15.75" customHeight="1" x14ac:dyDescent="0.3">
      <c r="E436" s="9"/>
      <c r="F436" s="9"/>
      <c r="H436" s="9"/>
      <c r="M436" s="9"/>
      <c r="N436" s="9"/>
      <c r="O436" s="9"/>
      <c r="P436" s="9"/>
      <c r="Q436" s="9"/>
      <c r="R436" s="9"/>
      <c r="S436" s="9"/>
    </row>
    <row r="437" spans="5:19" ht="15.75" customHeight="1" x14ac:dyDescent="0.3">
      <c r="E437" s="9"/>
      <c r="F437" s="9"/>
      <c r="H437" s="9"/>
      <c r="M437" s="9"/>
      <c r="N437" s="9"/>
      <c r="O437" s="9"/>
      <c r="P437" s="9"/>
      <c r="Q437" s="9"/>
      <c r="R437" s="9"/>
      <c r="S437" s="9"/>
    </row>
    <row r="438" spans="5:19" ht="15.75" customHeight="1" x14ac:dyDescent="0.3">
      <c r="E438" s="9"/>
      <c r="F438" s="9"/>
      <c r="H438" s="9"/>
      <c r="M438" s="9"/>
      <c r="N438" s="9"/>
      <c r="O438" s="9"/>
      <c r="P438" s="9"/>
      <c r="Q438" s="9"/>
      <c r="R438" s="9"/>
      <c r="S438" s="9"/>
    </row>
    <row r="439" spans="5:19" ht="15.75" customHeight="1" x14ac:dyDescent="0.3">
      <c r="E439" s="9"/>
      <c r="F439" s="9"/>
      <c r="H439" s="9"/>
      <c r="M439" s="9"/>
      <c r="N439" s="9"/>
      <c r="O439" s="9"/>
      <c r="P439" s="9"/>
      <c r="Q439" s="9"/>
      <c r="R439" s="9"/>
      <c r="S439" s="9"/>
    </row>
    <row r="440" spans="5:19" ht="15.75" customHeight="1" x14ac:dyDescent="0.3">
      <c r="E440" s="9"/>
      <c r="F440" s="9"/>
      <c r="H440" s="9"/>
      <c r="M440" s="9"/>
      <c r="N440" s="9"/>
      <c r="O440" s="9"/>
      <c r="P440" s="9"/>
      <c r="Q440" s="9"/>
      <c r="R440" s="9"/>
      <c r="S440" s="9"/>
    </row>
    <row r="441" spans="5:19" ht="15.75" customHeight="1" x14ac:dyDescent="0.3">
      <c r="E441" s="9"/>
      <c r="F441" s="9"/>
      <c r="H441" s="9"/>
      <c r="M441" s="9"/>
      <c r="N441" s="9"/>
      <c r="O441" s="9"/>
      <c r="P441" s="9"/>
      <c r="Q441" s="9"/>
      <c r="R441" s="9"/>
      <c r="S441" s="9"/>
    </row>
    <row r="442" spans="5:19" ht="15.75" customHeight="1" x14ac:dyDescent="0.3">
      <c r="E442" s="9"/>
      <c r="F442" s="9"/>
      <c r="H442" s="9"/>
      <c r="M442" s="9"/>
      <c r="N442" s="9"/>
      <c r="O442" s="9"/>
      <c r="P442" s="9"/>
      <c r="Q442" s="9"/>
      <c r="R442" s="9"/>
      <c r="S442" s="9"/>
    </row>
    <row r="443" spans="5:19" ht="15.75" customHeight="1" x14ac:dyDescent="0.3">
      <c r="E443" s="9"/>
      <c r="F443" s="9"/>
      <c r="H443" s="9"/>
      <c r="M443" s="9"/>
      <c r="N443" s="9"/>
      <c r="O443" s="9"/>
      <c r="P443" s="9"/>
      <c r="Q443" s="9"/>
      <c r="R443" s="9"/>
      <c r="S443" s="9"/>
    </row>
    <row r="444" spans="5:19" ht="15.75" customHeight="1" x14ac:dyDescent="0.3">
      <c r="E444" s="9"/>
      <c r="F444" s="9"/>
      <c r="H444" s="9"/>
      <c r="M444" s="9"/>
      <c r="N444" s="9"/>
      <c r="O444" s="9"/>
      <c r="P444" s="9"/>
      <c r="Q444" s="9"/>
      <c r="R444" s="9"/>
      <c r="S444" s="9"/>
    </row>
    <row r="445" spans="5:19" ht="15.75" customHeight="1" x14ac:dyDescent="0.3">
      <c r="E445" s="9"/>
      <c r="F445" s="9"/>
      <c r="H445" s="9"/>
      <c r="M445" s="9"/>
      <c r="N445" s="9"/>
      <c r="O445" s="9"/>
      <c r="P445" s="9"/>
      <c r="Q445" s="9"/>
      <c r="R445" s="9"/>
      <c r="S445" s="9"/>
    </row>
    <row r="446" spans="5:19" ht="15.75" customHeight="1" x14ac:dyDescent="0.3">
      <c r="E446" s="9"/>
      <c r="F446" s="9"/>
      <c r="H446" s="9"/>
      <c r="M446" s="9"/>
      <c r="N446" s="9"/>
      <c r="O446" s="9"/>
      <c r="P446" s="9"/>
      <c r="Q446" s="9"/>
      <c r="R446" s="9"/>
      <c r="S446" s="9"/>
    </row>
    <row r="447" spans="5:19" ht="15.75" customHeight="1" x14ac:dyDescent="0.3">
      <c r="E447" s="9"/>
      <c r="F447" s="9"/>
      <c r="H447" s="9"/>
      <c r="M447" s="9"/>
      <c r="N447" s="9"/>
      <c r="O447" s="9"/>
      <c r="P447" s="9"/>
      <c r="Q447" s="9"/>
      <c r="R447" s="9"/>
      <c r="S447" s="9"/>
    </row>
    <row r="448" spans="5:19" ht="15.75" customHeight="1" x14ac:dyDescent="0.3">
      <c r="E448" s="9"/>
      <c r="F448" s="9"/>
      <c r="H448" s="9"/>
      <c r="M448" s="9"/>
      <c r="N448" s="9"/>
      <c r="O448" s="9"/>
      <c r="P448" s="9"/>
      <c r="Q448" s="9"/>
      <c r="R448" s="9"/>
      <c r="S448" s="9"/>
    </row>
    <row r="449" spans="5:19" ht="15.75" customHeight="1" x14ac:dyDescent="0.3">
      <c r="E449" s="9"/>
      <c r="F449" s="9"/>
      <c r="H449" s="9"/>
      <c r="M449" s="9"/>
      <c r="N449" s="9"/>
      <c r="O449" s="9"/>
      <c r="P449" s="9"/>
      <c r="Q449" s="9"/>
      <c r="R449" s="9"/>
      <c r="S449" s="9"/>
    </row>
    <row r="450" spans="5:19" ht="15.75" customHeight="1" x14ac:dyDescent="0.3">
      <c r="E450" s="9"/>
      <c r="F450" s="9"/>
      <c r="H450" s="9"/>
      <c r="M450" s="9"/>
      <c r="N450" s="9"/>
      <c r="O450" s="9"/>
      <c r="P450" s="9"/>
      <c r="Q450" s="9"/>
      <c r="R450" s="9"/>
      <c r="S450" s="9"/>
    </row>
    <row r="451" spans="5:19" ht="15.75" customHeight="1" x14ac:dyDescent="0.3">
      <c r="E451" s="9"/>
      <c r="F451" s="9"/>
      <c r="H451" s="9"/>
      <c r="M451" s="9"/>
      <c r="N451" s="9"/>
      <c r="O451" s="9"/>
      <c r="P451" s="9"/>
      <c r="Q451" s="9"/>
      <c r="R451" s="9"/>
      <c r="S451" s="9"/>
    </row>
    <row r="452" spans="5:19" ht="15.75" customHeight="1" x14ac:dyDescent="0.3">
      <c r="E452" s="9"/>
      <c r="F452" s="9"/>
      <c r="H452" s="9"/>
      <c r="M452" s="9"/>
      <c r="N452" s="9"/>
      <c r="O452" s="9"/>
      <c r="P452" s="9"/>
      <c r="Q452" s="9"/>
      <c r="R452" s="9"/>
      <c r="S452" s="9"/>
    </row>
    <row r="453" spans="5:19" ht="15.75" customHeight="1" x14ac:dyDescent="0.3">
      <c r="E453" s="9"/>
      <c r="F453" s="9"/>
      <c r="H453" s="9"/>
      <c r="M453" s="9"/>
      <c r="N453" s="9"/>
      <c r="O453" s="9"/>
      <c r="P453" s="9"/>
      <c r="Q453" s="9"/>
      <c r="R453" s="9"/>
      <c r="S453" s="9"/>
    </row>
    <row r="454" spans="5:19" ht="15.75" customHeight="1" x14ac:dyDescent="0.3">
      <c r="E454" s="9"/>
      <c r="F454" s="9"/>
      <c r="H454" s="9"/>
      <c r="M454" s="9"/>
      <c r="N454" s="9"/>
      <c r="O454" s="9"/>
      <c r="P454" s="9"/>
      <c r="Q454" s="9"/>
      <c r="R454" s="9"/>
      <c r="S454" s="9"/>
    </row>
    <row r="455" spans="5:19" ht="15.75" customHeight="1" x14ac:dyDescent="0.3">
      <c r="E455" s="9"/>
      <c r="F455" s="9"/>
      <c r="H455" s="9"/>
      <c r="M455" s="9"/>
      <c r="N455" s="9"/>
      <c r="O455" s="9"/>
      <c r="P455" s="9"/>
      <c r="Q455" s="9"/>
      <c r="R455" s="9"/>
      <c r="S455" s="9"/>
    </row>
    <row r="456" spans="5:19" ht="15.75" customHeight="1" x14ac:dyDescent="0.3">
      <c r="E456" s="9"/>
      <c r="F456" s="9"/>
      <c r="H456" s="9"/>
      <c r="M456" s="9"/>
      <c r="N456" s="9"/>
      <c r="O456" s="9"/>
      <c r="P456" s="9"/>
      <c r="Q456" s="9"/>
      <c r="R456" s="9"/>
      <c r="S456" s="9"/>
    </row>
    <row r="457" spans="5:19" ht="15.75" customHeight="1" x14ac:dyDescent="0.3">
      <c r="E457" s="9"/>
      <c r="F457" s="9"/>
      <c r="H457" s="9"/>
      <c r="M457" s="9"/>
      <c r="N457" s="9"/>
      <c r="O457" s="9"/>
      <c r="P457" s="9"/>
      <c r="Q457" s="9"/>
      <c r="R457" s="9"/>
      <c r="S457" s="9"/>
    </row>
    <row r="458" spans="5:19" ht="15.75" customHeight="1" x14ac:dyDescent="0.3">
      <c r="E458" s="9"/>
      <c r="F458" s="9"/>
      <c r="H458" s="9"/>
      <c r="M458" s="9"/>
      <c r="N458" s="9"/>
      <c r="O458" s="9"/>
      <c r="P458" s="9"/>
      <c r="Q458" s="9"/>
      <c r="R458" s="9"/>
      <c r="S458" s="9"/>
    </row>
    <row r="459" spans="5:19" ht="15.75" customHeight="1" x14ac:dyDescent="0.3">
      <c r="E459" s="9"/>
      <c r="F459" s="9"/>
      <c r="H459" s="9"/>
      <c r="M459" s="9"/>
      <c r="N459" s="9"/>
      <c r="O459" s="9"/>
      <c r="P459" s="9"/>
      <c r="Q459" s="9"/>
      <c r="R459" s="9"/>
      <c r="S459" s="9"/>
    </row>
    <row r="460" spans="5:19" ht="15.75" customHeight="1" x14ac:dyDescent="0.3">
      <c r="E460" s="9"/>
      <c r="F460" s="9"/>
      <c r="H460" s="9"/>
      <c r="M460" s="9"/>
      <c r="N460" s="9"/>
      <c r="O460" s="9"/>
      <c r="P460" s="9"/>
      <c r="Q460" s="9"/>
      <c r="R460" s="9"/>
      <c r="S460" s="9"/>
    </row>
    <row r="461" spans="5:19" ht="15.75" customHeight="1" x14ac:dyDescent="0.3">
      <c r="E461" s="9"/>
      <c r="F461" s="9"/>
      <c r="H461" s="9"/>
      <c r="M461" s="9"/>
      <c r="N461" s="9"/>
      <c r="O461" s="9"/>
      <c r="P461" s="9"/>
      <c r="Q461" s="9"/>
      <c r="R461" s="9"/>
      <c r="S461" s="9"/>
    </row>
    <row r="462" spans="5:19" ht="15.75" customHeight="1" x14ac:dyDescent="0.3">
      <c r="E462" s="9"/>
      <c r="F462" s="9"/>
      <c r="H462" s="9"/>
      <c r="M462" s="9"/>
      <c r="N462" s="9"/>
      <c r="O462" s="9"/>
      <c r="P462" s="9"/>
      <c r="Q462" s="9"/>
      <c r="R462" s="9"/>
      <c r="S462" s="9"/>
    </row>
    <row r="463" spans="5:19" ht="15.75" customHeight="1" x14ac:dyDescent="0.3">
      <c r="E463" s="9"/>
      <c r="F463" s="9"/>
      <c r="H463" s="9"/>
      <c r="M463" s="9"/>
      <c r="N463" s="9"/>
      <c r="O463" s="9"/>
      <c r="P463" s="9"/>
      <c r="Q463" s="9"/>
      <c r="R463" s="9"/>
      <c r="S463" s="9"/>
    </row>
    <row r="464" spans="5:19" ht="15.75" customHeight="1" x14ac:dyDescent="0.3">
      <c r="E464" s="9"/>
      <c r="F464" s="9"/>
      <c r="H464" s="9"/>
      <c r="M464" s="9"/>
      <c r="N464" s="9"/>
      <c r="O464" s="9"/>
      <c r="P464" s="9"/>
      <c r="Q464" s="9"/>
      <c r="R464" s="9"/>
      <c r="S464" s="9"/>
    </row>
    <row r="465" spans="5:19" ht="15.75" customHeight="1" x14ac:dyDescent="0.3">
      <c r="E465" s="9"/>
      <c r="F465" s="9"/>
      <c r="H465" s="9"/>
      <c r="M465" s="9"/>
      <c r="N465" s="9"/>
      <c r="O465" s="9"/>
      <c r="P465" s="9"/>
      <c r="Q465" s="9"/>
      <c r="R465" s="9"/>
      <c r="S465" s="9"/>
    </row>
    <row r="466" spans="5:19" ht="15.75" customHeight="1" x14ac:dyDescent="0.3">
      <c r="E466" s="9"/>
      <c r="F466" s="9"/>
      <c r="H466" s="9"/>
      <c r="M466" s="9"/>
      <c r="N466" s="9"/>
      <c r="O466" s="9"/>
      <c r="P466" s="9"/>
      <c r="Q466" s="9"/>
      <c r="R466" s="9"/>
      <c r="S466" s="9"/>
    </row>
    <row r="467" spans="5:19" ht="15.75" customHeight="1" x14ac:dyDescent="0.3">
      <c r="E467" s="9"/>
      <c r="F467" s="9"/>
      <c r="H467" s="9"/>
      <c r="M467" s="9"/>
      <c r="N467" s="9"/>
      <c r="O467" s="9"/>
      <c r="P467" s="9"/>
      <c r="Q467" s="9"/>
      <c r="R467" s="9"/>
      <c r="S467" s="9"/>
    </row>
    <row r="468" spans="5:19" ht="15.75" customHeight="1" x14ac:dyDescent="0.3">
      <c r="E468" s="9"/>
      <c r="F468" s="9"/>
      <c r="H468" s="9"/>
      <c r="M468" s="9"/>
      <c r="N468" s="9"/>
      <c r="O468" s="9"/>
      <c r="P468" s="9"/>
      <c r="Q468" s="9"/>
      <c r="R468" s="9"/>
      <c r="S468" s="9"/>
    </row>
    <row r="469" spans="5:19" ht="15.75" customHeight="1" x14ac:dyDescent="0.3">
      <c r="E469" s="9"/>
      <c r="F469" s="9"/>
      <c r="H469" s="9"/>
      <c r="M469" s="9"/>
      <c r="N469" s="9"/>
      <c r="O469" s="9"/>
      <c r="P469" s="9"/>
      <c r="Q469" s="9"/>
      <c r="R469" s="9"/>
      <c r="S469" s="9"/>
    </row>
    <row r="470" spans="5:19" ht="15.75" customHeight="1" x14ac:dyDescent="0.3">
      <c r="E470" s="9"/>
      <c r="F470" s="9"/>
      <c r="H470" s="9"/>
      <c r="M470" s="9"/>
      <c r="N470" s="9"/>
      <c r="O470" s="9"/>
      <c r="P470" s="9"/>
      <c r="Q470" s="9"/>
      <c r="R470" s="9"/>
      <c r="S470" s="9"/>
    </row>
    <row r="471" spans="5:19" ht="15.75" customHeight="1" x14ac:dyDescent="0.3">
      <c r="E471" s="9"/>
      <c r="F471" s="9"/>
      <c r="H471" s="9"/>
      <c r="M471" s="9"/>
      <c r="N471" s="9"/>
      <c r="O471" s="9"/>
      <c r="P471" s="9"/>
      <c r="Q471" s="9"/>
      <c r="R471" s="9"/>
      <c r="S471" s="9"/>
    </row>
    <row r="472" spans="5:19" ht="15.75" customHeight="1" x14ac:dyDescent="0.3">
      <c r="E472" s="9"/>
      <c r="F472" s="9"/>
      <c r="H472" s="9"/>
      <c r="M472" s="9"/>
      <c r="N472" s="9"/>
      <c r="O472" s="9"/>
      <c r="P472" s="9"/>
      <c r="Q472" s="9"/>
      <c r="R472" s="9"/>
      <c r="S472" s="9"/>
    </row>
    <row r="473" spans="5:19" ht="15.75" customHeight="1" x14ac:dyDescent="0.3">
      <c r="E473" s="9"/>
      <c r="F473" s="9"/>
      <c r="H473" s="9"/>
      <c r="M473" s="9"/>
      <c r="N473" s="9"/>
      <c r="O473" s="9"/>
      <c r="P473" s="9"/>
      <c r="Q473" s="9"/>
      <c r="R473" s="9"/>
      <c r="S473" s="9"/>
    </row>
    <row r="474" spans="5:19" ht="15.75" customHeight="1" x14ac:dyDescent="0.3">
      <c r="E474" s="9"/>
      <c r="F474" s="9"/>
      <c r="H474" s="9"/>
      <c r="M474" s="9"/>
      <c r="N474" s="9"/>
      <c r="O474" s="9"/>
      <c r="P474" s="9"/>
      <c r="Q474" s="9"/>
      <c r="R474" s="9"/>
      <c r="S474" s="9"/>
    </row>
    <row r="475" spans="5:19" ht="15.75" customHeight="1" x14ac:dyDescent="0.3">
      <c r="E475" s="9"/>
      <c r="F475" s="9"/>
      <c r="H475" s="9"/>
      <c r="M475" s="9"/>
      <c r="N475" s="9"/>
      <c r="O475" s="9"/>
      <c r="P475" s="9"/>
      <c r="Q475" s="9"/>
      <c r="R475" s="9"/>
      <c r="S475" s="9"/>
    </row>
    <row r="476" spans="5:19" ht="15.75" customHeight="1" x14ac:dyDescent="0.3">
      <c r="E476" s="9"/>
      <c r="F476" s="9"/>
      <c r="H476" s="9"/>
      <c r="M476" s="9"/>
      <c r="N476" s="9"/>
      <c r="O476" s="9"/>
      <c r="P476" s="9"/>
      <c r="Q476" s="9"/>
      <c r="R476" s="9"/>
      <c r="S476" s="9"/>
    </row>
    <row r="477" spans="5:19" ht="15.75" customHeight="1" x14ac:dyDescent="0.3">
      <c r="E477" s="9"/>
      <c r="F477" s="9"/>
      <c r="H477" s="9"/>
      <c r="M477" s="9"/>
      <c r="N477" s="9"/>
      <c r="O477" s="9"/>
      <c r="P477" s="9"/>
      <c r="Q477" s="9"/>
      <c r="R477" s="9"/>
      <c r="S477" s="9"/>
    </row>
    <row r="478" spans="5:19" ht="15.75" customHeight="1" x14ac:dyDescent="0.3">
      <c r="E478" s="9"/>
      <c r="F478" s="9"/>
      <c r="H478" s="9"/>
      <c r="M478" s="9"/>
      <c r="N478" s="9"/>
      <c r="O478" s="9"/>
      <c r="P478" s="9"/>
      <c r="Q478" s="9"/>
      <c r="R478" s="9"/>
      <c r="S478" s="9"/>
    </row>
    <row r="479" spans="5:19" ht="15.75" customHeight="1" x14ac:dyDescent="0.3">
      <c r="E479" s="9"/>
      <c r="F479" s="9"/>
      <c r="H479" s="9"/>
      <c r="M479" s="9"/>
      <c r="N479" s="9"/>
      <c r="O479" s="9"/>
      <c r="P479" s="9"/>
      <c r="Q479" s="9"/>
      <c r="R479" s="9"/>
      <c r="S479" s="9"/>
    </row>
    <row r="480" spans="5:19" ht="15.75" customHeight="1" x14ac:dyDescent="0.3">
      <c r="E480" s="9"/>
      <c r="F480" s="9"/>
      <c r="H480" s="9"/>
      <c r="M480" s="9"/>
      <c r="N480" s="9"/>
      <c r="O480" s="9"/>
      <c r="P480" s="9"/>
      <c r="Q480" s="9"/>
      <c r="R480" s="9"/>
      <c r="S480" s="9"/>
    </row>
    <row r="481" spans="5:19" ht="15.75" customHeight="1" x14ac:dyDescent="0.3">
      <c r="E481" s="9"/>
      <c r="F481" s="9"/>
      <c r="H481" s="9"/>
      <c r="M481" s="9"/>
      <c r="N481" s="9"/>
      <c r="O481" s="9"/>
      <c r="P481" s="9"/>
      <c r="Q481" s="9"/>
      <c r="R481" s="9"/>
      <c r="S481" s="9"/>
    </row>
    <row r="482" spans="5:19" ht="15.75" customHeight="1" x14ac:dyDescent="0.3">
      <c r="E482" s="9"/>
      <c r="F482" s="9"/>
      <c r="H482" s="9"/>
      <c r="M482" s="9"/>
      <c r="N482" s="9"/>
      <c r="O482" s="9"/>
      <c r="P482" s="9"/>
      <c r="Q482" s="9"/>
      <c r="R482" s="9"/>
      <c r="S482" s="9"/>
    </row>
    <row r="483" spans="5:19" ht="15.75" customHeight="1" x14ac:dyDescent="0.3">
      <c r="E483" s="9"/>
      <c r="F483" s="9"/>
      <c r="H483" s="9"/>
      <c r="M483" s="9"/>
      <c r="N483" s="9"/>
      <c r="O483" s="9"/>
      <c r="P483" s="9"/>
      <c r="Q483" s="9"/>
      <c r="R483" s="9"/>
      <c r="S483" s="9"/>
    </row>
    <row r="484" spans="5:19" ht="15.75" customHeight="1" x14ac:dyDescent="0.3">
      <c r="E484" s="9"/>
      <c r="F484" s="9"/>
      <c r="H484" s="9"/>
      <c r="M484" s="9"/>
      <c r="N484" s="9"/>
      <c r="O484" s="9"/>
      <c r="P484" s="9"/>
      <c r="Q484" s="9"/>
      <c r="R484" s="9"/>
      <c r="S484" s="9"/>
    </row>
    <row r="485" spans="5:19" ht="15.75" customHeight="1" x14ac:dyDescent="0.3">
      <c r="E485" s="9"/>
      <c r="F485" s="9"/>
      <c r="H485" s="9"/>
      <c r="M485" s="9"/>
      <c r="N485" s="9"/>
      <c r="O485" s="9"/>
      <c r="P485" s="9"/>
      <c r="Q485" s="9"/>
      <c r="R485" s="9"/>
      <c r="S485" s="9"/>
    </row>
    <row r="486" spans="5:19" ht="15.75" customHeight="1" x14ac:dyDescent="0.3">
      <c r="E486" s="9"/>
      <c r="F486" s="9"/>
      <c r="H486" s="9"/>
      <c r="M486" s="9"/>
      <c r="N486" s="9"/>
      <c r="O486" s="9"/>
      <c r="P486" s="9"/>
      <c r="Q486" s="9"/>
      <c r="R486" s="9"/>
      <c r="S486" s="9"/>
    </row>
    <row r="487" spans="5:19" ht="15.75" customHeight="1" x14ac:dyDescent="0.3">
      <c r="E487" s="9"/>
      <c r="F487" s="9"/>
      <c r="H487" s="9"/>
      <c r="M487" s="9"/>
      <c r="N487" s="9"/>
      <c r="O487" s="9"/>
      <c r="P487" s="9"/>
      <c r="Q487" s="9"/>
      <c r="R487" s="9"/>
      <c r="S487" s="9"/>
    </row>
    <row r="488" spans="5:19" ht="15.75" customHeight="1" x14ac:dyDescent="0.3">
      <c r="E488" s="9"/>
      <c r="F488" s="9"/>
      <c r="H488" s="9"/>
      <c r="M488" s="9"/>
      <c r="N488" s="9"/>
      <c r="O488" s="9"/>
      <c r="P488" s="9"/>
      <c r="Q488" s="9"/>
      <c r="R488" s="9"/>
      <c r="S488" s="9"/>
    </row>
    <row r="489" spans="5:19" ht="15.75" customHeight="1" x14ac:dyDescent="0.3">
      <c r="E489" s="9"/>
      <c r="F489" s="9"/>
      <c r="H489" s="9"/>
      <c r="M489" s="9"/>
      <c r="N489" s="9"/>
      <c r="O489" s="9"/>
      <c r="P489" s="9"/>
      <c r="Q489" s="9"/>
      <c r="R489" s="9"/>
      <c r="S489" s="9"/>
    </row>
    <row r="490" spans="5:19" ht="15.75" customHeight="1" x14ac:dyDescent="0.3">
      <c r="E490" s="9"/>
      <c r="F490" s="9"/>
      <c r="H490" s="9"/>
      <c r="M490" s="9"/>
      <c r="N490" s="9"/>
      <c r="O490" s="9"/>
      <c r="P490" s="9"/>
      <c r="Q490" s="9"/>
      <c r="R490" s="9"/>
      <c r="S490" s="9"/>
    </row>
    <row r="491" spans="5:19" ht="15.75" customHeight="1" x14ac:dyDescent="0.3">
      <c r="E491" s="9"/>
      <c r="F491" s="9"/>
      <c r="H491" s="9"/>
      <c r="M491" s="9"/>
      <c r="N491" s="9"/>
      <c r="O491" s="9"/>
      <c r="P491" s="9"/>
      <c r="Q491" s="9"/>
      <c r="R491" s="9"/>
      <c r="S491" s="9"/>
    </row>
    <row r="492" spans="5:19" ht="15.75" customHeight="1" x14ac:dyDescent="0.3">
      <c r="E492" s="9"/>
      <c r="F492" s="9"/>
      <c r="H492" s="9"/>
      <c r="M492" s="9"/>
      <c r="N492" s="9"/>
      <c r="O492" s="9"/>
      <c r="P492" s="9"/>
      <c r="Q492" s="9"/>
      <c r="R492" s="9"/>
      <c r="S492" s="9"/>
    </row>
    <row r="493" spans="5:19" ht="15.75" customHeight="1" x14ac:dyDescent="0.3">
      <c r="E493" s="9"/>
      <c r="F493" s="9"/>
      <c r="H493" s="9"/>
      <c r="M493" s="9"/>
      <c r="N493" s="9"/>
      <c r="O493" s="9"/>
      <c r="P493" s="9"/>
      <c r="Q493" s="9"/>
      <c r="R493" s="9"/>
      <c r="S493" s="9"/>
    </row>
    <row r="494" spans="5:19" ht="15.75" customHeight="1" x14ac:dyDescent="0.3">
      <c r="E494" s="9"/>
      <c r="F494" s="9"/>
      <c r="H494" s="9"/>
      <c r="M494" s="9"/>
      <c r="N494" s="9"/>
      <c r="O494" s="9"/>
      <c r="P494" s="9"/>
      <c r="Q494" s="9"/>
      <c r="R494" s="9"/>
      <c r="S494" s="9"/>
    </row>
    <row r="495" spans="5:19" ht="15.75" customHeight="1" x14ac:dyDescent="0.3">
      <c r="E495" s="9"/>
      <c r="F495" s="9"/>
      <c r="H495" s="9"/>
      <c r="M495" s="9"/>
      <c r="N495" s="9"/>
      <c r="O495" s="9"/>
      <c r="P495" s="9"/>
      <c r="Q495" s="9"/>
      <c r="R495" s="9"/>
      <c r="S495" s="9"/>
    </row>
    <row r="496" spans="5:19" ht="15.75" customHeight="1" x14ac:dyDescent="0.3">
      <c r="E496" s="9"/>
      <c r="F496" s="9"/>
      <c r="H496" s="9"/>
      <c r="M496" s="9"/>
      <c r="N496" s="9"/>
      <c r="O496" s="9"/>
      <c r="P496" s="9"/>
      <c r="Q496" s="9"/>
      <c r="R496" s="9"/>
      <c r="S496" s="9"/>
    </row>
    <row r="497" spans="5:19" ht="15.75" customHeight="1" x14ac:dyDescent="0.3">
      <c r="E497" s="9"/>
      <c r="F497" s="9"/>
      <c r="H497" s="9"/>
      <c r="M497" s="9"/>
      <c r="N497" s="9"/>
      <c r="O497" s="9"/>
      <c r="P497" s="9"/>
      <c r="Q497" s="9"/>
      <c r="R497" s="9"/>
      <c r="S497" s="9"/>
    </row>
    <row r="498" spans="5:19" ht="15.75" customHeight="1" x14ac:dyDescent="0.3">
      <c r="E498" s="9"/>
      <c r="F498" s="9"/>
      <c r="H498" s="9"/>
      <c r="M498" s="9"/>
      <c r="N498" s="9"/>
      <c r="O498" s="9"/>
      <c r="P498" s="9"/>
      <c r="Q498" s="9"/>
      <c r="R498" s="9"/>
      <c r="S498" s="9"/>
    </row>
    <row r="499" spans="5:19" ht="15.75" customHeight="1" x14ac:dyDescent="0.3">
      <c r="E499" s="9"/>
      <c r="F499" s="9"/>
      <c r="H499" s="9"/>
      <c r="M499" s="9"/>
      <c r="N499" s="9"/>
      <c r="O499" s="9"/>
      <c r="P499" s="9"/>
      <c r="Q499" s="9"/>
      <c r="R499" s="9"/>
      <c r="S499" s="9"/>
    </row>
    <row r="500" spans="5:19" ht="15.75" customHeight="1" x14ac:dyDescent="0.3">
      <c r="E500" s="9"/>
      <c r="F500" s="9"/>
      <c r="H500" s="9"/>
      <c r="M500" s="9"/>
      <c r="N500" s="9"/>
      <c r="O500" s="9"/>
      <c r="P500" s="9"/>
      <c r="Q500" s="9"/>
      <c r="R500" s="9"/>
      <c r="S500" s="9"/>
    </row>
    <row r="501" spans="5:19" ht="15.75" customHeight="1" x14ac:dyDescent="0.3">
      <c r="E501" s="9"/>
      <c r="F501" s="9"/>
      <c r="H501" s="9"/>
      <c r="M501" s="9"/>
      <c r="N501" s="9"/>
      <c r="O501" s="9"/>
      <c r="P501" s="9"/>
      <c r="Q501" s="9"/>
      <c r="R501" s="9"/>
      <c r="S501" s="9"/>
    </row>
    <row r="502" spans="5:19" ht="15.75" customHeight="1" x14ac:dyDescent="0.3">
      <c r="E502" s="9"/>
      <c r="F502" s="9"/>
      <c r="H502" s="9"/>
      <c r="M502" s="9"/>
      <c r="N502" s="9"/>
      <c r="O502" s="9"/>
      <c r="P502" s="9"/>
      <c r="Q502" s="9"/>
      <c r="R502" s="9"/>
      <c r="S502" s="9"/>
    </row>
    <row r="503" spans="5:19" ht="15.75" customHeight="1" x14ac:dyDescent="0.3">
      <c r="E503" s="9"/>
      <c r="F503" s="9"/>
      <c r="H503" s="9"/>
      <c r="M503" s="9"/>
      <c r="N503" s="9"/>
      <c r="O503" s="9"/>
      <c r="P503" s="9"/>
      <c r="Q503" s="9"/>
      <c r="R503" s="9"/>
      <c r="S503" s="9"/>
    </row>
    <row r="504" spans="5:19" ht="15.75" customHeight="1" x14ac:dyDescent="0.3">
      <c r="E504" s="9"/>
      <c r="F504" s="9"/>
      <c r="H504" s="9"/>
      <c r="M504" s="9"/>
      <c r="N504" s="9"/>
      <c r="O504" s="9"/>
      <c r="P504" s="9"/>
      <c r="Q504" s="9"/>
      <c r="R504" s="9"/>
      <c r="S504" s="9"/>
    </row>
    <row r="505" spans="5:19" ht="15.75" customHeight="1" x14ac:dyDescent="0.3">
      <c r="E505" s="9"/>
      <c r="F505" s="9"/>
      <c r="H505" s="9"/>
      <c r="M505" s="9"/>
      <c r="N505" s="9"/>
      <c r="O505" s="9"/>
      <c r="P505" s="9"/>
      <c r="Q505" s="9"/>
      <c r="R505" s="9"/>
      <c r="S505" s="9"/>
    </row>
    <row r="506" spans="5:19" ht="15.75" customHeight="1" x14ac:dyDescent="0.3">
      <c r="E506" s="9"/>
      <c r="F506" s="9"/>
      <c r="H506" s="9"/>
      <c r="M506" s="9"/>
      <c r="N506" s="9"/>
      <c r="O506" s="9"/>
      <c r="P506" s="9"/>
      <c r="Q506" s="9"/>
      <c r="R506" s="9"/>
      <c r="S506" s="9"/>
    </row>
    <row r="507" spans="5:19" ht="15.75" customHeight="1" x14ac:dyDescent="0.3">
      <c r="E507" s="9"/>
      <c r="F507" s="9"/>
      <c r="H507" s="9"/>
      <c r="M507" s="9"/>
      <c r="N507" s="9"/>
      <c r="O507" s="9"/>
      <c r="P507" s="9"/>
      <c r="Q507" s="9"/>
      <c r="R507" s="9"/>
      <c r="S507" s="9"/>
    </row>
    <row r="508" spans="5:19" ht="15.75" customHeight="1" x14ac:dyDescent="0.3">
      <c r="E508" s="9"/>
      <c r="F508" s="9"/>
      <c r="H508" s="9"/>
      <c r="M508" s="9"/>
      <c r="N508" s="9"/>
      <c r="O508" s="9"/>
      <c r="P508" s="9"/>
      <c r="Q508" s="9"/>
      <c r="R508" s="9"/>
      <c r="S508" s="9"/>
    </row>
    <row r="509" spans="5:19" ht="15.75" customHeight="1" x14ac:dyDescent="0.3">
      <c r="E509" s="9"/>
      <c r="F509" s="9"/>
      <c r="H509" s="9"/>
      <c r="M509" s="9"/>
      <c r="N509" s="9"/>
      <c r="O509" s="9"/>
      <c r="P509" s="9"/>
      <c r="Q509" s="9"/>
      <c r="R509" s="9"/>
      <c r="S509" s="9"/>
    </row>
    <row r="510" spans="5:19" ht="15.75" customHeight="1" x14ac:dyDescent="0.3">
      <c r="E510" s="9"/>
      <c r="F510" s="9"/>
      <c r="H510" s="9"/>
      <c r="M510" s="9"/>
      <c r="N510" s="9"/>
      <c r="O510" s="9"/>
      <c r="P510" s="9"/>
      <c r="Q510" s="9"/>
      <c r="R510" s="9"/>
      <c r="S510" s="9"/>
    </row>
    <row r="511" spans="5:19" ht="15.75" customHeight="1" x14ac:dyDescent="0.3">
      <c r="E511" s="9"/>
      <c r="F511" s="9"/>
      <c r="H511" s="9"/>
      <c r="M511" s="9"/>
      <c r="N511" s="9"/>
      <c r="O511" s="9"/>
      <c r="P511" s="9"/>
      <c r="Q511" s="9"/>
      <c r="R511" s="9"/>
      <c r="S511" s="9"/>
    </row>
    <row r="512" spans="5:19" ht="15.75" customHeight="1" x14ac:dyDescent="0.3">
      <c r="E512" s="9"/>
      <c r="F512" s="9"/>
      <c r="H512" s="9"/>
      <c r="M512" s="9"/>
      <c r="N512" s="9"/>
      <c r="O512" s="9"/>
      <c r="P512" s="9"/>
      <c r="Q512" s="9"/>
      <c r="R512" s="9"/>
      <c r="S512" s="9"/>
    </row>
    <row r="513" spans="5:19" ht="15.75" customHeight="1" x14ac:dyDescent="0.3">
      <c r="E513" s="9"/>
      <c r="F513" s="9"/>
      <c r="H513" s="9"/>
      <c r="M513" s="9"/>
      <c r="N513" s="9"/>
      <c r="O513" s="9"/>
      <c r="P513" s="9"/>
      <c r="Q513" s="9"/>
      <c r="R513" s="9"/>
      <c r="S513" s="9"/>
    </row>
    <row r="514" spans="5:19" ht="15.75" customHeight="1" x14ac:dyDescent="0.3">
      <c r="E514" s="9"/>
      <c r="F514" s="9"/>
      <c r="H514" s="9"/>
      <c r="M514" s="9"/>
      <c r="N514" s="9"/>
      <c r="O514" s="9"/>
      <c r="P514" s="9"/>
      <c r="Q514" s="9"/>
      <c r="R514" s="9"/>
      <c r="S514" s="9"/>
    </row>
    <row r="515" spans="5:19" ht="15.75" customHeight="1" x14ac:dyDescent="0.3">
      <c r="E515" s="9"/>
      <c r="F515" s="9"/>
      <c r="H515" s="9"/>
      <c r="M515" s="9"/>
      <c r="N515" s="9"/>
      <c r="O515" s="9"/>
      <c r="P515" s="9"/>
      <c r="Q515" s="9"/>
      <c r="R515" s="9"/>
      <c r="S515" s="9"/>
    </row>
    <row r="516" spans="5:19" ht="15.75" customHeight="1" x14ac:dyDescent="0.3">
      <c r="E516" s="9"/>
      <c r="F516" s="9"/>
      <c r="H516" s="9"/>
      <c r="M516" s="9"/>
      <c r="N516" s="9"/>
      <c r="O516" s="9"/>
      <c r="P516" s="9"/>
      <c r="Q516" s="9"/>
      <c r="R516" s="9"/>
      <c r="S516" s="9"/>
    </row>
    <row r="517" spans="5:19" ht="15.75" customHeight="1" x14ac:dyDescent="0.3">
      <c r="E517" s="9"/>
      <c r="F517" s="9"/>
      <c r="H517" s="9"/>
      <c r="M517" s="9"/>
      <c r="N517" s="9"/>
      <c r="O517" s="9"/>
      <c r="P517" s="9"/>
      <c r="Q517" s="9"/>
      <c r="R517" s="9"/>
      <c r="S517" s="9"/>
    </row>
    <row r="518" spans="5:19" ht="15.75" customHeight="1" x14ac:dyDescent="0.3">
      <c r="E518" s="9"/>
      <c r="F518" s="9"/>
      <c r="H518" s="9"/>
      <c r="M518" s="9"/>
      <c r="N518" s="9"/>
      <c r="O518" s="9"/>
      <c r="P518" s="9"/>
      <c r="Q518" s="9"/>
      <c r="R518" s="9"/>
      <c r="S518" s="9"/>
    </row>
    <row r="519" spans="5:19" ht="15.75" customHeight="1" x14ac:dyDescent="0.3">
      <c r="E519" s="9"/>
      <c r="F519" s="9"/>
      <c r="H519" s="9"/>
      <c r="M519" s="9"/>
      <c r="N519" s="9"/>
      <c r="O519" s="9"/>
      <c r="P519" s="9"/>
      <c r="Q519" s="9"/>
      <c r="R519" s="9"/>
      <c r="S519" s="9"/>
    </row>
    <row r="520" spans="5:19" ht="15.75" customHeight="1" x14ac:dyDescent="0.3">
      <c r="E520" s="9"/>
      <c r="F520" s="9"/>
      <c r="H520" s="9"/>
      <c r="M520" s="9"/>
      <c r="N520" s="9"/>
      <c r="O520" s="9"/>
      <c r="P520" s="9"/>
      <c r="Q520" s="9"/>
      <c r="R520" s="9"/>
      <c r="S520" s="9"/>
    </row>
    <row r="521" spans="5:19" ht="15.75" customHeight="1" x14ac:dyDescent="0.3">
      <c r="E521" s="9"/>
      <c r="F521" s="9"/>
      <c r="H521" s="9"/>
      <c r="M521" s="9"/>
      <c r="N521" s="9"/>
      <c r="O521" s="9"/>
      <c r="P521" s="9"/>
      <c r="Q521" s="9"/>
      <c r="R521" s="9"/>
      <c r="S521" s="9"/>
    </row>
    <row r="522" spans="5:19" ht="15.75" customHeight="1" x14ac:dyDescent="0.3">
      <c r="E522" s="9"/>
      <c r="F522" s="9"/>
      <c r="H522" s="9"/>
      <c r="M522" s="9"/>
      <c r="N522" s="9"/>
      <c r="O522" s="9"/>
      <c r="P522" s="9"/>
      <c r="Q522" s="9"/>
      <c r="R522" s="9"/>
      <c r="S522" s="9"/>
    </row>
    <row r="523" spans="5:19" ht="15.75" customHeight="1" x14ac:dyDescent="0.3">
      <c r="E523" s="9"/>
      <c r="F523" s="9"/>
      <c r="H523" s="9"/>
      <c r="M523" s="9"/>
      <c r="N523" s="9"/>
      <c r="O523" s="9"/>
      <c r="P523" s="9"/>
      <c r="Q523" s="9"/>
      <c r="R523" s="9"/>
      <c r="S523" s="9"/>
    </row>
    <row r="524" spans="5:19" ht="15.75" customHeight="1" x14ac:dyDescent="0.3">
      <c r="E524" s="9"/>
      <c r="F524" s="9"/>
      <c r="H524" s="9"/>
      <c r="M524" s="9"/>
      <c r="N524" s="9"/>
      <c r="O524" s="9"/>
      <c r="P524" s="9"/>
      <c r="Q524" s="9"/>
      <c r="R524" s="9"/>
      <c r="S524" s="9"/>
    </row>
    <row r="525" spans="5:19" ht="15.75" customHeight="1" x14ac:dyDescent="0.3">
      <c r="E525" s="9"/>
      <c r="F525" s="9"/>
      <c r="H525" s="9"/>
      <c r="M525" s="9"/>
      <c r="N525" s="9"/>
      <c r="O525" s="9"/>
      <c r="P525" s="9"/>
      <c r="Q525" s="9"/>
      <c r="R525" s="9"/>
      <c r="S525" s="9"/>
    </row>
    <row r="526" spans="5:19" ht="15.75" customHeight="1" x14ac:dyDescent="0.3">
      <c r="E526" s="9"/>
      <c r="F526" s="9"/>
      <c r="H526" s="9"/>
      <c r="M526" s="9"/>
      <c r="N526" s="9"/>
      <c r="O526" s="9"/>
      <c r="P526" s="9"/>
      <c r="Q526" s="9"/>
      <c r="R526" s="9"/>
      <c r="S526" s="9"/>
    </row>
    <row r="527" spans="5:19" ht="15.75" customHeight="1" x14ac:dyDescent="0.3">
      <c r="E527" s="9"/>
      <c r="F527" s="9"/>
      <c r="H527" s="9"/>
      <c r="M527" s="9"/>
      <c r="N527" s="9"/>
      <c r="O527" s="9"/>
      <c r="P527" s="9"/>
      <c r="Q527" s="9"/>
      <c r="R527" s="9"/>
      <c r="S527" s="9"/>
    </row>
    <row r="528" spans="5:19" ht="15.75" customHeight="1" x14ac:dyDescent="0.3">
      <c r="E528" s="9"/>
      <c r="F528" s="9"/>
      <c r="H528" s="9"/>
      <c r="M528" s="9"/>
      <c r="N528" s="9"/>
      <c r="O528" s="9"/>
      <c r="P528" s="9"/>
      <c r="Q528" s="9"/>
      <c r="R528" s="9"/>
      <c r="S528" s="9"/>
    </row>
    <row r="529" spans="5:19" ht="15.75" customHeight="1" x14ac:dyDescent="0.3">
      <c r="E529" s="9"/>
      <c r="F529" s="9"/>
      <c r="H529" s="9"/>
      <c r="M529" s="9"/>
      <c r="N529" s="9"/>
      <c r="O529" s="9"/>
      <c r="P529" s="9"/>
      <c r="Q529" s="9"/>
      <c r="R529" s="9"/>
      <c r="S529" s="9"/>
    </row>
    <row r="530" spans="5:19" ht="15.75" customHeight="1" x14ac:dyDescent="0.3">
      <c r="E530" s="9"/>
      <c r="F530" s="9"/>
      <c r="H530" s="9"/>
      <c r="M530" s="9"/>
      <c r="N530" s="9"/>
      <c r="O530" s="9"/>
      <c r="P530" s="9"/>
      <c r="Q530" s="9"/>
      <c r="R530" s="9"/>
      <c r="S530" s="9"/>
    </row>
    <row r="531" spans="5:19" ht="15.75" customHeight="1" x14ac:dyDescent="0.3">
      <c r="E531" s="9"/>
      <c r="F531" s="9"/>
      <c r="H531" s="9"/>
      <c r="M531" s="9"/>
      <c r="N531" s="9"/>
      <c r="O531" s="9"/>
      <c r="P531" s="9"/>
      <c r="Q531" s="9"/>
      <c r="R531" s="9"/>
      <c r="S531" s="9"/>
    </row>
    <row r="532" spans="5:19" ht="15.75" customHeight="1" x14ac:dyDescent="0.3">
      <c r="E532" s="9"/>
      <c r="F532" s="9"/>
      <c r="H532" s="9"/>
      <c r="M532" s="9"/>
      <c r="N532" s="9"/>
      <c r="O532" s="9"/>
      <c r="P532" s="9"/>
      <c r="Q532" s="9"/>
      <c r="R532" s="9"/>
      <c r="S532" s="9"/>
    </row>
    <row r="533" spans="5:19" ht="15.75" customHeight="1" x14ac:dyDescent="0.3">
      <c r="E533" s="9"/>
      <c r="F533" s="9"/>
      <c r="H533" s="9"/>
      <c r="M533" s="9"/>
      <c r="N533" s="9"/>
      <c r="O533" s="9"/>
      <c r="P533" s="9"/>
      <c r="Q533" s="9"/>
      <c r="R533" s="9"/>
      <c r="S533" s="9"/>
    </row>
    <row r="534" spans="5:19" ht="15.75" customHeight="1" x14ac:dyDescent="0.3">
      <c r="E534" s="9"/>
      <c r="F534" s="9"/>
      <c r="H534" s="9"/>
      <c r="M534" s="9"/>
      <c r="N534" s="9"/>
      <c r="O534" s="9"/>
      <c r="P534" s="9"/>
      <c r="Q534" s="9"/>
      <c r="R534" s="9"/>
      <c r="S534" s="9"/>
    </row>
    <row r="535" spans="5:19" ht="15.75" customHeight="1" x14ac:dyDescent="0.3">
      <c r="E535" s="9"/>
      <c r="F535" s="9"/>
      <c r="H535" s="9"/>
      <c r="M535" s="9"/>
      <c r="N535" s="9"/>
      <c r="O535" s="9"/>
      <c r="P535" s="9"/>
      <c r="Q535" s="9"/>
      <c r="R535" s="9"/>
      <c r="S535" s="9"/>
    </row>
    <row r="536" spans="5:19" ht="15.75" customHeight="1" x14ac:dyDescent="0.3">
      <c r="E536" s="9"/>
      <c r="F536" s="9"/>
      <c r="H536" s="9"/>
      <c r="M536" s="9"/>
      <c r="N536" s="9"/>
      <c r="O536" s="9"/>
      <c r="P536" s="9"/>
      <c r="Q536" s="9"/>
      <c r="R536" s="9"/>
      <c r="S536" s="9"/>
    </row>
    <row r="537" spans="5:19" ht="15.75" customHeight="1" x14ac:dyDescent="0.3">
      <c r="E537" s="9"/>
      <c r="F537" s="9"/>
      <c r="H537" s="9"/>
      <c r="M537" s="9"/>
      <c r="N537" s="9"/>
      <c r="O537" s="9"/>
      <c r="P537" s="9"/>
      <c r="Q537" s="9"/>
      <c r="R537" s="9"/>
      <c r="S537" s="9"/>
    </row>
    <row r="538" spans="5:19" ht="15.75" customHeight="1" x14ac:dyDescent="0.3">
      <c r="E538" s="9"/>
      <c r="F538" s="9"/>
      <c r="H538" s="9"/>
      <c r="M538" s="9"/>
      <c r="N538" s="9"/>
      <c r="O538" s="9"/>
      <c r="P538" s="9"/>
      <c r="Q538" s="9"/>
      <c r="R538" s="9"/>
      <c r="S538" s="9"/>
    </row>
    <row r="539" spans="5:19" ht="15.75" customHeight="1" x14ac:dyDescent="0.3">
      <c r="E539" s="9"/>
      <c r="F539" s="9"/>
      <c r="H539" s="9"/>
      <c r="M539" s="9"/>
      <c r="N539" s="9"/>
      <c r="O539" s="9"/>
      <c r="P539" s="9"/>
      <c r="Q539" s="9"/>
      <c r="R539" s="9"/>
      <c r="S539" s="9"/>
    </row>
    <row r="540" spans="5:19" ht="15.75" customHeight="1" x14ac:dyDescent="0.3">
      <c r="E540" s="9"/>
      <c r="F540" s="9"/>
      <c r="H540" s="9"/>
      <c r="M540" s="9"/>
      <c r="N540" s="9"/>
      <c r="O540" s="9"/>
      <c r="P540" s="9"/>
      <c r="Q540" s="9"/>
      <c r="R540" s="9"/>
      <c r="S540" s="9"/>
    </row>
    <row r="541" spans="5:19" ht="15.75" customHeight="1" x14ac:dyDescent="0.3">
      <c r="E541" s="9"/>
      <c r="F541" s="9"/>
      <c r="H541" s="9"/>
      <c r="M541" s="9"/>
      <c r="N541" s="9"/>
      <c r="O541" s="9"/>
      <c r="P541" s="9"/>
      <c r="Q541" s="9"/>
      <c r="R541" s="9"/>
      <c r="S541" s="9"/>
    </row>
    <row r="542" spans="5:19" ht="15.75" customHeight="1" x14ac:dyDescent="0.3">
      <c r="E542" s="9"/>
      <c r="F542" s="9"/>
      <c r="H542" s="9"/>
      <c r="M542" s="9"/>
      <c r="N542" s="9"/>
      <c r="O542" s="9"/>
      <c r="P542" s="9"/>
      <c r="Q542" s="9"/>
      <c r="R542" s="9"/>
      <c r="S542" s="9"/>
    </row>
    <row r="543" spans="5:19" ht="15.75" customHeight="1" x14ac:dyDescent="0.3">
      <c r="E543" s="9"/>
      <c r="F543" s="9"/>
      <c r="H543" s="9"/>
      <c r="M543" s="9"/>
      <c r="N543" s="9"/>
      <c r="O543" s="9"/>
      <c r="P543" s="9"/>
      <c r="Q543" s="9"/>
      <c r="R543" s="9"/>
      <c r="S543" s="9"/>
    </row>
    <row r="544" spans="5:19" ht="15.75" customHeight="1" x14ac:dyDescent="0.3">
      <c r="E544" s="9"/>
      <c r="F544" s="9"/>
      <c r="H544" s="9"/>
      <c r="M544" s="9"/>
      <c r="N544" s="9"/>
      <c r="O544" s="9"/>
      <c r="P544" s="9"/>
      <c r="Q544" s="9"/>
      <c r="R544" s="9"/>
      <c r="S544" s="9"/>
    </row>
    <row r="545" spans="5:19" ht="15.75" customHeight="1" x14ac:dyDescent="0.3">
      <c r="E545" s="9"/>
      <c r="F545" s="9"/>
      <c r="H545" s="9"/>
      <c r="M545" s="9"/>
      <c r="N545" s="9"/>
      <c r="O545" s="9"/>
      <c r="P545" s="9"/>
      <c r="Q545" s="9"/>
      <c r="R545" s="9"/>
      <c r="S545" s="9"/>
    </row>
    <row r="546" spans="5:19" ht="15.75" customHeight="1" x14ac:dyDescent="0.3">
      <c r="E546" s="9"/>
      <c r="F546" s="9"/>
      <c r="H546" s="9"/>
      <c r="M546" s="9"/>
      <c r="N546" s="9"/>
      <c r="O546" s="9"/>
      <c r="P546" s="9"/>
      <c r="Q546" s="9"/>
      <c r="R546" s="9"/>
      <c r="S546" s="9"/>
    </row>
    <row r="547" spans="5:19" ht="15.75" customHeight="1" x14ac:dyDescent="0.3">
      <c r="E547" s="9"/>
      <c r="F547" s="9"/>
      <c r="H547" s="9"/>
      <c r="M547" s="9"/>
      <c r="N547" s="9"/>
      <c r="O547" s="9"/>
      <c r="P547" s="9"/>
      <c r="Q547" s="9"/>
      <c r="R547" s="9"/>
      <c r="S547" s="9"/>
    </row>
    <row r="548" spans="5:19" ht="15.75" customHeight="1" x14ac:dyDescent="0.3">
      <c r="E548" s="9"/>
      <c r="F548" s="9"/>
      <c r="H548" s="9"/>
      <c r="M548" s="9"/>
      <c r="N548" s="9"/>
      <c r="O548" s="9"/>
      <c r="P548" s="9"/>
      <c r="Q548" s="9"/>
      <c r="R548" s="9"/>
      <c r="S548" s="9"/>
    </row>
    <row r="549" spans="5:19" ht="15.75" customHeight="1" x14ac:dyDescent="0.3">
      <c r="E549" s="9"/>
      <c r="F549" s="9"/>
      <c r="H549" s="9"/>
      <c r="M549" s="9"/>
      <c r="N549" s="9"/>
      <c r="O549" s="9"/>
      <c r="P549" s="9"/>
      <c r="Q549" s="9"/>
      <c r="R549" s="9"/>
      <c r="S549" s="9"/>
    </row>
    <row r="550" spans="5:19" ht="15.75" customHeight="1" x14ac:dyDescent="0.3">
      <c r="E550" s="9"/>
      <c r="F550" s="9"/>
      <c r="H550" s="9"/>
      <c r="M550" s="9"/>
      <c r="N550" s="9"/>
      <c r="O550" s="9"/>
      <c r="P550" s="9"/>
      <c r="Q550" s="9"/>
      <c r="R550" s="9"/>
      <c r="S550" s="9"/>
    </row>
    <row r="551" spans="5:19" ht="15.75" customHeight="1" x14ac:dyDescent="0.3">
      <c r="E551" s="9"/>
      <c r="F551" s="9"/>
      <c r="H551" s="9"/>
      <c r="M551" s="9"/>
      <c r="N551" s="9"/>
      <c r="O551" s="9"/>
      <c r="P551" s="9"/>
      <c r="Q551" s="9"/>
      <c r="R551" s="9"/>
      <c r="S551" s="9"/>
    </row>
    <row r="552" spans="5:19" ht="15.75" customHeight="1" x14ac:dyDescent="0.3">
      <c r="E552" s="9"/>
      <c r="F552" s="9"/>
      <c r="H552" s="9"/>
      <c r="M552" s="9"/>
      <c r="N552" s="9"/>
      <c r="O552" s="9"/>
      <c r="P552" s="9"/>
      <c r="Q552" s="9"/>
      <c r="R552" s="9"/>
      <c r="S552" s="9"/>
    </row>
    <row r="553" spans="5:19" ht="15.75" customHeight="1" x14ac:dyDescent="0.3">
      <c r="E553" s="9"/>
      <c r="F553" s="9"/>
      <c r="H553" s="9"/>
      <c r="M553" s="9"/>
      <c r="N553" s="9"/>
      <c r="O553" s="9"/>
      <c r="P553" s="9"/>
      <c r="Q553" s="9"/>
      <c r="R553" s="9"/>
      <c r="S553" s="9"/>
    </row>
    <row r="554" spans="5:19" ht="15.75" customHeight="1" x14ac:dyDescent="0.3">
      <c r="E554" s="9"/>
      <c r="F554" s="9"/>
      <c r="H554" s="9"/>
      <c r="M554" s="9"/>
      <c r="N554" s="9"/>
      <c r="O554" s="9"/>
      <c r="P554" s="9"/>
      <c r="Q554" s="9"/>
      <c r="R554" s="9"/>
      <c r="S554" s="9"/>
    </row>
    <row r="555" spans="5:19" ht="15.75" customHeight="1" x14ac:dyDescent="0.3">
      <c r="E555" s="9"/>
      <c r="F555" s="9"/>
      <c r="H555" s="9"/>
      <c r="M555" s="9"/>
      <c r="N555" s="9"/>
      <c r="O555" s="9"/>
      <c r="P555" s="9"/>
      <c r="Q555" s="9"/>
      <c r="R555" s="9"/>
      <c r="S555" s="9"/>
    </row>
    <row r="556" spans="5:19" ht="15.75" customHeight="1" x14ac:dyDescent="0.3">
      <c r="E556" s="9"/>
      <c r="F556" s="9"/>
      <c r="H556" s="9"/>
      <c r="M556" s="9"/>
      <c r="N556" s="9"/>
      <c r="O556" s="9"/>
      <c r="P556" s="9"/>
      <c r="Q556" s="9"/>
      <c r="R556" s="9"/>
      <c r="S556" s="9"/>
    </row>
    <row r="557" spans="5:19" ht="15.75" customHeight="1" x14ac:dyDescent="0.3">
      <c r="E557" s="9"/>
      <c r="F557" s="9"/>
      <c r="H557" s="9"/>
      <c r="M557" s="9"/>
      <c r="N557" s="9"/>
      <c r="O557" s="9"/>
      <c r="P557" s="9"/>
      <c r="Q557" s="9"/>
      <c r="R557" s="9"/>
      <c r="S557" s="9"/>
    </row>
    <row r="558" spans="5:19" ht="15.75" customHeight="1" x14ac:dyDescent="0.3">
      <c r="E558" s="9"/>
      <c r="F558" s="9"/>
      <c r="H558" s="9"/>
      <c r="M558" s="9"/>
      <c r="N558" s="9"/>
      <c r="O558" s="9"/>
      <c r="P558" s="9"/>
      <c r="Q558" s="9"/>
      <c r="R558" s="9"/>
      <c r="S558" s="9"/>
    </row>
    <row r="559" spans="5:19" ht="15.75" customHeight="1" x14ac:dyDescent="0.3">
      <c r="E559" s="9"/>
      <c r="F559" s="9"/>
      <c r="H559" s="9"/>
      <c r="M559" s="9"/>
      <c r="N559" s="9"/>
      <c r="O559" s="9"/>
      <c r="P559" s="9"/>
      <c r="Q559" s="9"/>
      <c r="R559" s="9"/>
      <c r="S559" s="9"/>
    </row>
    <row r="560" spans="5:19" ht="15.75" customHeight="1" x14ac:dyDescent="0.3">
      <c r="E560" s="9"/>
      <c r="F560" s="9"/>
      <c r="H560" s="9"/>
      <c r="M560" s="9"/>
      <c r="N560" s="9"/>
      <c r="O560" s="9"/>
      <c r="P560" s="9"/>
      <c r="Q560" s="9"/>
      <c r="R560" s="9"/>
      <c r="S560" s="9"/>
    </row>
    <row r="561" spans="5:19" ht="15.75" customHeight="1" x14ac:dyDescent="0.3">
      <c r="E561" s="9"/>
      <c r="F561" s="9"/>
      <c r="H561" s="9"/>
      <c r="M561" s="9"/>
      <c r="N561" s="9"/>
      <c r="O561" s="9"/>
      <c r="P561" s="9"/>
      <c r="Q561" s="9"/>
      <c r="R561" s="9"/>
      <c r="S561" s="9"/>
    </row>
    <row r="562" spans="5:19" ht="15.75" customHeight="1" x14ac:dyDescent="0.3">
      <c r="E562" s="9"/>
      <c r="F562" s="9"/>
      <c r="H562" s="9"/>
      <c r="M562" s="9"/>
      <c r="N562" s="9"/>
      <c r="O562" s="9"/>
      <c r="P562" s="9"/>
      <c r="Q562" s="9"/>
      <c r="R562" s="9"/>
      <c r="S562" s="9"/>
    </row>
    <row r="563" spans="5:19" ht="15.75" customHeight="1" x14ac:dyDescent="0.3">
      <c r="E563" s="9"/>
      <c r="F563" s="9"/>
      <c r="H563" s="9"/>
      <c r="M563" s="9"/>
      <c r="N563" s="9"/>
      <c r="O563" s="9"/>
      <c r="P563" s="9"/>
      <c r="Q563" s="9"/>
      <c r="R563" s="9"/>
      <c r="S563" s="9"/>
    </row>
    <row r="564" spans="5:19" ht="15.75" customHeight="1" x14ac:dyDescent="0.3">
      <c r="E564" s="9"/>
      <c r="F564" s="9"/>
      <c r="H564" s="9"/>
      <c r="M564" s="9"/>
      <c r="N564" s="9"/>
      <c r="O564" s="9"/>
      <c r="P564" s="9"/>
      <c r="Q564" s="9"/>
      <c r="R564" s="9"/>
      <c r="S564" s="9"/>
    </row>
    <row r="565" spans="5:19" ht="15.75" customHeight="1" x14ac:dyDescent="0.3">
      <c r="E565" s="9"/>
      <c r="F565" s="9"/>
      <c r="H565" s="9"/>
      <c r="M565" s="9"/>
      <c r="N565" s="9"/>
      <c r="O565" s="9"/>
      <c r="P565" s="9"/>
      <c r="Q565" s="9"/>
      <c r="R565" s="9"/>
      <c r="S565" s="9"/>
    </row>
    <row r="566" spans="5:19" ht="15.75" customHeight="1" x14ac:dyDescent="0.3">
      <c r="E566" s="9"/>
      <c r="F566" s="9"/>
      <c r="H566" s="9"/>
      <c r="M566" s="9"/>
      <c r="N566" s="9"/>
      <c r="O566" s="9"/>
      <c r="P566" s="9"/>
      <c r="Q566" s="9"/>
      <c r="R566" s="9"/>
      <c r="S566" s="9"/>
    </row>
    <row r="567" spans="5:19" ht="15.75" customHeight="1" x14ac:dyDescent="0.3">
      <c r="E567" s="9"/>
      <c r="F567" s="9"/>
      <c r="H567" s="9"/>
      <c r="M567" s="9"/>
      <c r="N567" s="9"/>
      <c r="O567" s="9"/>
      <c r="P567" s="9"/>
      <c r="Q567" s="9"/>
      <c r="R567" s="9"/>
      <c r="S567" s="9"/>
    </row>
    <row r="568" spans="5:19" ht="15.75" customHeight="1" x14ac:dyDescent="0.3">
      <c r="E568" s="9"/>
      <c r="F568" s="9"/>
      <c r="H568" s="9"/>
      <c r="M568" s="9"/>
      <c r="N568" s="9"/>
      <c r="O568" s="9"/>
      <c r="P568" s="9"/>
      <c r="Q568" s="9"/>
      <c r="R568" s="9"/>
      <c r="S568" s="9"/>
    </row>
    <row r="569" spans="5:19" ht="15.75" customHeight="1" x14ac:dyDescent="0.3">
      <c r="E569" s="9"/>
      <c r="F569" s="9"/>
      <c r="H569" s="9"/>
      <c r="M569" s="9"/>
      <c r="N569" s="9"/>
      <c r="O569" s="9"/>
      <c r="P569" s="9"/>
      <c r="Q569" s="9"/>
      <c r="R569" s="9"/>
      <c r="S569" s="9"/>
    </row>
    <row r="570" spans="5:19" ht="15.75" customHeight="1" x14ac:dyDescent="0.3">
      <c r="E570" s="9"/>
      <c r="F570" s="9"/>
      <c r="H570" s="9"/>
      <c r="M570" s="9"/>
      <c r="N570" s="9"/>
      <c r="O570" s="9"/>
      <c r="P570" s="9"/>
      <c r="Q570" s="9"/>
      <c r="R570" s="9"/>
      <c r="S570" s="9"/>
    </row>
    <row r="571" spans="5:19" ht="15.75" customHeight="1" x14ac:dyDescent="0.3">
      <c r="E571" s="9"/>
      <c r="F571" s="9"/>
      <c r="H571" s="9"/>
      <c r="M571" s="9"/>
      <c r="N571" s="9"/>
      <c r="O571" s="9"/>
      <c r="P571" s="9"/>
      <c r="Q571" s="9"/>
      <c r="R571" s="9"/>
      <c r="S571" s="9"/>
    </row>
    <row r="572" spans="5:19" ht="15.75" customHeight="1" x14ac:dyDescent="0.3">
      <c r="E572" s="9"/>
      <c r="F572" s="9"/>
      <c r="H572" s="9"/>
      <c r="M572" s="9"/>
      <c r="N572" s="9"/>
      <c r="O572" s="9"/>
      <c r="P572" s="9"/>
      <c r="Q572" s="9"/>
      <c r="R572" s="9"/>
      <c r="S572" s="9"/>
    </row>
    <row r="573" spans="5:19" ht="15.75" customHeight="1" x14ac:dyDescent="0.3">
      <c r="E573" s="9"/>
      <c r="F573" s="9"/>
      <c r="H573" s="9"/>
      <c r="M573" s="9"/>
      <c r="N573" s="9"/>
      <c r="O573" s="9"/>
      <c r="P573" s="9"/>
      <c r="Q573" s="9"/>
      <c r="R573" s="9"/>
      <c r="S573" s="9"/>
    </row>
    <row r="574" spans="5:19" ht="15.75" customHeight="1" x14ac:dyDescent="0.3">
      <c r="E574" s="9"/>
      <c r="F574" s="9"/>
      <c r="H574" s="9"/>
      <c r="M574" s="9"/>
      <c r="N574" s="9"/>
      <c r="O574" s="9"/>
      <c r="P574" s="9"/>
      <c r="Q574" s="9"/>
      <c r="R574" s="9"/>
      <c r="S574" s="9"/>
    </row>
    <row r="575" spans="5:19" ht="15.75" customHeight="1" x14ac:dyDescent="0.3">
      <c r="E575" s="9"/>
      <c r="F575" s="9"/>
      <c r="H575" s="9"/>
      <c r="M575" s="9"/>
      <c r="N575" s="9"/>
      <c r="O575" s="9"/>
      <c r="P575" s="9"/>
      <c r="Q575" s="9"/>
      <c r="R575" s="9"/>
      <c r="S575" s="9"/>
    </row>
    <row r="576" spans="5:19" ht="15.75" customHeight="1" x14ac:dyDescent="0.3">
      <c r="E576" s="9"/>
      <c r="F576" s="9"/>
      <c r="H576" s="9"/>
      <c r="M576" s="9"/>
      <c r="N576" s="9"/>
      <c r="O576" s="9"/>
      <c r="P576" s="9"/>
      <c r="Q576" s="9"/>
      <c r="R576" s="9"/>
      <c r="S576" s="9"/>
    </row>
    <row r="577" spans="5:19" ht="15.75" customHeight="1" x14ac:dyDescent="0.3">
      <c r="E577" s="9"/>
      <c r="F577" s="9"/>
      <c r="H577" s="9"/>
      <c r="M577" s="9"/>
      <c r="N577" s="9"/>
      <c r="O577" s="9"/>
      <c r="P577" s="9"/>
      <c r="Q577" s="9"/>
      <c r="R577" s="9"/>
      <c r="S577" s="9"/>
    </row>
    <row r="578" spans="5:19" ht="15.75" customHeight="1" x14ac:dyDescent="0.3">
      <c r="E578" s="9"/>
      <c r="F578" s="9"/>
      <c r="H578" s="9"/>
      <c r="M578" s="9"/>
      <c r="N578" s="9"/>
      <c r="O578" s="9"/>
      <c r="P578" s="9"/>
      <c r="Q578" s="9"/>
      <c r="R578" s="9"/>
      <c r="S578" s="9"/>
    </row>
    <row r="579" spans="5:19" ht="15.75" customHeight="1" x14ac:dyDescent="0.3">
      <c r="E579" s="9"/>
      <c r="F579" s="9"/>
      <c r="H579" s="9"/>
      <c r="M579" s="9"/>
      <c r="N579" s="9"/>
      <c r="O579" s="9"/>
      <c r="P579" s="9"/>
      <c r="Q579" s="9"/>
      <c r="R579" s="9"/>
      <c r="S579" s="9"/>
    </row>
    <row r="580" spans="5:19" ht="15.75" customHeight="1" x14ac:dyDescent="0.3">
      <c r="E580" s="9"/>
      <c r="F580" s="9"/>
      <c r="H580" s="9"/>
      <c r="M580" s="9"/>
      <c r="N580" s="9"/>
      <c r="O580" s="9"/>
      <c r="P580" s="9"/>
      <c r="Q580" s="9"/>
      <c r="R580" s="9"/>
      <c r="S580" s="9"/>
    </row>
    <row r="581" spans="5:19" ht="15.75" customHeight="1" x14ac:dyDescent="0.3">
      <c r="E581" s="9"/>
      <c r="F581" s="9"/>
      <c r="H581" s="9"/>
      <c r="M581" s="9"/>
      <c r="N581" s="9"/>
      <c r="O581" s="9"/>
      <c r="P581" s="9"/>
      <c r="Q581" s="9"/>
      <c r="R581" s="9"/>
      <c r="S581" s="9"/>
    </row>
    <row r="582" spans="5:19" ht="15.75" customHeight="1" x14ac:dyDescent="0.3">
      <c r="E582" s="9"/>
      <c r="F582" s="9"/>
      <c r="H582" s="9"/>
      <c r="M582" s="9"/>
      <c r="N582" s="9"/>
      <c r="O582" s="9"/>
      <c r="P582" s="9"/>
      <c r="Q582" s="9"/>
      <c r="R582" s="9"/>
      <c r="S582" s="9"/>
    </row>
    <row r="583" spans="5:19" ht="15.75" customHeight="1" x14ac:dyDescent="0.3">
      <c r="E583" s="9"/>
      <c r="F583" s="9"/>
      <c r="H583" s="9"/>
      <c r="M583" s="9"/>
      <c r="N583" s="9"/>
      <c r="O583" s="9"/>
      <c r="P583" s="9"/>
      <c r="Q583" s="9"/>
      <c r="R583" s="9"/>
      <c r="S583" s="9"/>
    </row>
    <row r="584" spans="5:19" ht="15.75" customHeight="1" x14ac:dyDescent="0.3">
      <c r="E584" s="9"/>
      <c r="F584" s="9"/>
      <c r="H584" s="9"/>
      <c r="M584" s="9"/>
      <c r="N584" s="9"/>
      <c r="O584" s="9"/>
      <c r="P584" s="9"/>
      <c r="Q584" s="9"/>
      <c r="R584" s="9"/>
      <c r="S584" s="9"/>
    </row>
    <row r="585" spans="5:19" ht="15.75" customHeight="1" x14ac:dyDescent="0.3">
      <c r="E585" s="9"/>
      <c r="F585" s="9"/>
      <c r="H585" s="9"/>
      <c r="M585" s="9"/>
      <c r="N585" s="9"/>
      <c r="O585" s="9"/>
      <c r="P585" s="9"/>
      <c r="Q585" s="9"/>
      <c r="R585" s="9"/>
      <c r="S585" s="9"/>
    </row>
    <row r="586" spans="5:19" ht="15.75" customHeight="1" x14ac:dyDescent="0.3">
      <c r="E586" s="9"/>
      <c r="F586" s="9"/>
      <c r="H586" s="9"/>
      <c r="M586" s="9"/>
      <c r="N586" s="9"/>
      <c r="O586" s="9"/>
      <c r="P586" s="9"/>
      <c r="Q586" s="9"/>
      <c r="R586" s="9"/>
      <c r="S586" s="9"/>
    </row>
    <row r="587" spans="5:19" ht="15.75" customHeight="1" x14ac:dyDescent="0.3">
      <c r="E587" s="9"/>
      <c r="F587" s="9"/>
      <c r="H587" s="9"/>
      <c r="M587" s="9"/>
      <c r="N587" s="9"/>
      <c r="O587" s="9"/>
      <c r="P587" s="9"/>
      <c r="Q587" s="9"/>
      <c r="R587" s="9"/>
      <c r="S587" s="9"/>
    </row>
    <row r="588" spans="5:19" ht="15.75" customHeight="1" x14ac:dyDescent="0.3">
      <c r="E588" s="9"/>
      <c r="F588" s="9"/>
      <c r="H588" s="9"/>
      <c r="M588" s="9"/>
      <c r="N588" s="9"/>
      <c r="O588" s="9"/>
      <c r="P588" s="9"/>
      <c r="Q588" s="9"/>
      <c r="R588" s="9"/>
      <c r="S588" s="9"/>
    </row>
    <row r="589" spans="5:19" ht="15.75" customHeight="1" x14ac:dyDescent="0.3">
      <c r="E589" s="9"/>
      <c r="F589" s="9"/>
      <c r="H589" s="9"/>
      <c r="M589" s="9"/>
      <c r="N589" s="9"/>
      <c r="O589" s="9"/>
      <c r="P589" s="9"/>
      <c r="Q589" s="9"/>
      <c r="R589" s="9"/>
      <c r="S589" s="9"/>
    </row>
    <row r="590" spans="5:19" ht="15.75" customHeight="1" x14ac:dyDescent="0.3">
      <c r="E590" s="9"/>
      <c r="F590" s="9"/>
      <c r="H590" s="9"/>
      <c r="M590" s="9"/>
      <c r="N590" s="9"/>
      <c r="O590" s="9"/>
      <c r="P590" s="9"/>
      <c r="Q590" s="9"/>
      <c r="R590" s="9"/>
      <c r="S590" s="9"/>
    </row>
    <row r="591" spans="5:19" ht="15.75" customHeight="1" x14ac:dyDescent="0.3">
      <c r="E591" s="9"/>
      <c r="F591" s="9"/>
      <c r="H591" s="9"/>
      <c r="M591" s="9"/>
      <c r="N591" s="9"/>
      <c r="O591" s="9"/>
      <c r="P591" s="9"/>
      <c r="Q591" s="9"/>
      <c r="R591" s="9"/>
      <c r="S591" s="9"/>
    </row>
    <row r="592" spans="5:19" ht="15.75" customHeight="1" x14ac:dyDescent="0.3">
      <c r="E592" s="9"/>
      <c r="F592" s="9"/>
      <c r="H592" s="9"/>
      <c r="M592" s="9"/>
      <c r="N592" s="9"/>
      <c r="O592" s="9"/>
      <c r="P592" s="9"/>
      <c r="Q592" s="9"/>
      <c r="R592" s="9"/>
      <c r="S592" s="9"/>
    </row>
    <row r="593" spans="5:19" ht="15.75" customHeight="1" x14ac:dyDescent="0.3">
      <c r="E593" s="9"/>
      <c r="F593" s="9"/>
      <c r="H593" s="9"/>
      <c r="M593" s="9"/>
      <c r="N593" s="9"/>
      <c r="O593" s="9"/>
      <c r="P593" s="9"/>
      <c r="Q593" s="9"/>
      <c r="R593" s="9"/>
      <c r="S593" s="9"/>
    </row>
    <row r="594" spans="5:19" ht="15.75" customHeight="1" x14ac:dyDescent="0.3">
      <c r="E594" s="9"/>
      <c r="F594" s="9"/>
      <c r="H594" s="9"/>
      <c r="M594" s="9"/>
      <c r="N594" s="9"/>
      <c r="O594" s="9"/>
      <c r="P594" s="9"/>
      <c r="Q594" s="9"/>
      <c r="R594" s="9"/>
      <c r="S594" s="9"/>
    </row>
    <row r="595" spans="5:19" ht="15.75" customHeight="1" x14ac:dyDescent="0.3">
      <c r="E595" s="9"/>
      <c r="F595" s="9"/>
      <c r="H595" s="9"/>
      <c r="M595" s="9"/>
      <c r="N595" s="9"/>
      <c r="O595" s="9"/>
      <c r="P595" s="9"/>
      <c r="Q595" s="9"/>
      <c r="R595" s="9"/>
      <c r="S595" s="9"/>
    </row>
    <row r="596" spans="5:19" ht="15.75" customHeight="1" x14ac:dyDescent="0.3">
      <c r="E596" s="9"/>
      <c r="F596" s="9"/>
      <c r="H596" s="9"/>
      <c r="M596" s="9"/>
      <c r="N596" s="9"/>
      <c r="O596" s="9"/>
      <c r="P596" s="9"/>
      <c r="Q596" s="9"/>
      <c r="R596" s="9"/>
      <c r="S596" s="9"/>
    </row>
    <row r="597" spans="5:19" ht="15.75" customHeight="1" x14ac:dyDescent="0.3">
      <c r="E597" s="9"/>
      <c r="F597" s="9"/>
      <c r="H597" s="9"/>
      <c r="M597" s="9"/>
      <c r="N597" s="9"/>
      <c r="O597" s="9"/>
      <c r="P597" s="9"/>
      <c r="Q597" s="9"/>
      <c r="R597" s="9"/>
      <c r="S597" s="9"/>
    </row>
    <row r="598" spans="5:19" ht="15.75" customHeight="1" x14ac:dyDescent="0.3">
      <c r="E598" s="9"/>
      <c r="F598" s="9"/>
      <c r="H598" s="9"/>
      <c r="M598" s="9"/>
      <c r="N598" s="9"/>
      <c r="O598" s="9"/>
      <c r="P598" s="9"/>
      <c r="Q598" s="9"/>
      <c r="R598" s="9"/>
      <c r="S598" s="9"/>
    </row>
    <row r="599" spans="5:19" ht="15.75" customHeight="1" x14ac:dyDescent="0.3">
      <c r="E599" s="9"/>
      <c r="F599" s="9"/>
      <c r="H599" s="9"/>
      <c r="M599" s="9"/>
      <c r="N599" s="9"/>
      <c r="O599" s="9"/>
      <c r="P599" s="9"/>
      <c r="Q599" s="9"/>
      <c r="R599" s="9"/>
      <c r="S599" s="9"/>
    </row>
    <row r="600" spans="5:19" ht="15.75" customHeight="1" x14ac:dyDescent="0.3">
      <c r="E600" s="9"/>
      <c r="F600" s="9"/>
      <c r="H600" s="9"/>
      <c r="M600" s="9"/>
      <c r="N600" s="9"/>
      <c r="O600" s="9"/>
      <c r="P600" s="9"/>
      <c r="Q600" s="9"/>
      <c r="R600" s="9"/>
      <c r="S600" s="9"/>
    </row>
    <row r="601" spans="5:19" ht="15.75" customHeight="1" x14ac:dyDescent="0.3">
      <c r="E601" s="9"/>
      <c r="F601" s="9"/>
      <c r="H601" s="9"/>
      <c r="M601" s="9"/>
      <c r="N601" s="9"/>
      <c r="O601" s="9"/>
      <c r="P601" s="9"/>
      <c r="Q601" s="9"/>
      <c r="R601" s="9"/>
      <c r="S601" s="9"/>
    </row>
    <row r="602" spans="5:19" ht="15.75" customHeight="1" x14ac:dyDescent="0.3">
      <c r="E602" s="9"/>
      <c r="F602" s="9"/>
      <c r="H602" s="9"/>
      <c r="M602" s="9"/>
      <c r="N602" s="9"/>
      <c r="O602" s="9"/>
      <c r="P602" s="9"/>
      <c r="Q602" s="9"/>
      <c r="R602" s="9"/>
      <c r="S602" s="9"/>
    </row>
    <row r="603" spans="5:19" ht="15.75" customHeight="1" x14ac:dyDescent="0.3">
      <c r="E603" s="9"/>
      <c r="F603" s="9"/>
      <c r="H603" s="9"/>
      <c r="M603" s="9"/>
      <c r="N603" s="9"/>
      <c r="O603" s="9"/>
      <c r="P603" s="9"/>
      <c r="Q603" s="9"/>
      <c r="R603" s="9"/>
      <c r="S603" s="9"/>
    </row>
    <row r="604" spans="5:19" ht="15.75" customHeight="1" x14ac:dyDescent="0.3">
      <c r="E604" s="9"/>
      <c r="F604" s="9"/>
      <c r="H604" s="9"/>
      <c r="M604" s="9"/>
      <c r="N604" s="9"/>
      <c r="O604" s="9"/>
      <c r="P604" s="9"/>
      <c r="Q604" s="9"/>
      <c r="R604" s="9"/>
      <c r="S604" s="9"/>
    </row>
    <row r="605" spans="5:19" ht="15.75" customHeight="1" x14ac:dyDescent="0.3">
      <c r="E605" s="9"/>
      <c r="F605" s="9"/>
      <c r="H605" s="9"/>
      <c r="M605" s="9"/>
      <c r="N605" s="9"/>
      <c r="O605" s="9"/>
      <c r="P605" s="9"/>
      <c r="Q605" s="9"/>
      <c r="R605" s="9"/>
      <c r="S605" s="9"/>
    </row>
    <row r="606" spans="5:19" ht="15.75" customHeight="1" x14ac:dyDescent="0.3">
      <c r="E606" s="9"/>
      <c r="F606" s="9"/>
      <c r="H606" s="9"/>
      <c r="M606" s="9"/>
      <c r="N606" s="9"/>
      <c r="O606" s="9"/>
      <c r="P606" s="9"/>
      <c r="Q606" s="9"/>
      <c r="R606" s="9"/>
      <c r="S606" s="9"/>
    </row>
    <row r="607" spans="5:19" ht="15.75" customHeight="1" x14ac:dyDescent="0.3">
      <c r="E607" s="9"/>
      <c r="F607" s="9"/>
      <c r="H607" s="9"/>
      <c r="M607" s="9"/>
      <c r="N607" s="9"/>
      <c r="O607" s="9"/>
      <c r="P607" s="9"/>
      <c r="Q607" s="9"/>
      <c r="R607" s="9"/>
      <c r="S607" s="9"/>
    </row>
    <row r="608" spans="5:19" ht="15.75" customHeight="1" x14ac:dyDescent="0.3">
      <c r="E608" s="9"/>
      <c r="F608" s="9"/>
      <c r="H608" s="9"/>
      <c r="M608" s="9"/>
      <c r="N608" s="9"/>
      <c r="O608" s="9"/>
      <c r="P608" s="9"/>
      <c r="Q608" s="9"/>
      <c r="R608" s="9"/>
      <c r="S608" s="9"/>
    </row>
    <row r="609" spans="5:19" ht="15.75" customHeight="1" x14ac:dyDescent="0.3">
      <c r="E609" s="9"/>
      <c r="F609" s="9"/>
      <c r="H609" s="9"/>
      <c r="M609" s="9"/>
      <c r="N609" s="9"/>
      <c r="O609" s="9"/>
      <c r="P609" s="9"/>
      <c r="Q609" s="9"/>
      <c r="R609" s="9"/>
      <c r="S609" s="9"/>
    </row>
    <row r="610" spans="5:19" ht="15.75" customHeight="1" x14ac:dyDescent="0.3">
      <c r="E610" s="9"/>
      <c r="F610" s="9"/>
      <c r="H610" s="9"/>
      <c r="M610" s="9"/>
      <c r="N610" s="9"/>
      <c r="O610" s="9"/>
      <c r="P610" s="9"/>
      <c r="Q610" s="9"/>
      <c r="R610" s="9"/>
      <c r="S610" s="9"/>
    </row>
    <row r="611" spans="5:19" ht="15.75" customHeight="1" x14ac:dyDescent="0.3">
      <c r="E611" s="9"/>
      <c r="F611" s="9"/>
      <c r="H611" s="9"/>
      <c r="M611" s="9"/>
      <c r="N611" s="9"/>
      <c r="O611" s="9"/>
      <c r="P611" s="9"/>
      <c r="Q611" s="9"/>
      <c r="R611" s="9"/>
      <c r="S611" s="9"/>
    </row>
    <row r="612" spans="5:19" ht="15.75" customHeight="1" x14ac:dyDescent="0.3">
      <c r="E612" s="9"/>
      <c r="F612" s="9"/>
      <c r="H612" s="9"/>
      <c r="M612" s="9"/>
      <c r="N612" s="9"/>
      <c r="O612" s="9"/>
      <c r="P612" s="9"/>
      <c r="Q612" s="9"/>
      <c r="R612" s="9"/>
      <c r="S612" s="9"/>
    </row>
    <row r="613" spans="5:19" ht="15.75" customHeight="1" x14ac:dyDescent="0.3">
      <c r="E613" s="9"/>
      <c r="F613" s="9"/>
      <c r="H613" s="9"/>
      <c r="M613" s="9"/>
      <c r="N613" s="9"/>
      <c r="O613" s="9"/>
      <c r="P613" s="9"/>
      <c r="Q613" s="9"/>
      <c r="R613" s="9"/>
      <c r="S613" s="9"/>
    </row>
    <row r="614" spans="5:19" ht="15.75" customHeight="1" x14ac:dyDescent="0.3">
      <c r="E614" s="9"/>
      <c r="F614" s="9"/>
      <c r="H614" s="9"/>
      <c r="M614" s="9"/>
      <c r="N614" s="9"/>
      <c r="O614" s="9"/>
      <c r="P614" s="9"/>
      <c r="Q614" s="9"/>
      <c r="R614" s="9"/>
      <c r="S614" s="9"/>
    </row>
    <row r="615" spans="5:19" ht="15.75" customHeight="1" x14ac:dyDescent="0.3">
      <c r="E615" s="9"/>
      <c r="F615" s="9"/>
      <c r="H615" s="9"/>
      <c r="M615" s="9"/>
      <c r="N615" s="9"/>
      <c r="O615" s="9"/>
      <c r="P615" s="9"/>
      <c r="Q615" s="9"/>
      <c r="R615" s="9"/>
      <c r="S615" s="9"/>
    </row>
    <row r="616" spans="5:19" ht="15.75" customHeight="1" x14ac:dyDescent="0.3">
      <c r="E616" s="9"/>
      <c r="F616" s="9"/>
      <c r="H616" s="9"/>
      <c r="M616" s="9"/>
      <c r="N616" s="9"/>
      <c r="O616" s="9"/>
      <c r="P616" s="9"/>
      <c r="Q616" s="9"/>
      <c r="R616" s="9"/>
      <c r="S616" s="9"/>
    </row>
    <row r="617" spans="5:19" ht="15.75" customHeight="1" x14ac:dyDescent="0.3">
      <c r="E617" s="9"/>
      <c r="F617" s="9"/>
      <c r="H617" s="9"/>
      <c r="M617" s="9"/>
      <c r="N617" s="9"/>
      <c r="O617" s="9"/>
      <c r="P617" s="9"/>
      <c r="Q617" s="9"/>
      <c r="R617" s="9"/>
      <c r="S617" s="9"/>
    </row>
    <row r="618" spans="5:19" ht="15.75" customHeight="1" x14ac:dyDescent="0.3">
      <c r="E618" s="9"/>
      <c r="F618" s="9"/>
      <c r="H618" s="9"/>
      <c r="M618" s="9"/>
      <c r="N618" s="9"/>
      <c r="O618" s="9"/>
      <c r="P618" s="9"/>
      <c r="Q618" s="9"/>
      <c r="R618" s="9"/>
      <c r="S618" s="9"/>
    </row>
    <row r="619" spans="5:19" ht="15.75" customHeight="1" x14ac:dyDescent="0.3">
      <c r="E619" s="9"/>
      <c r="F619" s="9"/>
      <c r="H619" s="9"/>
      <c r="M619" s="9"/>
      <c r="N619" s="9"/>
      <c r="O619" s="9"/>
      <c r="P619" s="9"/>
      <c r="Q619" s="9"/>
      <c r="R619" s="9"/>
      <c r="S619" s="9"/>
    </row>
    <row r="620" spans="5:19" ht="15.75" customHeight="1" x14ac:dyDescent="0.3">
      <c r="E620" s="9"/>
      <c r="F620" s="9"/>
      <c r="H620" s="9"/>
      <c r="M620" s="9"/>
      <c r="N620" s="9"/>
      <c r="O620" s="9"/>
      <c r="P620" s="9"/>
      <c r="Q620" s="9"/>
      <c r="R620" s="9"/>
      <c r="S620" s="9"/>
    </row>
    <row r="621" spans="5:19" ht="15.75" customHeight="1" x14ac:dyDescent="0.3">
      <c r="E621" s="9"/>
      <c r="F621" s="9"/>
      <c r="H621" s="9"/>
      <c r="M621" s="9"/>
      <c r="N621" s="9"/>
      <c r="O621" s="9"/>
      <c r="P621" s="9"/>
      <c r="Q621" s="9"/>
      <c r="R621" s="9"/>
      <c r="S621" s="9"/>
    </row>
    <row r="622" spans="5:19" ht="15.75" customHeight="1" x14ac:dyDescent="0.3">
      <c r="E622" s="9"/>
      <c r="F622" s="9"/>
      <c r="H622" s="9"/>
      <c r="M622" s="9"/>
      <c r="N622" s="9"/>
      <c r="O622" s="9"/>
      <c r="P622" s="9"/>
      <c r="Q622" s="9"/>
      <c r="R622" s="9"/>
      <c r="S622" s="9"/>
    </row>
    <row r="623" spans="5:19" ht="15.75" customHeight="1" x14ac:dyDescent="0.3">
      <c r="E623" s="9"/>
      <c r="F623" s="9"/>
      <c r="H623" s="9"/>
      <c r="M623" s="9"/>
      <c r="N623" s="9"/>
      <c r="O623" s="9"/>
      <c r="P623" s="9"/>
      <c r="Q623" s="9"/>
      <c r="R623" s="9"/>
      <c r="S623" s="9"/>
    </row>
    <row r="624" spans="5:19" ht="15.75" customHeight="1" x14ac:dyDescent="0.3">
      <c r="E624" s="9"/>
      <c r="F624" s="9"/>
      <c r="H624" s="9"/>
      <c r="M624" s="9"/>
      <c r="N624" s="9"/>
      <c r="O624" s="9"/>
      <c r="P624" s="9"/>
      <c r="Q624" s="9"/>
      <c r="R624" s="9"/>
      <c r="S624" s="9"/>
    </row>
    <row r="625" spans="5:19" ht="15.75" customHeight="1" x14ac:dyDescent="0.3">
      <c r="E625" s="9"/>
      <c r="F625" s="9"/>
      <c r="H625" s="9"/>
      <c r="M625" s="9"/>
      <c r="N625" s="9"/>
      <c r="O625" s="9"/>
      <c r="P625" s="9"/>
      <c r="Q625" s="9"/>
      <c r="R625" s="9"/>
      <c r="S625" s="9"/>
    </row>
    <row r="626" spans="5:19" ht="15.75" customHeight="1" x14ac:dyDescent="0.3">
      <c r="E626" s="9"/>
      <c r="F626" s="9"/>
      <c r="H626" s="9"/>
      <c r="M626" s="9"/>
      <c r="N626" s="9"/>
      <c r="O626" s="9"/>
      <c r="P626" s="9"/>
      <c r="Q626" s="9"/>
      <c r="R626" s="9"/>
      <c r="S626" s="9"/>
    </row>
    <row r="627" spans="5:19" ht="15.75" customHeight="1" x14ac:dyDescent="0.3">
      <c r="E627" s="9"/>
      <c r="F627" s="9"/>
      <c r="H627" s="9"/>
      <c r="M627" s="9"/>
      <c r="N627" s="9"/>
      <c r="O627" s="9"/>
      <c r="P627" s="9"/>
      <c r="Q627" s="9"/>
      <c r="R627" s="9"/>
      <c r="S627" s="9"/>
    </row>
    <row r="628" spans="5:19" ht="15.75" customHeight="1" x14ac:dyDescent="0.3">
      <c r="E628" s="9"/>
      <c r="F628" s="9"/>
      <c r="H628" s="9"/>
      <c r="M628" s="9"/>
      <c r="N628" s="9"/>
      <c r="O628" s="9"/>
      <c r="P628" s="9"/>
      <c r="Q628" s="9"/>
      <c r="R628" s="9"/>
      <c r="S628" s="9"/>
    </row>
    <row r="629" spans="5:19" ht="15.75" customHeight="1" x14ac:dyDescent="0.3">
      <c r="E629" s="9"/>
      <c r="F629" s="9"/>
      <c r="H629" s="9"/>
      <c r="M629" s="9"/>
      <c r="N629" s="9"/>
      <c r="O629" s="9"/>
      <c r="P629" s="9"/>
      <c r="Q629" s="9"/>
      <c r="R629" s="9"/>
      <c r="S629" s="9"/>
    </row>
    <row r="630" spans="5:19" ht="15.75" customHeight="1" x14ac:dyDescent="0.3">
      <c r="E630" s="9"/>
      <c r="F630" s="9"/>
      <c r="H630" s="9"/>
      <c r="M630" s="9"/>
      <c r="N630" s="9"/>
      <c r="O630" s="9"/>
      <c r="P630" s="9"/>
      <c r="Q630" s="9"/>
      <c r="R630" s="9"/>
      <c r="S630" s="9"/>
    </row>
    <row r="631" spans="5:19" ht="15.75" customHeight="1" x14ac:dyDescent="0.3">
      <c r="E631" s="9"/>
      <c r="F631" s="9"/>
      <c r="H631" s="9"/>
      <c r="M631" s="9"/>
      <c r="N631" s="9"/>
      <c r="O631" s="9"/>
      <c r="P631" s="9"/>
      <c r="Q631" s="9"/>
      <c r="R631" s="9"/>
      <c r="S631" s="9"/>
    </row>
    <row r="632" spans="5:19" ht="15.75" customHeight="1" x14ac:dyDescent="0.3">
      <c r="E632" s="9"/>
      <c r="F632" s="9"/>
      <c r="H632" s="9"/>
      <c r="M632" s="9"/>
      <c r="N632" s="9"/>
      <c r="O632" s="9"/>
      <c r="P632" s="9"/>
      <c r="Q632" s="9"/>
      <c r="R632" s="9"/>
      <c r="S632" s="9"/>
    </row>
    <row r="633" spans="5:19" ht="15.75" customHeight="1" x14ac:dyDescent="0.3">
      <c r="E633" s="9"/>
      <c r="F633" s="9"/>
      <c r="H633" s="9"/>
      <c r="M633" s="9"/>
      <c r="N633" s="9"/>
      <c r="O633" s="9"/>
      <c r="P633" s="9"/>
      <c r="Q633" s="9"/>
      <c r="R633" s="9"/>
      <c r="S633" s="9"/>
    </row>
    <row r="634" spans="5:19" ht="15.75" customHeight="1" x14ac:dyDescent="0.3">
      <c r="E634" s="9"/>
      <c r="F634" s="9"/>
      <c r="H634" s="9"/>
      <c r="M634" s="9"/>
      <c r="N634" s="9"/>
      <c r="O634" s="9"/>
      <c r="P634" s="9"/>
      <c r="Q634" s="9"/>
      <c r="R634" s="9"/>
      <c r="S634" s="9"/>
    </row>
    <row r="635" spans="5:19" ht="15.75" customHeight="1" x14ac:dyDescent="0.3">
      <c r="E635" s="9"/>
      <c r="F635" s="9"/>
      <c r="H635" s="9"/>
      <c r="M635" s="9"/>
      <c r="N635" s="9"/>
      <c r="O635" s="9"/>
      <c r="P635" s="9"/>
      <c r="Q635" s="9"/>
      <c r="R635" s="9"/>
      <c r="S635" s="9"/>
    </row>
    <row r="636" spans="5:19" ht="15.75" customHeight="1" x14ac:dyDescent="0.3">
      <c r="E636" s="9"/>
      <c r="F636" s="9"/>
      <c r="H636" s="9"/>
      <c r="M636" s="9"/>
      <c r="N636" s="9"/>
      <c r="O636" s="9"/>
      <c r="P636" s="9"/>
      <c r="Q636" s="9"/>
      <c r="R636" s="9"/>
      <c r="S636" s="9"/>
    </row>
    <row r="637" spans="5:19" ht="15.75" customHeight="1" x14ac:dyDescent="0.3">
      <c r="E637" s="9"/>
      <c r="F637" s="9"/>
      <c r="H637" s="9"/>
      <c r="M637" s="9"/>
      <c r="N637" s="9"/>
      <c r="O637" s="9"/>
      <c r="P637" s="9"/>
      <c r="Q637" s="9"/>
      <c r="R637" s="9"/>
      <c r="S637" s="9"/>
    </row>
    <row r="638" spans="5:19" ht="15.75" customHeight="1" x14ac:dyDescent="0.3">
      <c r="E638" s="9"/>
      <c r="F638" s="9"/>
      <c r="H638" s="9"/>
      <c r="M638" s="9"/>
      <c r="N638" s="9"/>
      <c r="O638" s="9"/>
      <c r="P638" s="9"/>
      <c r="Q638" s="9"/>
      <c r="R638" s="9"/>
      <c r="S638" s="9"/>
    </row>
    <row r="639" spans="5:19" ht="15.75" customHeight="1" x14ac:dyDescent="0.3">
      <c r="E639" s="9"/>
      <c r="F639" s="9"/>
      <c r="H639" s="9"/>
      <c r="M639" s="9"/>
      <c r="N639" s="9"/>
      <c r="O639" s="9"/>
      <c r="P639" s="9"/>
      <c r="Q639" s="9"/>
      <c r="R639" s="9"/>
      <c r="S639" s="9"/>
    </row>
    <row r="640" spans="5:19" ht="15.75" customHeight="1" x14ac:dyDescent="0.3">
      <c r="E640" s="9"/>
      <c r="F640" s="9"/>
      <c r="H640" s="9"/>
      <c r="M640" s="9"/>
      <c r="N640" s="9"/>
      <c r="O640" s="9"/>
      <c r="P640" s="9"/>
      <c r="Q640" s="9"/>
      <c r="R640" s="9"/>
      <c r="S640" s="9"/>
    </row>
    <row r="641" spans="5:19" ht="15.75" customHeight="1" x14ac:dyDescent="0.3">
      <c r="E641" s="9"/>
      <c r="F641" s="9"/>
      <c r="H641" s="9"/>
      <c r="M641" s="9"/>
      <c r="N641" s="9"/>
      <c r="O641" s="9"/>
      <c r="P641" s="9"/>
      <c r="Q641" s="9"/>
      <c r="R641" s="9"/>
      <c r="S641" s="9"/>
    </row>
    <row r="642" spans="5:19" ht="15.75" customHeight="1" x14ac:dyDescent="0.3">
      <c r="E642" s="9"/>
      <c r="F642" s="9"/>
      <c r="H642" s="9"/>
      <c r="M642" s="9"/>
      <c r="N642" s="9"/>
      <c r="O642" s="9"/>
      <c r="P642" s="9"/>
      <c r="Q642" s="9"/>
      <c r="R642" s="9"/>
      <c r="S642" s="9"/>
    </row>
    <row r="643" spans="5:19" ht="15.75" customHeight="1" x14ac:dyDescent="0.3">
      <c r="E643" s="9"/>
      <c r="F643" s="9"/>
      <c r="H643" s="9"/>
      <c r="M643" s="9"/>
      <c r="N643" s="9"/>
      <c r="O643" s="9"/>
      <c r="P643" s="9"/>
      <c r="Q643" s="9"/>
      <c r="R643" s="9"/>
      <c r="S643" s="9"/>
    </row>
    <row r="644" spans="5:19" ht="15.75" customHeight="1" x14ac:dyDescent="0.3">
      <c r="E644" s="9"/>
      <c r="F644" s="9"/>
      <c r="H644" s="9"/>
      <c r="M644" s="9"/>
      <c r="N644" s="9"/>
      <c r="O644" s="9"/>
      <c r="P644" s="9"/>
      <c r="Q644" s="9"/>
      <c r="R644" s="9"/>
      <c r="S644" s="9"/>
    </row>
    <row r="645" spans="5:19" ht="15.75" customHeight="1" x14ac:dyDescent="0.3">
      <c r="E645" s="9"/>
      <c r="F645" s="9"/>
      <c r="H645" s="9"/>
      <c r="M645" s="9"/>
      <c r="N645" s="9"/>
      <c r="O645" s="9"/>
      <c r="P645" s="9"/>
      <c r="Q645" s="9"/>
      <c r="R645" s="9"/>
      <c r="S645" s="9"/>
    </row>
    <row r="646" spans="5:19" ht="15.75" customHeight="1" x14ac:dyDescent="0.3">
      <c r="E646" s="9"/>
      <c r="F646" s="9"/>
      <c r="H646" s="9"/>
      <c r="M646" s="9"/>
      <c r="N646" s="9"/>
      <c r="O646" s="9"/>
      <c r="P646" s="9"/>
      <c r="Q646" s="9"/>
      <c r="R646" s="9"/>
      <c r="S646" s="9"/>
    </row>
    <row r="647" spans="5:19" ht="15.75" customHeight="1" x14ac:dyDescent="0.3">
      <c r="E647" s="9"/>
      <c r="F647" s="9"/>
      <c r="H647" s="9"/>
      <c r="M647" s="9"/>
      <c r="N647" s="9"/>
      <c r="O647" s="9"/>
      <c r="P647" s="9"/>
      <c r="Q647" s="9"/>
      <c r="R647" s="9"/>
      <c r="S647" s="9"/>
    </row>
    <row r="648" spans="5:19" ht="15.75" customHeight="1" x14ac:dyDescent="0.3">
      <c r="E648" s="9"/>
      <c r="F648" s="9"/>
      <c r="H648" s="9"/>
      <c r="M648" s="9"/>
      <c r="N648" s="9"/>
      <c r="O648" s="9"/>
      <c r="P648" s="9"/>
      <c r="Q648" s="9"/>
      <c r="R648" s="9"/>
      <c r="S648" s="9"/>
    </row>
    <row r="649" spans="5:19" ht="15.75" customHeight="1" x14ac:dyDescent="0.3">
      <c r="E649" s="9"/>
      <c r="F649" s="9"/>
      <c r="H649" s="9"/>
      <c r="M649" s="9"/>
      <c r="N649" s="9"/>
      <c r="O649" s="9"/>
      <c r="P649" s="9"/>
      <c r="Q649" s="9"/>
      <c r="R649" s="9"/>
      <c r="S649" s="9"/>
    </row>
    <row r="650" spans="5:19" ht="15.75" customHeight="1" x14ac:dyDescent="0.3">
      <c r="E650" s="9"/>
      <c r="F650" s="9"/>
      <c r="H650" s="9"/>
      <c r="M650" s="9"/>
      <c r="N650" s="9"/>
      <c r="O650" s="9"/>
      <c r="P650" s="9"/>
      <c r="Q650" s="9"/>
      <c r="R650" s="9"/>
      <c r="S650" s="9"/>
    </row>
    <row r="651" spans="5:19" ht="15.75" customHeight="1" x14ac:dyDescent="0.3">
      <c r="E651" s="9"/>
      <c r="F651" s="9"/>
      <c r="H651" s="9"/>
      <c r="M651" s="9"/>
      <c r="N651" s="9"/>
      <c r="O651" s="9"/>
      <c r="P651" s="9"/>
      <c r="Q651" s="9"/>
      <c r="R651" s="9"/>
      <c r="S651" s="9"/>
    </row>
    <row r="652" spans="5:19" ht="15.75" customHeight="1" x14ac:dyDescent="0.3">
      <c r="E652" s="9"/>
      <c r="F652" s="9"/>
      <c r="H652" s="9"/>
      <c r="M652" s="9"/>
      <c r="N652" s="9"/>
      <c r="O652" s="9"/>
      <c r="P652" s="9"/>
      <c r="Q652" s="9"/>
      <c r="R652" s="9"/>
      <c r="S652" s="9"/>
    </row>
    <row r="653" spans="5:19" ht="15.75" customHeight="1" x14ac:dyDescent="0.3">
      <c r="E653" s="9"/>
      <c r="F653" s="9"/>
      <c r="H653" s="9"/>
      <c r="M653" s="9"/>
      <c r="N653" s="9"/>
      <c r="O653" s="9"/>
      <c r="P653" s="9"/>
      <c r="Q653" s="9"/>
      <c r="R653" s="9"/>
      <c r="S653" s="9"/>
    </row>
    <row r="654" spans="5:19" ht="15.75" customHeight="1" x14ac:dyDescent="0.3">
      <c r="E654" s="9"/>
      <c r="F654" s="9"/>
      <c r="H654" s="9"/>
      <c r="M654" s="9"/>
      <c r="N654" s="9"/>
      <c r="O654" s="9"/>
      <c r="P654" s="9"/>
      <c r="Q654" s="9"/>
      <c r="R654" s="9"/>
      <c r="S654" s="9"/>
    </row>
    <row r="655" spans="5:19" ht="15.75" customHeight="1" x14ac:dyDescent="0.3">
      <c r="E655" s="9"/>
      <c r="F655" s="9"/>
      <c r="H655" s="9"/>
      <c r="M655" s="9"/>
      <c r="N655" s="9"/>
      <c r="O655" s="9"/>
      <c r="P655" s="9"/>
      <c r="Q655" s="9"/>
      <c r="R655" s="9"/>
      <c r="S655" s="9"/>
    </row>
    <row r="656" spans="5:19" ht="15.75" customHeight="1" x14ac:dyDescent="0.3">
      <c r="E656" s="9"/>
      <c r="F656" s="9"/>
      <c r="H656" s="9"/>
      <c r="M656" s="9"/>
      <c r="N656" s="9"/>
      <c r="O656" s="9"/>
      <c r="P656" s="9"/>
      <c r="Q656" s="9"/>
      <c r="R656" s="9"/>
      <c r="S656" s="9"/>
    </row>
    <row r="657" spans="5:19" ht="15.75" customHeight="1" x14ac:dyDescent="0.3">
      <c r="E657" s="9"/>
      <c r="F657" s="9"/>
      <c r="H657" s="9"/>
      <c r="M657" s="9"/>
      <c r="N657" s="9"/>
      <c r="O657" s="9"/>
      <c r="P657" s="9"/>
      <c r="Q657" s="9"/>
      <c r="R657" s="9"/>
      <c r="S657" s="9"/>
    </row>
    <row r="658" spans="5:19" ht="15.75" customHeight="1" x14ac:dyDescent="0.3">
      <c r="E658" s="9"/>
      <c r="F658" s="9"/>
      <c r="H658" s="9"/>
      <c r="M658" s="9"/>
      <c r="N658" s="9"/>
      <c r="O658" s="9"/>
      <c r="P658" s="9"/>
      <c r="Q658" s="9"/>
      <c r="R658" s="9"/>
      <c r="S658" s="9"/>
    </row>
    <row r="659" spans="5:19" ht="15.75" customHeight="1" x14ac:dyDescent="0.3">
      <c r="E659" s="9"/>
      <c r="F659" s="9"/>
      <c r="H659" s="9"/>
      <c r="M659" s="9"/>
      <c r="N659" s="9"/>
      <c r="O659" s="9"/>
      <c r="P659" s="9"/>
      <c r="Q659" s="9"/>
      <c r="R659" s="9"/>
      <c r="S659" s="9"/>
    </row>
    <row r="660" spans="5:19" ht="15.75" customHeight="1" x14ac:dyDescent="0.3">
      <c r="E660" s="9"/>
      <c r="F660" s="9"/>
      <c r="H660" s="9"/>
      <c r="M660" s="9"/>
      <c r="N660" s="9"/>
      <c r="O660" s="9"/>
      <c r="P660" s="9"/>
      <c r="Q660" s="9"/>
      <c r="R660" s="9"/>
      <c r="S660" s="9"/>
    </row>
    <row r="661" spans="5:19" ht="15.75" customHeight="1" x14ac:dyDescent="0.3">
      <c r="E661" s="9"/>
      <c r="F661" s="9"/>
      <c r="H661" s="9"/>
      <c r="M661" s="9"/>
      <c r="N661" s="9"/>
      <c r="O661" s="9"/>
      <c r="P661" s="9"/>
      <c r="Q661" s="9"/>
      <c r="R661" s="9"/>
      <c r="S661" s="9"/>
    </row>
    <row r="662" spans="5:19" ht="15.75" customHeight="1" x14ac:dyDescent="0.3">
      <c r="E662" s="9"/>
      <c r="F662" s="9"/>
      <c r="H662" s="9"/>
      <c r="M662" s="9"/>
      <c r="N662" s="9"/>
      <c r="O662" s="9"/>
      <c r="P662" s="9"/>
      <c r="Q662" s="9"/>
      <c r="R662" s="9"/>
      <c r="S662" s="9"/>
    </row>
    <row r="663" spans="5:19" ht="15.75" customHeight="1" x14ac:dyDescent="0.3">
      <c r="E663" s="9"/>
      <c r="F663" s="9"/>
      <c r="H663" s="9"/>
      <c r="M663" s="9"/>
      <c r="N663" s="9"/>
      <c r="O663" s="9"/>
      <c r="P663" s="9"/>
      <c r="Q663" s="9"/>
      <c r="R663" s="9"/>
      <c r="S663" s="9"/>
    </row>
    <row r="664" spans="5:19" ht="15.75" customHeight="1" x14ac:dyDescent="0.3">
      <c r="E664" s="9"/>
      <c r="F664" s="9"/>
      <c r="H664" s="9"/>
      <c r="M664" s="9"/>
      <c r="N664" s="9"/>
      <c r="O664" s="9"/>
      <c r="P664" s="9"/>
      <c r="Q664" s="9"/>
      <c r="R664" s="9"/>
      <c r="S664" s="9"/>
    </row>
    <row r="665" spans="5:19" ht="15.75" customHeight="1" x14ac:dyDescent="0.3">
      <c r="E665" s="9"/>
      <c r="F665" s="9"/>
      <c r="H665" s="9"/>
      <c r="M665" s="9"/>
      <c r="N665" s="9"/>
      <c r="O665" s="9"/>
      <c r="P665" s="9"/>
      <c r="Q665" s="9"/>
      <c r="R665" s="9"/>
      <c r="S665" s="9"/>
    </row>
    <row r="666" spans="5:19" ht="15.75" customHeight="1" x14ac:dyDescent="0.3">
      <c r="E666" s="9"/>
      <c r="F666" s="9"/>
      <c r="H666" s="9"/>
      <c r="M666" s="9"/>
      <c r="N666" s="9"/>
      <c r="O666" s="9"/>
      <c r="P666" s="9"/>
      <c r="Q666" s="9"/>
      <c r="R666" s="9"/>
      <c r="S666" s="9"/>
    </row>
    <row r="667" spans="5:19" ht="15.75" customHeight="1" x14ac:dyDescent="0.3">
      <c r="E667" s="9"/>
      <c r="F667" s="9"/>
      <c r="H667" s="9"/>
      <c r="M667" s="9"/>
      <c r="N667" s="9"/>
      <c r="O667" s="9"/>
      <c r="P667" s="9"/>
      <c r="Q667" s="9"/>
      <c r="R667" s="9"/>
      <c r="S667" s="9"/>
    </row>
    <row r="668" spans="5:19" ht="15.75" customHeight="1" x14ac:dyDescent="0.3">
      <c r="E668" s="9"/>
      <c r="F668" s="9"/>
      <c r="H668" s="9"/>
      <c r="M668" s="9"/>
      <c r="N668" s="9"/>
      <c r="O668" s="9"/>
      <c r="P668" s="9"/>
      <c r="Q668" s="9"/>
      <c r="R668" s="9"/>
      <c r="S668" s="9"/>
    </row>
    <row r="669" spans="5:19" ht="15.75" customHeight="1" x14ac:dyDescent="0.3">
      <c r="E669" s="9"/>
      <c r="F669" s="9"/>
      <c r="H669" s="9"/>
      <c r="M669" s="9"/>
      <c r="N669" s="9"/>
      <c r="O669" s="9"/>
      <c r="P669" s="9"/>
      <c r="Q669" s="9"/>
      <c r="R669" s="9"/>
      <c r="S669" s="9"/>
    </row>
    <row r="670" spans="5:19" ht="15.75" customHeight="1" x14ac:dyDescent="0.3">
      <c r="E670" s="9"/>
      <c r="F670" s="9"/>
      <c r="H670" s="9"/>
      <c r="M670" s="9"/>
      <c r="N670" s="9"/>
      <c r="O670" s="9"/>
      <c r="P670" s="9"/>
      <c r="Q670" s="9"/>
      <c r="R670" s="9"/>
      <c r="S670" s="9"/>
    </row>
    <row r="671" spans="5:19" ht="15.75" customHeight="1" x14ac:dyDescent="0.3">
      <c r="E671" s="9"/>
      <c r="F671" s="9"/>
      <c r="H671" s="9"/>
      <c r="M671" s="9"/>
      <c r="N671" s="9"/>
      <c r="O671" s="9"/>
      <c r="P671" s="9"/>
      <c r="Q671" s="9"/>
      <c r="R671" s="9"/>
      <c r="S671" s="9"/>
    </row>
    <row r="672" spans="5:19" ht="15.75" customHeight="1" x14ac:dyDescent="0.3">
      <c r="E672" s="9"/>
      <c r="F672" s="9"/>
      <c r="H672" s="9"/>
      <c r="M672" s="9"/>
      <c r="N672" s="9"/>
      <c r="O672" s="9"/>
      <c r="P672" s="9"/>
      <c r="Q672" s="9"/>
      <c r="R672" s="9"/>
      <c r="S672" s="9"/>
    </row>
    <row r="673" spans="5:19" ht="15.75" customHeight="1" x14ac:dyDescent="0.3">
      <c r="E673" s="9"/>
      <c r="F673" s="9"/>
      <c r="H673" s="9"/>
      <c r="M673" s="9"/>
      <c r="N673" s="9"/>
      <c r="O673" s="9"/>
      <c r="P673" s="9"/>
      <c r="Q673" s="9"/>
      <c r="R673" s="9"/>
      <c r="S673" s="9"/>
    </row>
    <row r="674" spans="5:19" ht="15.75" customHeight="1" x14ac:dyDescent="0.3">
      <c r="E674" s="9"/>
      <c r="F674" s="9"/>
      <c r="H674" s="9"/>
      <c r="M674" s="9"/>
      <c r="N674" s="9"/>
      <c r="O674" s="9"/>
      <c r="P674" s="9"/>
      <c r="Q674" s="9"/>
      <c r="R674" s="9"/>
      <c r="S674" s="9"/>
    </row>
    <row r="675" spans="5:19" ht="15.75" customHeight="1" x14ac:dyDescent="0.3">
      <c r="E675" s="9"/>
      <c r="F675" s="9"/>
      <c r="H675" s="9"/>
      <c r="M675" s="9"/>
      <c r="N675" s="9"/>
      <c r="O675" s="9"/>
      <c r="P675" s="9"/>
      <c r="Q675" s="9"/>
      <c r="R675" s="9"/>
      <c r="S675" s="9"/>
    </row>
    <row r="676" spans="5:19" ht="15.75" customHeight="1" x14ac:dyDescent="0.3">
      <c r="E676" s="9"/>
      <c r="F676" s="9"/>
      <c r="H676" s="9"/>
      <c r="M676" s="9"/>
      <c r="N676" s="9"/>
      <c r="O676" s="9"/>
      <c r="P676" s="9"/>
      <c r="Q676" s="9"/>
      <c r="R676" s="9"/>
      <c r="S676" s="9"/>
    </row>
    <row r="677" spans="5:19" ht="15.75" customHeight="1" x14ac:dyDescent="0.3">
      <c r="E677" s="9"/>
      <c r="F677" s="9"/>
      <c r="H677" s="9"/>
      <c r="M677" s="9"/>
      <c r="N677" s="9"/>
      <c r="O677" s="9"/>
      <c r="P677" s="9"/>
      <c r="Q677" s="9"/>
      <c r="R677" s="9"/>
      <c r="S677" s="9"/>
    </row>
    <row r="678" spans="5:19" ht="15.75" customHeight="1" x14ac:dyDescent="0.3">
      <c r="E678" s="9"/>
      <c r="F678" s="9"/>
      <c r="H678" s="9"/>
      <c r="M678" s="9"/>
      <c r="N678" s="9"/>
      <c r="O678" s="9"/>
      <c r="P678" s="9"/>
      <c r="Q678" s="9"/>
      <c r="R678" s="9"/>
      <c r="S678" s="9"/>
    </row>
    <row r="679" spans="5:19" ht="15.75" customHeight="1" x14ac:dyDescent="0.3">
      <c r="E679" s="9"/>
      <c r="F679" s="9"/>
      <c r="H679" s="9"/>
      <c r="M679" s="9"/>
      <c r="N679" s="9"/>
      <c r="O679" s="9"/>
      <c r="P679" s="9"/>
      <c r="Q679" s="9"/>
      <c r="R679" s="9"/>
      <c r="S679" s="9"/>
    </row>
    <row r="680" spans="5:19" ht="15.75" customHeight="1" x14ac:dyDescent="0.3">
      <c r="E680" s="9"/>
      <c r="F680" s="9"/>
      <c r="H680" s="9"/>
      <c r="M680" s="9"/>
      <c r="N680" s="9"/>
      <c r="O680" s="9"/>
      <c r="P680" s="9"/>
      <c r="Q680" s="9"/>
      <c r="R680" s="9"/>
      <c r="S680" s="9"/>
    </row>
    <row r="681" spans="5:19" ht="15.75" customHeight="1" x14ac:dyDescent="0.3">
      <c r="E681" s="9"/>
      <c r="F681" s="9"/>
      <c r="H681" s="9"/>
      <c r="M681" s="9"/>
      <c r="N681" s="9"/>
      <c r="O681" s="9"/>
      <c r="P681" s="9"/>
      <c r="Q681" s="9"/>
      <c r="R681" s="9"/>
      <c r="S681" s="9"/>
    </row>
    <row r="682" spans="5:19" ht="15.75" customHeight="1" x14ac:dyDescent="0.3">
      <c r="E682" s="9"/>
      <c r="F682" s="9"/>
      <c r="H682" s="9"/>
      <c r="M682" s="9"/>
      <c r="N682" s="9"/>
      <c r="O682" s="9"/>
      <c r="P682" s="9"/>
      <c r="Q682" s="9"/>
      <c r="R682" s="9"/>
      <c r="S682" s="9"/>
    </row>
    <row r="683" spans="5:19" ht="15.75" customHeight="1" x14ac:dyDescent="0.3">
      <c r="E683" s="9"/>
      <c r="F683" s="9"/>
      <c r="H683" s="9"/>
      <c r="M683" s="9"/>
      <c r="N683" s="9"/>
      <c r="O683" s="9"/>
      <c r="P683" s="9"/>
      <c r="Q683" s="9"/>
      <c r="R683" s="9"/>
      <c r="S683" s="9"/>
    </row>
    <row r="684" spans="5:19" ht="15.75" customHeight="1" x14ac:dyDescent="0.3">
      <c r="E684" s="9"/>
      <c r="F684" s="9"/>
      <c r="H684" s="9"/>
      <c r="M684" s="9"/>
      <c r="N684" s="9"/>
      <c r="O684" s="9"/>
      <c r="P684" s="9"/>
      <c r="Q684" s="9"/>
      <c r="R684" s="9"/>
      <c r="S684" s="9"/>
    </row>
    <row r="685" spans="5:19" ht="15.75" customHeight="1" x14ac:dyDescent="0.3">
      <c r="E685" s="9"/>
      <c r="F685" s="9"/>
      <c r="H685" s="9"/>
      <c r="M685" s="9"/>
      <c r="N685" s="9"/>
      <c r="O685" s="9"/>
      <c r="P685" s="9"/>
      <c r="Q685" s="9"/>
      <c r="R685" s="9"/>
      <c r="S685" s="9"/>
    </row>
    <row r="686" spans="5:19" ht="15.75" customHeight="1" x14ac:dyDescent="0.3">
      <c r="E686" s="9"/>
      <c r="F686" s="9"/>
      <c r="H686" s="9"/>
      <c r="M686" s="9"/>
      <c r="N686" s="9"/>
      <c r="O686" s="9"/>
      <c r="P686" s="9"/>
      <c r="Q686" s="9"/>
      <c r="R686" s="9"/>
      <c r="S686" s="9"/>
    </row>
    <row r="687" spans="5:19" ht="15.75" customHeight="1" x14ac:dyDescent="0.3">
      <c r="E687" s="9"/>
      <c r="F687" s="9"/>
      <c r="H687" s="9"/>
      <c r="M687" s="9"/>
      <c r="N687" s="9"/>
      <c r="O687" s="9"/>
      <c r="P687" s="9"/>
      <c r="Q687" s="9"/>
      <c r="R687" s="9"/>
      <c r="S687" s="9"/>
    </row>
    <row r="688" spans="5:19" ht="15.75" customHeight="1" x14ac:dyDescent="0.3">
      <c r="E688" s="9"/>
      <c r="F688" s="9"/>
      <c r="H688" s="9"/>
      <c r="M688" s="9"/>
      <c r="N688" s="9"/>
      <c r="O688" s="9"/>
      <c r="P688" s="9"/>
      <c r="Q688" s="9"/>
      <c r="R688" s="9"/>
      <c r="S688" s="9"/>
    </row>
    <row r="689" spans="5:19" ht="15.75" customHeight="1" x14ac:dyDescent="0.3">
      <c r="E689" s="9"/>
      <c r="F689" s="9"/>
      <c r="H689" s="9"/>
      <c r="M689" s="9"/>
      <c r="N689" s="9"/>
      <c r="O689" s="9"/>
      <c r="P689" s="9"/>
      <c r="Q689" s="9"/>
      <c r="R689" s="9"/>
      <c r="S689" s="9"/>
    </row>
    <row r="690" spans="5:19" ht="15.75" customHeight="1" x14ac:dyDescent="0.3">
      <c r="E690" s="9"/>
      <c r="F690" s="9"/>
      <c r="H690" s="9"/>
      <c r="M690" s="9"/>
      <c r="N690" s="9"/>
      <c r="O690" s="9"/>
      <c r="P690" s="9"/>
      <c r="Q690" s="9"/>
      <c r="R690" s="9"/>
      <c r="S690" s="9"/>
    </row>
    <row r="691" spans="5:19" ht="15.75" customHeight="1" x14ac:dyDescent="0.3">
      <c r="E691" s="9"/>
      <c r="F691" s="9"/>
      <c r="H691" s="9"/>
      <c r="M691" s="9"/>
      <c r="N691" s="9"/>
      <c r="O691" s="9"/>
      <c r="P691" s="9"/>
      <c r="Q691" s="9"/>
      <c r="R691" s="9"/>
      <c r="S691" s="9"/>
    </row>
    <row r="692" spans="5:19" ht="15.75" customHeight="1" x14ac:dyDescent="0.3">
      <c r="E692" s="9"/>
      <c r="F692" s="9"/>
      <c r="H692" s="9"/>
      <c r="M692" s="9"/>
      <c r="N692" s="9"/>
      <c r="O692" s="9"/>
      <c r="P692" s="9"/>
      <c r="Q692" s="9"/>
      <c r="R692" s="9"/>
      <c r="S692" s="9"/>
    </row>
    <row r="693" spans="5:19" ht="15.75" customHeight="1" x14ac:dyDescent="0.3">
      <c r="E693" s="9"/>
      <c r="F693" s="9"/>
      <c r="H693" s="9"/>
      <c r="M693" s="9"/>
      <c r="N693" s="9"/>
      <c r="O693" s="9"/>
      <c r="P693" s="9"/>
      <c r="Q693" s="9"/>
      <c r="R693" s="9"/>
      <c r="S693" s="9"/>
    </row>
    <row r="694" spans="5:19" ht="15.75" customHeight="1" x14ac:dyDescent="0.3">
      <c r="E694" s="9"/>
      <c r="F694" s="9"/>
      <c r="H694" s="9"/>
      <c r="M694" s="9"/>
      <c r="N694" s="9"/>
      <c r="O694" s="9"/>
      <c r="P694" s="9"/>
      <c r="Q694" s="9"/>
      <c r="R694" s="9"/>
      <c r="S694" s="9"/>
    </row>
    <row r="695" spans="5:19" ht="15.75" customHeight="1" x14ac:dyDescent="0.3">
      <c r="E695" s="9"/>
      <c r="F695" s="9"/>
      <c r="H695" s="9"/>
      <c r="M695" s="9"/>
      <c r="N695" s="9"/>
      <c r="O695" s="9"/>
      <c r="P695" s="9"/>
      <c r="Q695" s="9"/>
      <c r="R695" s="9"/>
      <c r="S695" s="9"/>
    </row>
    <row r="696" spans="5:19" ht="15.75" customHeight="1" x14ac:dyDescent="0.3">
      <c r="E696" s="9"/>
      <c r="F696" s="9"/>
      <c r="H696" s="9"/>
      <c r="M696" s="9"/>
      <c r="N696" s="9"/>
      <c r="O696" s="9"/>
      <c r="P696" s="9"/>
      <c r="Q696" s="9"/>
      <c r="R696" s="9"/>
      <c r="S696" s="9"/>
    </row>
    <row r="697" spans="5:19" ht="15.75" customHeight="1" x14ac:dyDescent="0.3">
      <c r="E697" s="9"/>
      <c r="F697" s="9"/>
      <c r="H697" s="9"/>
      <c r="M697" s="9"/>
      <c r="N697" s="9"/>
      <c r="O697" s="9"/>
      <c r="P697" s="9"/>
      <c r="Q697" s="9"/>
      <c r="R697" s="9"/>
      <c r="S697" s="9"/>
    </row>
    <row r="698" spans="5:19" ht="15.75" customHeight="1" x14ac:dyDescent="0.3">
      <c r="E698" s="9"/>
      <c r="F698" s="9"/>
      <c r="H698" s="9"/>
      <c r="M698" s="9"/>
      <c r="N698" s="9"/>
      <c r="O698" s="9"/>
      <c r="P698" s="9"/>
      <c r="Q698" s="9"/>
      <c r="R698" s="9"/>
      <c r="S698" s="9"/>
    </row>
    <row r="699" spans="5:19" ht="15.75" customHeight="1" x14ac:dyDescent="0.3">
      <c r="E699" s="9"/>
      <c r="F699" s="9"/>
      <c r="H699" s="9"/>
      <c r="M699" s="9"/>
      <c r="N699" s="9"/>
      <c r="O699" s="9"/>
      <c r="P699" s="9"/>
      <c r="Q699" s="9"/>
      <c r="R699" s="9"/>
      <c r="S699" s="9"/>
    </row>
    <row r="700" spans="5:19" ht="15.75" customHeight="1" x14ac:dyDescent="0.3">
      <c r="E700" s="9"/>
      <c r="F700" s="9"/>
      <c r="H700" s="9"/>
      <c r="M700" s="9"/>
      <c r="N700" s="9"/>
      <c r="O700" s="9"/>
      <c r="P700" s="9"/>
      <c r="Q700" s="9"/>
      <c r="R700" s="9"/>
      <c r="S700" s="9"/>
    </row>
    <row r="701" spans="5:19" ht="15.75" customHeight="1" x14ac:dyDescent="0.3">
      <c r="E701" s="9"/>
      <c r="F701" s="9"/>
      <c r="H701" s="9"/>
      <c r="M701" s="9"/>
      <c r="N701" s="9"/>
      <c r="O701" s="9"/>
      <c r="P701" s="9"/>
      <c r="Q701" s="9"/>
      <c r="R701" s="9"/>
      <c r="S701" s="9"/>
    </row>
    <row r="702" spans="5:19" ht="15.75" customHeight="1" x14ac:dyDescent="0.3">
      <c r="E702" s="9"/>
      <c r="F702" s="9"/>
      <c r="H702" s="9"/>
      <c r="M702" s="9"/>
      <c r="N702" s="9"/>
      <c r="O702" s="9"/>
      <c r="P702" s="9"/>
      <c r="Q702" s="9"/>
      <c r="R702" s="9"/>
      <c r="S702" s="9"/>
    </row>
    <row r="703" spans="5:19" ht="15.75" customHeight="1" x14ac:dyDescent="0.3">
      <c r="E703" s="9"/>
      <c r="F703" s="9"/>
      <c r="H703" s="9"/>
      <c r="M703" s="9"/>
      <c r="N703" s="9"/>
      <c r="O703" s="9"/>
      <c r="P703" s="9"/>
      <c r="Q703" s="9"/>
      <c r="R703" s="9"/>
      <c r="S703" s="9"/>
    </row>
    <row r="704" spans="5:19" ht="15.75" customHeight="1" x14ac:dyDescent="0.3">
      <c r="E704" s="9"/>
      <c r="F704" s="9"/>
      <c r="H704" s="9"/>
      <c r="M704" s="9"/>
      <c r="N704" s="9"/>
      <c r="O704" s="9"/>
      <c r="P704" s="9"/>
      <c r="Q704" s="9"/>
      <c r="R704" s="9"/>
      <c r="S704" s="9"/>
    </row>
    <row r="705" spans="5:19" ht="15.75" customHeight="1" x14ac:dyDescent="0.3">
      <c r="E705" s="9"/>
      <c r="F705" s="9"/>
      <c r="H705" s="9"/>
      <c r="M705" s="9"/>
      <c r="N705" s="9"/>
      <c r="O705" s="9"/>
      <c r="P705" s="9"/>
      <c r="Q705" s="9"/>
      <c r="R705" s="9"/>
      <c r="S705" s="9"/>
    </row>
    <row r="706" spans="5:19" ht="15.75" customHeight="1" x14ac:dyDescent="0.3">
      <c r="E706" s="9"/>
      <c r="F706" s="9"/>
      <c r="H706" s="9"/>
      <c r="M706" s="9"/>
      <c r="N706" s="9"/>
      <c r="O706" s="9"/>
      <c r="P706" s="9"/>
      <c r="Q706" s="9"/>
      <c r="R706" s="9"/>
      <c r="S706" s="9"/>
    </row>
    <row r="707" spans="5:19" ht="15.75" customHeight="1" x14ac:dyDescent="0.3">
      <c r="E707" s="9"/>
      <c r="F707" s="9"/>
      <c r="H707" s="9"/>
      <c r="M707" s="9"/>
      <c r="N707" s="9"/>
      <c r="O707" s="9"/>
      <c r="P707" s="9"/>
      <c r="Q707" s="9"/>
      <c r="R707" s="9"/>
      <c r="S707" s="9"/>
    </row>
    <row r="708" spans="5:19" ht="15.75" customHeight="1" x14ac:dyDescent="0.3">
      <c r="E708" s="9"/>
      <c r="F708" s="9"/>
      <c r="H708" s="9"/>
      <c r="M708" s="9"/>
      <c r="N708" s="9"/>
      <c r="O708" s="9"/>
      <c r="P708" s="9"/>
      <c r="Q708" s="9"/>
      <c r="R708" s="9"/>
      <c r="S708" s="9"/>
    </row>
    <row r="709" spans="5:19" ht="15.75" customHeight="1" x14ac:dyDescent="0.3">
      <c r="E709" s="9"/>
      <c r="F709" s="9"/>
      <c r="H709" s="9"/>
      <c r="M709" s="9"/>
      <c r="N709" s="9"/>
      <c r="O709" s="9"/>
      <c r="P709" s="9"/>
      <c r="Q709" s="9"/>
      <c r="R709" s="9"/>
      <c r="S709" s="9"/>
    </row>
    <row r="710" spans="5:19" ht="15.75" customHeight="1" x14ac:dyDescent="0.3">
      <c r="E710" s="9"/>
      <c r="F710" s="9"/>
      <c r="H710" s="9"/>
      <c r="M710" s="9"/>
      <c r="N710" s="9"/>
      <c r="O710" s="9"/>
      <c r="P710" s="9"/>
      <c r="Q710" s="9"/>
      <c r="R710" s="9"/>
      <c r="S710" s="9"/>
    </row>
    <row r="711" spans="5:19" ht="15.75" customHeight="1" x14ac:dyDescent="0.3">
      <c r="E711" s="9"/>
      <c r="F711" s="9"/>
      <c r="H711" s="9"/>
      <c r="M711" s="9"/>
      <c r="N711" s="9"/>
      <c r="O711" s="9"/>
      <c r="P711" s="9"/>
      <c r="Q711" s="9"/>
      <c r="R711" s="9"/>
      <c r="S711" s="9"/>
    </row>
    <row r="712" spans="5:19" ht="15.75" customHeight="1" x14ac:dyDescent="0.3">
      <c r="E712" s="9"/>
      <c r="F712" s="9"/>
      <c r="H712" s="9"/>
      <c r="M712" s="9"/>
      <c r="N712" s="9"/>
      <c r="O712" s="9"/>
      <c r="P712" s="9"/>
      <c r="Q712" s="9"/>
      <c r="R712" s="9"/>
      <c r="S712" s="9"/>
    </row>
    <row r="713" spans="5:19" ht="15.75" customHeight="1" x14ac:dyDescent="0.3">
      <c r="E713" s="9"/>
      <c r="F713" s="9"/>
      <c r="H713" s="9"/>
      <c r="M713" s="9"/>
      <c r="N713" s="9"/>
      <c r="O713" s="9"/>
      <c r="P713" s="9"/>
      <c r="Q713" s="9"/>
      <c r="R713" s="9"/>
      <c r="S713" s="9"/>
    </row>
    <row r="714" spans="5:19" ht="15.75" customHeight="1" x14ac:dyDescent="0.3">
      <c r="E714" s="9"/>
      <c r="F714" s="9"/>
      <c r="H714" s="9"/>
      <c r="M714" s="9"/>
      <c r="N714" s="9"/>
      <c r="O714" s="9"/>
      <c r="P714" s="9"/>
      <c r="Q714" s="9"/>
      <c r="R714" s="9"/>
      <c r="S714" s="9"/>
    </row>
    <row r="715" spans="5:19" ht="15.75" customHeight="1" x14ac:dyDescent="0.3">
      <c r="E715" s="9"/>
      <c r="F715" s="9"/>
      <c r="H715" s="9"/>
      <c r="M715" s="9"/>
      <c r="N715" s="9"/>
      <c r="O715" s="9"/>
      <c r="P715" s="9"/>
      <c r="Q715" s="9"/>
      <c r="R715" s="9"/>
      <c r="S715" s="9"/>
    </row>
    <row r="716" spans="5:19" ht="15.75" customHeight="1" x14ac:dyDescent="0.3">
      <c r="E716" s="9"/>
      <c r="F716" s="9"/>
      <c r="H716" s="9"/>
      <c r="M716" s="9"/>
      <c r="N716" s="9"/>
      <c r="O716" s="9"/>
      <c r="P716" s="9"/>
      <c r="Q716" s="9"/>
      <c r="R716" s="9"/>
      <c r="S716" s="9"/>
    </row>
    <row r="717" spans="5:19" ht="15.75" customHeight="1" x14ac:dyDescent="0.3">
      <c r="E717" s="9"/>
      <c r="F717" s="9"/>
      <c r="H717" s="9"/>
      <c r="M717" s="9"/>
      <c r="N717" s="9"/>
      <c r="O717" s="9"/>
      <c r="P717" s="9"/>
      <c r="Q717" s="9"/>
      <c r="R717" s="9"/>
      <c r="S717" s="9"/>
    </row>
    <row r="718" spans="5:19" ht="15.75" customHeight="1" x14ac:dyDescent="0.3">
      <c r="E718" s="9"/>
      <c r="F718" s="9"/>
      <c r="H718" s="9"/>
      <c r="M718" s="9"/>
      <c r="N718" s="9"/>
      <c r="O718" s="9"/>
      <c r="P718" s="9"/>
      <c r="Q718" s="9"/>
      <c r="R718" s="9"/>
      <c r="S718" s="9"/>
    </row>
    <row r="719" spans="5:19" ht="15.75" customHeight="1" x14ac:dyDescent="0.3">
      <c r="E719" s="9"/>
      <c r="F719" s="9"/>
      <c r="H719" s="9"/>
      <c r="M719" s="9"/>
      <c r="N719" s="9"/>
      <c r="O719" s="9"/>
      <c r="P719" s="9"/>
      <c r="Q719" s="9"/>
      <c r="R719" s="9"/>
      <c r="S719" s="9"/>
    </row>
    <row r="720" spans="5:19" ht="15.75" customHeight="1" x14ac:dyDescent="0.3">
      <c r="E720" s="9"/>
      <c r="F720" s="9"/>
      <c r="H720" s="9"/>
      <c r="M720" s="9"/>
      <c r="N720" s="9"/>
      <c r="O720" s="9"/>
      <c r="P720" s="9"/>
      <c r="Q720" s="9"/>
      <c r="R720" s="9"/>
      <c r="S720" s="9"/>
    </row>
    <row r="721" spans="5:19" ht="15.75" customHeight="1" x14ac:dyDescent="0.3">
      <c r="E721" s="9"/>
      <c r="F721" s="9"/>
      <c r="H721" s="9"/>
      <c r="M721" s="9"/>
      <c r="N721" s="9"/>
      <c r="O721" s="9"/>
      <c r="P721" s="9"/>
      <c r="Q721" s="9"/>
      <c r="R721" s="9"/>
      <c r="S721" s="9"/>
    </row>
    <row r="722" spans="5:19" ht="15.75" customHeight="1" x14ac:dyDescent="0.3">
      <c r="E722" s="9"/>
      <c r="F722" s="9"/>
      <c r="H722" s="9"/>
      <c r="M722" s="9"/>
      <c r="N722" s="9"/>
      <c r="O722" s="9"/>
      <c r="P722" s="9"/>
      <c r="Q722" s="9"/>
      <c r="R722" s="9"/>
      <c r="S722" s="9"/>
    </row>
    <row r="723" spans="5:19" ht="15.75" customHeight="1" x14ac:dyDescent="0.3">
      <c r="E723" s="9"/>
      <c r="F723" s="9"/>
      <c r="H723" s="9"/>
      <c r="M723" s="9"/>
      <c r="N723" s="9"/>
      <c r="O723" s="9"/>
      <c r="P723" s="9"/>
      <c r="Q723" s="9"/>
      <c r="R723" s="9"/>
      <c r="S723" s="9"/>
    </row>
    <row r="724" spans="5:19" ht="15.75" customHeight="1" x14ac:dyDescent="0.3">
      <c r="E724" s="9"/>
      <c r="F724" s="9"/>
      <c r="H724" s="9"/>
      <c r="M724" s="9"/>
      <c r="N724" s="9"/>
      <c r="O724" s="9"/>
      <c r="P724" s="9"/>
      <c r="Q724" s="9"/>
      <c r="R724" s="9"/>
      <c r="S724" s="9"/>
    </row>
    <row r="725" spans="5:19" ht="15.75" customHeight="1" x14ac:dyDescent="0.3">
      <c r="E725" s="9"/>
      <c r="F725" s="9"/>
      <c r="H725" s="9"/>
      <c r="M725" s="9"/>
      <c r="N725" s="9"/>
      <c r="O725" s="9"/>
      <c r="P725" s="9"/>
      <c r="Q725" s="9"/>
      <c r="R725" s="9"/>
      <c r="S725" s="9"/>
    </row>
    <row r="726" spans="5:19" ht="15.75" customHeight="1" x14ac:dyDescent="0.3">
      <c r="E726" s="9"/>
      <c r="F726" s="9"/>
      <c r="H726" s="9"/>
      <c r="M726" s="9"/>
      <c r="N726" s="9"/>
      <c r="O726" s="9"/>
      <c r="P726" s="9"/>
      <c r="Q726" s="9"/>
      <c r="R726" s="9"/>
      <c r="S726" s="9"/>
    </row>
    <row r="727" spans="5:19" ht="15.75" customHeight="1" x14ac:dyDescent="0.3">
      <c r="E727" s="9"/>
      <c r="F727" s="9"/>
      <c r="H727" s="9"/>
      <c r="M727" s="9"/>
      <c r="N727" s="9"/>
      <c r="O727" s="9"/>
      <c r="P727" s="9"/>
      <c r="Q727" s="9"/>
      <c r="R727" s="9"/>
      <c r="S727" s="9"/>
    </row>
    <row r="728" spans="5:19" ht="15.75" customHeight="1" x14ac:dyDescent="0.3">
      <c r="E728" s="9"/>
      <c r="F728" s="9"/>
      <c r="H728" s="9"/>
      <c r="M728" s="9"/>
      <c r="N728" s="9"/>
      <c r="O728" s="9"/>
      <c r="P728" s="9"/>
      <c r="Q728" s="9"/>
      <c r="R728" s="9"/>
      <c r="S728" s="9"/>
    </row>
    <row r="729" spans="5:19" ht="15.75" customHeight="1" x14ac:dyDescent="0.3">
      <c r="E729" s="9"/>
      <c r="F729" s="9"/>
      <c r="H729" s="9"/>
      <c r="M729" s="9"/>
      <c r="N729" s="9"/>
      <c r="O729" s="9"/>
      <c r="P729" s="9"/>
      <c r="Q729" s="9"/>
      <c r="R729" s="9"/>
      <c r="S729" s="9"/>
    </row>
    <row r="730" spans="5:19" ht="15.75" customHeight="1" x14ac:dyDescent="0.3">
      <c r="E730" s="9"/>
      <c r="F730" s="9"/>
      <c r="H730" s="9"/>
      <c r="M730" s="9"/>
      <c r="N730" s="9"/>
      <c r="O730" s="9"/>
      <c r="P730" s="9"/>
      <c r="Q730" s="9"/>
      <c r="R730" s="9"/>
      <c r="S730" s="9"/>
    </row>
    <row r="731" spans="5:19" ht="15.75" customHeight="1" x14ac:dyDescent="0.3">
      <c r="E731" s="9"/>
      <c r="F731" s="9"/>
      <c r="H731" s="9"/>
      <c r="M731" s="9"/>
      <c r="N731" s="9"/>
      <c r="O731" s="9"/>
      <c r="P731" s="9"/>
      <c r="Q731" s="9"/>
      <c r="R731" s="9"/>
      <c r="S731" s="9"/>
    </row>
    <row r="732" spans="5:19" ht="15.75" customHeight="1" x14ac:dyDescent="0.3">
      <c r="E732" s="9"/>
      <c r="F732" s="9"/>
      <c r="H732" s="9"/>
      <c r="M732" s="9"/>
      <c r="N732" s="9"/>
      <c r="O732" s="9"/>
      <c r="P732" s="9"/>
      <c r="Q732" s="9"/>
      <c r="R732" s="9"/>
      <c r="S732" s="9"/>
    </row>
    <row r="733" spans="5:19" ht="15.75" customHeight="1" x14ac:dyDescent="0.3">
      <c r="E733" s="9"/>
      <c r="F733" s="9"/>
      <c r="H733" s="9"/>
      <c r="M733" s="9"/>
      <c r="N733" s="9"/>
      <c r="O733" s="9"/>
      <c r="P733" s="9"/>
      <c r="Q733" s="9"/>
      <c r="R733" s="9"/>
      <c r="S733" s="9"/>
    </row>
    <row r="734" spans="5:19" ht="15.75" customHeight="1" x14ac:dyDescent="0.3">
      <c r="E734" s="9"/>
      <c r="F734" s="9"/>
      <c r="H734" s="9"/>
      <c r="M734" s="9"/>
      <c r="N734" s="9"/>
      <c r="O734" s="9"/>
      <c r="P734" s="9"/>
      <c r="Q734" s="9"/>
      <c r="R734" s="9"/>
      <c r="S734" s="9"/>
    </row>
    <row r="735" spans="5:19" ht="15.75" customHeight="1" x14ac:dyDescent="0.3">
      <c r="E735" s="9"/>
      <c r="F735" s="9"/>
      <c r="H735" s="9"/>
      <c r="M735" s="9"/>
      <c r="N735" s="9"/>
      <c r="O735" s="9"/>
      <c r="P735" s="9"/>
      <c r="Q735" s="9"/>
      <c r="R735" s="9"/>
      <c r="S735" s="9"/>
    </row>
    <row r="736" spans="5:19" ht="15.75" customHeight="1" x14ac:dyDescent="0.3">
      <c r="E736" s="9"/>
      <c r="F736" s="9"/>
      <c r="H736" s="9"/>
      <c r="M736" s="9"/>
      <c r="N736" s="9"/>
      <c r="O736" s="9"/>
      <c r="P736" s="9"/>
      <c r="Q736" s="9"/>
      <c r="R736" s="9"/>
      <c r="S736" s="9"/>
    </row>
    <row r="737" spans="5:19" ht="15.75" customHeight="1" x14ac:dyDescent="0.3">
      <c r="E737" s="9"/>
      <c r="F737" s="9"/>
      <c r="H737" s="9"/>
      <c r="M737" s="9"/>
      <c r="N737" s="9"/>
      <c r="O737" s="9"/>
      <c r="P737" s="9"/>
      <c r="Q737" s="9"/>
      <c r="R737" s="9"/>
      <c r="S737" s="9"/>
    </row>
    <row r="738" spans="5:19" ht="15.75" customHeight="1" x14ac:dyDescent="0.3">
      <c r="E738" s="9"/>
      <c r="F738" s="9"/>
      <c r="H738" s="9"/>
      <c r="M738" s="9"/>
      <c r="N738" s="9"/>
      <c r="O738" s="9"/>
      <c r="P738" s="9"/>
      <c r="Q738" s="9"/>
      <c r="R738" s="9"/>
      <c r="S738" s="9"/>
    </row>
    <row r="739" spans="5:19" ht="15.75" customHeight="1" x14ac:dyDescent="0.3">
      <c r="E739" s="9"/>
      <c r="F739" s="9"/>
      <c r="H739" s="9"/>
      <c r="M739" s="9"/>
      <c r="N739" s="9"/>
      <c r="O739" s="9"/>
      <c r="P739" s="9"/>
      <c r="Q739" s="9"/>
      <c r="R739" s="9"/>
      <c r="S739" s="9"/>
    </row>
    <row r="740" spans="5:19" ht="15.75" customHeight="1" x14ac:dyDescent="0.3">
      <c r="E740" s="9"/>
      <c r="F740" s="9"/>
      <c r="H740" s="9"/>
      <c r="M740" s="9"/>
      <c r="N740" s="9"/>
      <c r="O740" s="9"/>
      <c r="P740" s="9"/>
      <c r="Q740" s="9"/>
      <c r="R740" s="9"/>
      <c r="S740" s="9"/>
    </row>
    <row r="741" spans="5:19" ht="15.75" customHeight="1" x14ac:dyDescent="0.3">
      <c r="E741" s="9"/>
      <c r="F741" s="9"/>
      <c r="H741" s="9"/>
      <c r="M741" s="9"/>
      <c r="N741" s="9"/>
      <c r="O741" s="9"/>
      <c r="P741" s="9"/>
      <c r="Q741" s="9"/>
      <c r="R741" s="9"/>
      <c r="S741" s="9"/>
    </row>
    <row r="742" spans="5:19" ht="15.75" customHeight="1" x14ac:dyDescent="0.3">
      <c r="E742" s="9"/>
      <c r="F742" s="9"/>
      <c r="H742" s="9"/>
      <c r="M742" s="9"/>
      <c r="N742" s="9"/>
      <c r="O742" s="9"/>
      <c r="P742" s="9"/>
      <c r="Q742" s="9"/>
      <c r="R742" s="9"/>
      <c r="S742" s="9"/>
    </row>
    <row r="743" spans="5:19" ht="15.75" customHeight="1" x14ac:dyDescent="0.3">
      <c r="E743" s="9"/>
      <c r="F743" s="9"/>
      <c r="H743" s="9"/>
      <c r="M743" s="9"/>
      <c r="N743" s="9"/>
      <c r="O743" s="9"/>
      <c r="P743" s="9"/>
      <c r="Q743" s="9"/>
      <c r="R743" s="9"/>
      <c r="S743" s="9"/>
    </row>
    <row r="744" spans="5:19" ht="15.75" customHeight="1" x14ac:dyDescent="0.3">
      <c r="E744" s="9"/>
      <c r="F744" s="9"/>
      <c r="H744" s="9"/>
      <c r="M744" s="9"/>
      <c r="N744" s="9"/>
      <c r="O744" s="9"/>
      <c r="P744" s="9"/>
      <c r="Q744" s="9"/>
      <c r="R744" s="9"/>
      <c r="S744" s="9"/>
    </row>
    <row r="745" spans="5:19" ht="15.75" customHeight="1" x14ac:dyDescent="0.3">
      <c r="E745" s="9"/>
      <c r="F745" s="9"/>
      <c r="H745" s="9"/>
      <c r="M745" s="9"/>
      <c r="N745" s="9"/>
      <c r="O745" s="9"/>
      <c r="P745" s="9"/>
      <c r="Q745" s="9"/>
      <c r="R745" s="9"/>
      <c r="S745" s="9"/>
    </row>
    <row r="746" spans="5:19" ht="15.75" customHeight="1" x14ac:dyDescent="0.3">
      <c r="E746" s="9"/>
      <c r="F746" s="9"/>
      <c r="H746" s="9"/>
      <c r="M746" s="9"/>
      <c r="N746" s="9"/>
      <c r="O746" s="9"/>
      <c r="P746" s="9"/>
      <c r="Q746" s="9"/>
      <c r="R746" s="9"/>
      <c r="S746" s="9"/>
    </row>
    <row r="747" spans="5:19" ht="15.75" customHeight="1" x14ac:dyDescent="0.3">
      <c r="E747" s="9"/>
      <c r="F747" s="9"/>
      <c r="H747" s="9"/>
      <c r="M747" s="9"/>
      <c r="N747" s="9"/>
      <c r="O747" s="9"/>
      <c r="P747" s="9"/>
      <c r="Q747" s="9"/>
      <c r="R747" s="9"/>
      <c r="S747" s="9"/>
    </row>
    <row r="748" spans="5:19" ht="15.75" customHeight="1" x14ac:dyDescent="0.3">
      <c r="E748" s="9"/>
      <c r="F748" s="9"/>
      <c r="H748" s="9"/>
      <c r="M748" s="9"/>
      <c r="N748" s="9"/>
      <c r="O748" s="9"/>
      <c r="P748" s="9"/>
      <c r="Q748" s="9"/>
      <c r="R748" s="9"/>
      <c r="S748" s="9"/>
    </row>
    <row r="749" spans="5:19" ht="15.75" customHeight="1" x14ac:dyDescent="0.3">
      <c r="E749" s="9"/>
      <c r="F749" s="9"/>
      <c r="H749" s="9"/>
      <c r="M749" s="9"/>
      <c r="N749" s="9"/>
      <c r="O749" s="9"/>
      <c r="P749" s="9"/>
      <c r="Q749" s="9"/>
      <c r="R749" s="9"/>
      <c r="S749" s="9"/>
    </row>
    <row r="750" spans="5:19" ht="15.75" customHeight="1" x14ac:dyDescent="0.3">
      <c r="E750" s="9"/>
      <c r="F750" s="9"/>
      <c r="H750" s="9"/>
      <c r="M750" s="9"/>
      <c r="N750" s="9"/>
      <c r="O750" s="9"/>
      <c r="P750" s="9"/>
      <c r="Q750" s="9"/>
      <c r="R750" s="9"/>
      <c r="S750" s="9"/>
    </row>
    <row r="751" spans="5:19" ht="15.75" customHeight="1" x14ac:dyDescent="0.3">
      <c r="E751" s="9"/>
      <c r="F751" s="9"/>
      <c r="H751" s="9"/>
      <c r="M751" s="9"/>
      <c r="N751" s="9"/>
      <c r="O751" s="9"/>
      <c r="P751" s="9"/>
      <c r="Q751" s="9"/>
      <c r="R751" s="9"/>
      <c r="S751" s="9"/>
    </row>
    <row r="752" spans="5:19" ht="15.75" customHeight="1" x14ac:dyDescent="0.3">
      <c r="E752" s="9"/>
      <c r="F752" s="9"/>
      <c r="H752" s="9"/>
      <c r="M752" s="9"/>
      <c r="N752" s="9"/>
      <c r="O752" s="9"/>
      <c r="P752" s="9"/>
      <c r="Q752" s="9"/>
      <c r="R752" s="9"/>
      <c r="S752" s="9"/>
    </row>
    <row r="753" spans="5:19" ht="15.75" customHeight="1" x14ac:dyDescent="0.3">
      <c r="E753" s="9"/>
      <c r="F753" s="9"/>
      <c r="H753" s="9"/>
      <c r="M753" s="9"/>
      <c r="N753" s="9"/>
      <c r="O753" s="9"/>
      <c r="P753" s="9"/>
      <c r="Q753" s="9"/>
      <c r="R753" s="9"/>
      <c r="S753" s="9"/>
    </row>
    <row r="754" spans="5:19" ht="15.75" customHeight="1" x14ac:dyDescent="0.3">
      <c r="E754" s="9"/>
      <c r="F754" s="9"/>
      <c r="H754" s="9"/>
      <c r="M754" s="9"/>
      <c r="N754" s="9"/>
      <c r="O754" s="9"/>
      <c r="P754" s="9"/>
      <c r="Q754" s="9"/>
      <c r="R754" s="9"/>
      <c r="S754" s="9"/>
    </row>
    <row r="755" spans="5:19" ht="15.75" customHeight="1" x14ac:dyDescent="0.3">
      <c r="E755" s="9"/>
      <c r="F755" s="9"/>
      <c r="H755" s="9"/>
      <c r="M755" s="9"/>
      <c r="N755" s="9"/>
      <c r="O755" s="9"/>
      <c r="P755" s="9"/>
      <c r="Q755" s="9"/>
      <c r="R755" s="9"/>
      <c r="S755" s="9"/>
    </row>
    <row r="756" spans="5:19" ht="15.75" customHeight="1" x14ac:dyDescent="0.3">
      <c r="E756" s="9"/>
      <c r="F756" s="9"/>
      <c r="H756" s="9"/>
      <c r="M756" s="9"/>
      <c r="N756" s="9"/>
      <c r="O756" s="9"/>
      <c r="P756" s="9"/>
      <c r="Q756" s="9"/>
      <c r="R756" s="9"/>
      <c r="S756" s="9"/>
    </row>
    <row r="757" spans="5:19" ht="15.75" customHeight="1" x14ac:dyDescent="0.3">
      <c r="E757" s="9"/>
      <c r="F757" s="9"/>
      <c r="H757" s="9"/>
      <c r="M757" s="9"/>
      <c r="N757" s="9"/>
      <c r="O757" s="9"/>
      <c r="P757" s="9"/>
      <c r="Q757" s="9"/>
      <c r="R757" s="9"/>
      <c r="S757" s="9"/>
    </row>
    <row r="758" spans="5:19" ht="15.75" customHeight="1" x14ac:dyDescent="0.3">
      <c r="E758" s="9"/>
      <c r="F758" s="9"/>
      <c r="H758" s="9"/>
      <c r="M758" s="9"/>
      <c r="N758" s="9"/>
      <c r="O758" s="9"/>
      <c r="P758" s="9"/>
      <c r="Q758" s="9"/>
      <c r="R758" s="9"/>
      <c r="S758" s="9"/>
    </row>
    <row r="759" spans="5:19" ht="15.75" customHeight="1" x14ac:dyDescent="0.3">
      <c r="E759" s="9"/>
      <c r="F759" s="9"/>
      <c r="H759" s="9"/>
      <c r="M759" s="9"/>
      <c r="N759" s="9"/>
      <c r="O759" s="9"/>
      <c r="P759" s="9"/>
      <c r="Q759" s="9"/>
      <c r="R759" s="9"/>
      <c r="S759" s="9"/>
    </row>
    <row r="760" spans="5:19" ht="15.75" customHeight="1" x14ac:dyDescent="0.3">
      <c r="E760" s="9"/>
      <c r="F760" s="9"/>
      <c r="H760" s="9"/>
      <c r="M760" s="9"/>
      <c r="N760" s="9"/>
      <c r="O760" s="9"/>
      <c r="P760" s="9"/>
      <c r="Q760" s="9"/>
      <c r="R760" s="9"/>
      <c r="S760" s="9"/>
    </row>
    <row r="761" spans="5:19" ht="15.75" customHeight="1" x14ac:dyDescent="0.3">
      <c r="E761" s="9"/>
      <c r="F761" s="9"/>
      <c r="H761" s="9"/>
      <c r="M761" s="9"/>
      <c r="N761" s="9"/>
      <c r="O761" s="9"/>
      <c r="P761" s="9"/>
      <c r="Q761" s="9"/>
      <c r="R761" s="9"/>
      <c r="S761" s="9"/>
    </row>
    <row r="762" spans="5:19" ht="15.75" customHeight="1" x14ac:dyDescent="0.3">
      <c r="E762" s="9"/>
      <c r="F762" s="9"/>
      <c r="H762" s="9"/>
      <c r="M762" s="9"/>
      <c r="N762" s="9"/>
      <c r="O762" s="9"/>
      <c r="P762" s="9"/>
      <c r="Q762" s="9"/>
      <c r="R762" s="9"/>
      <c r="S762" s="9"/>
    </row>
    <row r="763" spans="5:19" ht="15.75" customHeight="1" x14ac:dyDescent="0.3">
      <c r="E763" s="9"/>
      <c r="F763" s="9"/>
      <c r="H763" s="9"/>
      <c r="M763" s="9"/>
      <c r="N763" s="9"/>
      <c r="O763" s="9"/>
      <c r="P763" s="9"/>
      <c r="Q763" s="9"/>
      <c r="R763" s="9"/>
      <c r="S763" s="9"/>
    </row>
    <row r="764" spans="5:19" ht="15.75" customHeight="1" x14ac:dyDescent="0.3">
      <c r="E764" s="9"/>
      <c r="F764" s="9"/>
      <c r="H764" s="9"/>
      <c r="M764" s="9"/>
      <c r="N764" s="9"/>
      <c r="O764" s="9"/>
      <c r="P764" s="9"/>
      <c r="Q764" s="9"/>
      <c r="R764" s="9"/>
      <c r="S764" s="9"/>
    </row>
    <row r="765" spans="5:19" ht="15.75" customHeight="1" x14ac:dyDescent="0.3">
      <c r="E765" s="9"/>
      <c r="F765" s="9"/>
      <c r="H765" s="9"/>
      <c r="M765" s="9"/>
      <c r="N765" s="9"/>
      <c r="O765" s="9"/>
      <c r="P765" s="9"/>
      <c r="Q765" s="9"/>
      <c r="R765" s="9"/>
      <c r="S765" s="9"/>
    </row>
    <row r="766" spans="5:19" ht="15.75" customHeight="1" x14ac:dyDescent="0.3">
      <c r="E766" s="9"/>
      <c r="F766" s="9"/>
      <c r="H766" s="9"/>
      <c r="M766" s="9"/>
      <c r="N766" s="9"/>
      <c r="O766" s="9"/>
      <c r="P766" s="9"/>
      <c r="Q766" s="9"/>
      <c r="R766" s="9"/>
      <c r="S766" s="9"/>
    </row>
    <row r="767" spans="5:19" ht="15.75" customHeight="1" x14ac:dyDescent="0.3">
      <c r="E767" s="9"/>
      <c r="F767" s="9"/>
      <c r="H767" s="9"/>
      <c r="M767" s="9"/>
      <c r="N767" s="9"/>
      <c r="O767" s="9"/>
      <c r="P767" s="9"/>
      <c r="Q767" s="9"/>
      <c r="R767" s="9"/>
      <c r="S767" s="9"/>
    </row>
    <row r="768" spans="5:19" ht="15.75" customHeight="1" x14ac:dyDescent="0.3">
      <c r="E768" s="9"/>
      <c r="F768" s="9"/>
      <c r="H768" s="9"/>
      <c r="M768" s="9"/>
      <c r="N768" s="9"/>
      <c r="O768" s="9"/>
      <c r="P768" s="9"/>
      <c r="Q768" s="9"/>
      <c r="R768" s="9"/>
      <c r="S768" s="9"/>
    </row>
    <row r="769" spans="5:19" ht="15.75" customHeight="1" x14ac:dyDescent="0.3">
      <c r="E769" s="9"/>
      <c r="F769" s="9"/>
      <c r="H769" s="9"/>
      <c r="M769" s="9"/>
      <c r="N769" s="9"/>
      <c r="O769" s="9"/>
      <c r="P769" s="9"/>
      <c r="Q769" s="9"/>
      <c r="R769" s="9"/>
      <c r="S769" s="9"/>
    </row>
    <row r="770" spans="5:19" ht="15.75" customHeight="1" x14ac:dyDescent="0.3">
      <c r="E770" s="9"/>
      <c r="F770" s="9"/>
      <c r="H770" s="9"/>
      <c r="M770" s="9"/>
      <c r="N770" s="9"/>
      <c r="O770" s="9"/>
      <c r="P770" s="9"/>
      <c r="Q770" s="9"/>
      <c r="R770" s="9"/>
      <c r="S770" s="9"/>
    </row>
    <row r="771" spans="5:19" ht="15.75" customHeight="1" x14ac:dyDescent="0.3">
      <c r="E771" s="9"/>
      <c r="F771" s="9"/>
      <c r="H771" s="9"/>
      <c r="M771" s="9"/>
      <c r="N771" s="9"/>
      <c r="O771" s="9"/>
      <c r="P771" s="9"/>
      <c r="Q771" s="9"/>
      <c r="R771" s="9"/>
      <c r="S771" s="9"/>
    </row>
    <row r="772" spans="5:19" ht="15.75" customHeight="1" x14ac:dyDescent="0.3">
      <c r="E772" s="9"/>
      <c r="F772" s="9"/>
      <c r="H772" s="9"/>
      <c r="M772" s="9"/>
      <c r="N772" s="9"/>
      <c r="O772" s="9"/>
      <c r="P772" s="9"/>
      <c r="Q772" s="9"/>
      <c r="R772" s="9"/>
      <c r="S772" s="9"/>
    </row>
    <row r="773" spans="5:19" ht="15.75" customHeight="1" x14ac:dyDescent="0.3">
      <c r="E773" s="9"/>
      <c r="F773" s="9"/>
      <c r="H773" s="9"/>
      <c r="M773" s="9"/>
      <c r="N773" s="9"/>
      <c r="O773" s="9"/>
      <c r="P773" s="9"/>
      <c r="Q773" s="9"/>
      <c r="R773" s="9"/>
      <c r="S773" s="9"/>
    </row>
    <row r="774" spans="5:19" ht="15.75" customHeight="1" x14ac:dyDescent="0.3">
      <c r="E774" s="9"/>
      <c r="F774" s="9"/>
      <c r="H774" s="9"/>
      <c r="M774" s="9"/>
      <c r="N774" s="9"/>
      <c r="O774" s="9"/>
      <c r="P774" s="9"/>
      <c r="Q774" s="9"/>
      <c r="R774" s="9"/>
      <c r="S774" s="9"/>
    </row>
    <row r="775" spans="5:19" ht="15.75" customHeight="1" x14ac:dyDescent="0.3">
      <c r="E775" s="9"/>
      <c r="F775" s="9"/>
      <c r="H775" s="9"/>
      <c r="M775" s="9"/>
      <c r="N775" s="9"/>
      <c r="O775" s="9"/>
      <c r="P775" s="9"/>
      <c r="Q775" s="9"/>
      <c r="R775" s="9"/>
      <c r="S775" s="9"/>
    </row>
    <row r="776" spans="5:19" ht="15.75" customHeight="1" x14ac:dyDescent="0.3">
      <c r="E776" s="9"/>
      <c r="F776" s="9"/>
      <c r="H776" s="9"/>
      <c r="M776" s="9"/>
      <c r="N776" s="9"/>
      <c r="O776" s="9"/>
      <c r="P776" s="9"/>
      <c r="Q776" s="9"/>
      <c r="R776" s="9"/>
      <c r="S776" s="9"/>
    </row>
    <row r="777" spans="5:19" ht="15.75" customHeight="1" x14ac:dyDescent="0.3">
      <c r="E777" s="9"/>
      <c r="F777" s="9"/>
      <c r="H777" s="9"/>
      <c r="M777" s="9"/>
      <c r="N777" s="9"/>
      <c r="O777" s="9"/>
      <c r="P777" s="9"/>
      <c r="Q777" s="9"/>
      <c r="R777" s="9"/>
      <c r="S777" s="9"/>
    </row>
    <row r="778" spans="5:19" ht="15.75" customHeight="1" x14ac:dyDescent="0.3">
      <c r="E778" s="9"/>
      <c r="F778" s="9"/>
      <c r="H778" s="9"/>
      <c r="M778" s="9"/>
      <c r="N778" s="9"/>
      <c r="O778" s="9"/>
      <c r="P778" s="9"/>
      <c r="Q778" s="9"/>
      <c r="R778" s="9"/>
      <c r="S778" s="9"/>
    </row>
    <row r="779" spans="5:19" ht="15.75" customHeight="1" x14ac:dyDescent="0.3">
      <c r="E779" s="9"/>
      <c r="F779" s="9"/>
      <c r="H779" s="9"/>
      <c r="M779" s="9"/>
      <c r="N779" s="9"/>
      <c r="O779" s="9"/>
      <c r="P779" s="9"/>
      <c r="Q779" s="9"/>
      <c r="R779" s="9"/>
      <c r="S779" s="9"/>
    </row>
    <row r="780" spans="5:19" ht="15.75" customHeight="1" x14ac:dyDescent="0.3">
      <c r="E780" s="9"/>
      <c r="F780" s="9"/>
      <c r="H780" s="9"/>
      <c r="M780" s="9"/>
      <c r="N780" s="9"/>
      <c r="O780" s="9"/>
      <c r="P780" s="9"/>
      <c r="Q780" s="9"/>
      <c r="R780" s="9"/>
      <c r="S780" s="9"/>
    </row>
    <row r="781" spans="5:19" ht="15.75" customHeight="1" x14ac:dyDescent="0.3">
      <c r="E781" s="9"/>
      <c r="F781" s="9"/>
      <c r="H781" s="9"/>
      <c r="M781" s="9"/>
      <c r="N781" s="9"/>
      <c r="O781" s="9"/>
      <c r="P781" s="9"/>
      <c r="Q781" s="9"/>
      <c r="R781" s="9"/>
      <c r="S781" s="9"/>
    </row>
    <row r="782" spans="5:19" ht="15.75" customHeight="1" x14ac:dyDescent="0.3">
      <c r="E782" s="9"/>
      <c r="F782" s="9"/>
      <c r="H782" s="9"/>
      <c r="M782" s="9"/>
      <c r="N782" s="9"/>
      <c r="O782" s="9"/>
      <c r="P782" s="9"/>
      <c r="Q782" s="9"/>
      <c r="R782" s="9"/>
      <c r="S782" s="9"/>
    </row>
    <row r="783" spans="5:19" ht="15.75" customHeight="1" x14ac:dyDescent="0.3">
      <c r="E783" s="9"/>
      <c r="F783" s="9"/>
      <c r="H783" s="9"/>
      <c r="M783" s="9"/>
      <c r="N783" s="9"/>
      <c r="O783" s="9"/>
      <c r="P783" s="9"/>
      <c r="Q783" s="9"/>
      <c r="R783" s="9"/>
      <c r="S783" s="9"/>
    </row>
    <row r="784" spans="5:19" ht="15.75" customHeight="1" x14ac:dyDescent="0.3">
      <c r="E784" s="9"/>
      <c r="F784" s="9"/>
      <c r="H784" s="9"/>
      <c r="M784" s="9"/>
      <c r="N784" s="9"/>
      <c r="O784" s="9"/>
      <c r="P784" s="9"/>
      <c r="Q784" s="9"/>
      <c r="R784" s="9"/>
      <c r="S784" s="9"/>
    </row>
    <row r="785" spans="5:19" ht="15.75" customHeight="1" x14ac:dyDescent="0.3">
      <c r="E785" s="9"/>
      <c r="F785" s="9"/>
      <c r="H785" s="9"/>
      <c r="M785" s="9"/>
      <c r="N785" s="9"/>
      <c r="O785" s="9"/>
      <c r="P785" s="9"/>
      <c r="Q785" s="9"/>
      <c r="R785" s="9"/>
      <c r="S785" s="9"/>
    </row>
    <row r="786" spans="5:19" ht="15.75" customHeight="1" x14ac:dyDescent="0.3">
      <c r="E786" s="9"/>
      <c r="F786" s="9"/>
      <c r="H786" s="9"/>
      <c r="M786" s="9"/>
      <c r="N786" s="9"/>
      <c r="O786" s="9"/>
      <c r="P786" s="9"/>
      <c r="Q786" s="9"/>
      <c r="R786" s="9"/>
      <c r="S786" s="9"/>
    </row>
    <row r="787" spans="5:19" ht="15.75" customHeight="1" x14ac:dyDescent="0.3">
      <c r="E787" s="9"/>
      <c r="F787" s="9"/>
      <c r="H787" s="9"/>
      <c r="M787" s="9"/>
      <c r="N787" s="9"/>
      <c r="O787" s="9"/>
      <c r="P787" s="9"/>
      <c r="Q787" s="9"/>
      <c r="R787" s="9"/>
      <c r="S787" s="9"/>
    </row>
    <row r="788" spans="5:19" ht="15.75" customHeight="1" x14ac:dyDescent="0.3">
      <c r="E788" s="9"/>
      <c r="F788" s="9"/>
      <c r="H788" s="9"/>
      <c r="M788" s="9"/>
      <c r="N788" s="9"/>
      <c r="O788" s="9"/>
      <c r="P788" s="9"/>
      <c r="Q788" s="9"/>
      <c r="R788" s="9"/>
      <c r="S788" s="9"/>
    </row>
    <row r="789" spans="5:19" ht="15.75" customHeight="1" x14ac:dyDescent="0.3">
      <c r="E789" s="9"/>
      <c r="F789" s="9"/>
      <c r="H789" s="9"/>
      <c r="M789" s="9"/>
      <c r="N789" s="9"/>
      <c r="O789" s="9"/>
      <c r="P789" s="9"/>
      <c r="Q789" s="9"/>
      <c r="R789" s="9"/>
      <c r="S789" s="9"/>
    </row>
    <row r="790" spans="5:19" ht="15.75" customHeight="1" x14ac:dyDescent="0.3">
      <c r="E790" s="9"/>
      <c r="F790" s="9"/>
      <c r="H790" s="9"/>
      <c r="M790" s="9"/>
      <c r="N790" s="9"/>
      <c r="O790" s="9"/>
      <c r="P790" s="9"/>
      <c r="Q790" s="9"/>
      <c r="R790" s="9"/>
      <c r="S790" s="9"/>
    </row>
    <row r="791" spans="5:19" ht="15.75" customHeight="1" x14ac:dyDescent="0.3">
      <c r="E791" s="9"/>
      <c r="F791" s="9"/>
      <c r="H791" s="9"/>
      <c r="M791" s="9"/>
      <c r="N791" s="9"/>
      <c r="O791" s="9"/>
      <c r="P791" s="9"/>
      <c r="Q791" s="9"/>
      <c r="R791" s="9"/>
      <c r="S791" s="9"/>
    </row>
    <row r="792" spans="5:19" ht="15.75" customHeight="1" x14ac:dyDescent="0.3">
      <c r="E792" s="9"/>
      <c r="F792" s="9"/>
      <c r="H792" s="9"/>
      <c r="M792" s="9"/>
      <c r="N792" s="9"/>
      <c r="O792" s="9"/>
      <c r="P792" s="9"/>
      <c r="Q792" s="9"/>
      <c r="R792" s="9"/>
      <c r="S792" s="9"/>
    </row>
    <row r="793" spans="5:19" ht="15.75" customHeight="1" x14ac:dyDescent="0.3">
      <c r="E793" s="9"/>
      <c r="F793" s="9"/>
      <c r="H793" s="9"/>
      <c r="M793" s="9"/>
      <c r="N793" s="9"/>
      <c r="O793" s="9"/>
      <c r="P793" s="9"/>
      <c r="Q793" s="9"/>
      <c r="R793" s="9"/>
      <c r="S793" s="9"/>
    </row>
    <row r="794" spans="5:19" ht="15.75" customHeight="1" x14ac:dyDescent="0.3">
      <c r="E794" s="9"/>
      <c r="F794" s="9"/>
      <c r="H794" s="9"/>
      <c r="M794" s="9"/>
      <c r="N794" s="9"/>
      <c r="O794" s="9"/>
      <c r="P794" s="9"/>
      <c r="Q794" s="9"/>
      <c r="R794" s="9"/>
      <c r="S794" s="9"/>
    </row>
    <row r="795" spans="5:19" ht="15.75" customHeight="1" x14ac:dyDescent="0.3">
      <c r="E795" s="9"/>
      <c r="F795" s="9"/>
      <c r="H795" s="9"/>
      <c r="M795" s="9"/>
      <c r="N795" s="9"/>
      <c r="O795" s="9"/>
      <c r="P795" s="9"/>
      <c r="Q795" s="9"/>
      <c r="R795" s="9"/>
      <c r="S795" s="9"/>
    </row>
    <row r="796" spans="5:19" ht="15.75" customHeight="1" x14ac:dyDescent="0.3">
      <c r="E796" s="9"/>
      <c r="F796" s="9"/>
      <c r="H796" s="9"/>
      <c r="M796" s="9"/>
      <c r="N796" s="9"/>
      <c r="O796" s="9"/>
      <c r="P796" s="9"/>
      <c r="Q796" s="9"/>
      <c r="R796" s="9"/>
      <c r="S796" s="9"/>
    </row>
    <row r="797" spans="5:19" ht="15.75" customHeight="1" x14ac:dyDescent="0.3">
      <c r="E797" s="9"/>
      <c r="F797" s="9"/>
      <c r="H797" s="9"/>
      <c r="M797" s="9"/>
      <c r="N797" s="9"/>
      <c r="O797" s="9"/>
      <c r="P797" s="9"/>
      <c r="Q797" s="9"/>
      <c r="R797" s="9"/>
      <c r="S797" s="9"/>
    </row>
    <row r="798" spans="5:19" ht="15.75" customHeight="1" x14ac:dyDescent="0.3">
      <c r="E798" s="9"/>
      <c r="F798" s="9"/>
      <c r="H798" s="9"/>
      <c r="M798" s="9"/>
      <c r="N798" s="9"/>
      <c r="O798" s="9"/>
      <c r="P798" s="9"/>
      <c r="Q798" s="9"/>
      <c r="R798" s="9"/>
      <c r="S798" s="9"/>
    </row>
    <row r="799" spans="5:19" ht="15.75" customHeight="1" x14ac:dyDescent="0.3">
      <c r="E799" s="9"/>
      <c r="F799" s="9"/>
      <c r="H799" s="9"/>
      <c r="M799" s="9"/>
      <c r="N799" s="9"/>
      <c r="O799" s="9"/>
      <c r="P799" s="9"/>
      <c r="Q799" s="9"/>
      <c r="R799" s="9"/>
      <c r="S799" s="9"/>
    </row>
    <row r="800" spans="5:19" ht="15.75" customHeight="1" x14ac:dyDescent="0.3">
      <c r="E800" s="9"/>
      <c r="F800" s="9"/>
      <c r="H800" s="9"/>
      <c r="M800" s="9"/>
      <c r="N800" s="9"/>
      <c r="O800" s="9"/>
      <c r="P800" s="9"/>
      <c r="Q800" s="9"/>
      <c r="R800" s="9"/>
      <c r="S800" s="9"/>
    </row>
    <row r="801" spans="5:19" ht="15.75" customHeight="1" x14ac:dyDescent="0.3">
      <c r="E801" s="9"/>
      <c r="F801" s="9"/>
      <c r="H801" s="9"/>
      <c r="M801" s="9"/>
      <c r="N801" s="9"/>
      <c r="O801" s="9"/>
      <c r="P801" s="9"/>
      <c r="Q801" s="9"/>
      <c r="R801" s="9"/>
      <c r="S801" s="9"/>
    </row>
    <row r="802" spans="5:19" ht="15.75" customHeight="1" x14ac:dyDescent="0.3">
      <c r="E802" s="9"/>
      <c r="F802" s="9"/>
      <c r="H802" s="9"/>
      <c r="M802" s="9"/>
      <c r="N802" s="9"/>
      <c r="O802" s="9"/>
      <c r="P802" s="9"/>
      <c r="Q802" s="9"/>
      <c r="R802" s="9"/>
      <c r="S802" s="9"/>
    </row>
    <row r="803" spans="5:19" ht="15.75" customHeight="1" x14ac:dyDescent="0.3">
      <c r="E803" s="9"/>
      <c r="F803" s="9"/>
      <c r="H803" s="9"/>
      <c r="M803" s="9"/>
      <c r="N803" s="9"/>
      <c r="O803" s="9"/>
      <c r="P803" s="9"/>
      <c r="Q803" s="9"/>
      <c r="R803" s="9"/>
      <c r="S803" s="9"/>
    </row>
    <row r="804" spans="5:19" ht="15.75" customHeight="1" x14ac:dyDescent="0.3">
      <c r="E804" s="9"/>
      <c r="F804" s="9"/>
      <c r="H804" s="9"/>
      <c r="M804" s="9"/>
      <c r="N804" s="9"/>
      <c r="O804" s="9"/>
      <c r="P804" s="9"/>
      <c r="Q804" s="9"/>
      <c r="R804" s="9"/>
      <c r="S804" s="9"/>
    </row>
    <row r="805" spans="5:19" ht="15.75" customHeight="1" x14ac:dyDescent="0.3">
      <c r="E805" s="9"/>
      <c r="F805" s="9"/>
      <c r="H805" s="9"/>
      <c r="M805" s="9"/>
      <c r="N805" s="9"/>
      <c r="O805" s="9"/>
      <c r="P805" s="9"/>
      <c r="Q805" s="9"/>
      <c r="R805" s="9"/>
      <c r="S805" s="9"/>
    </row>
    <row r="806" spans="5:19" ht="15.75" customHeight="1" x14ac:dyDescent="0.3">
      <c r="E806" s="9"/>
      <c r="F806" s="9"/>
      <c r="H806" s="9"/>
      <c r="M806" s="9"/>
      <c r="N806" s="9"/>
      <c r="O806" s="9"/>
      <c r="P806" s="9"/>
      <c r="Q806" s="9"/>
      <c r="R806" s="9"/>
      <c r="S806" s="9"/>
    </row>
    <row r="807" spans="5:19" ht="15.75" customHeight="1" x14ac:dyDescent="0.3">
      <c r="E807" s="9"/>
      <c r="F807" s="9"/>
      <c r="H807" s="9"/>
      <c r="M807" s="9"/>
      <c r="N807" s="9"/>
      <c r="O807" s="9"/>
      <c r="P807" s="9"/>
      <c r="Q807" s="9"/>
      <c r="R807" s="9"/>
      <c r="S807" s="9"/>
    </row>
    <row r="808" spans="5:19" ht="15.75" customHeight="1" x14ac:dyDescent="0.3">
      <c r="E808" s="9"/>
      <c r="F808" s="9"/>
      <c r="H808" s="9"/>
      <c r="M808" s="9"/>
      <c r="N808" s="9"/>
      <c r="O808" s="9"/>
      <c r="P808" s="9"/>
      <c r="Q808" s="9"/>
      <c r="R808" s="9"/>
      <c r="S808" s="9"/>
    </row>
    <row r="809" spans="5:19" ht="15.75" customHeight="1" x14ac:dyDescent="0.3">
      <c r="E809" s="9"/>
      <c r="F809" s="9"/>
      <c r="H809" s="9"/>
      <c r="M809" s="9"/>
      <c r="N809" s="9"/>
      <c r="O809" s="9"/>
      <c r="P809" s="9"/>
      <c r="Q809" s="9"/>
      <c r="R809" s="9"/>
      <c r="S809" s="9"/>
    </row>
    <row r="810" spans="5:19" ht="15.75" customHeight="1" x14ac:dyDescent="0.3">
      <c r="E810" s="9"/>
      <c r="F810" s="9"/>
      <c r="H810" s="9"/>
      <c r="M810" s="9"/>
      <c r="N810" s="9"/>
      <c r="O810" s="9"/>
      <c r="P810" s="9"/>
      <c r="Q810" s="9"/>
      <c r="R810" s="9"/>
      <c r="S810" s="9"/>
    </row>
    <row r="811" spans="5:19" ht="15.75" customHeight="1" x14ac:dyDescent="0.3">
      <c r="E811" s="9"/>
      <c r="F811" s="9"/>
      <c r="H811" s="9"/>
      <c r="M811" s="9"/>
      <c r="N811" s="9"/>
      <c r="O811" s="9"/>
      <c r="P811" s="9"/>
      <c r="Q811" s="9"/>
      <c r="R811" s="9"/>
      <c r="S811" s="9"/>
    </row>
    <row r="812" spans="5:19" ht="15.75" customHeight="1" x14ac:dyDescent="0.3">
      <c r="E812" s="9"/>
      <c r="F812" s="9"/>
      <c r="H812" s="9"/>
      <c r="M812" s="9"/>
      <c r="N812" s="9"/>
      <c r="O812" s="9"/>
      <c r="P812" s="9"/>
      <c r="Q812" s="9"/>
      <c r="R812" s="9"/>
      <c r="S812" s="9"/>
    </row>
    <row r="813" spans="5:19" ht="15.75" customHeight="1" x14ac:dyDescent="0.3">
      <c r="E813" s="9"/>
      <c r="F813" s="9"/>
      <c r="H813" s="9"/>
      <c r="M813" s="9"/>
      <c r="N813" s="9"/>
      <c r="O813" s="9"/>
      <c r="P813" s="9"/>
      <c r="Q813" s="9"/>
      <c r="R813" s="9"/>
      <c r="S813" s="9"/>
    </row>
    <row r="814" spans="5:19" ht="15.75" customHeight="1" x14ac:dyDescent="0.3">
      <c r="E814" s="9"/>
      <c r="F814" s="9"/>
      <c r="H814" s="9"/>
      <c r="M814" s="9"/>
      <c r="N814" s="9"/>
      <c r="O814" s="9"/>
      <c r="P814" s="9"/>
      <c r="Q814" s="9"/>
      <c r="R814" s="9"/>
      <c r="S814" s="9"/>
    </row>
    <row r="815" spans="5:19" ht="15.75" customHeight="1" x14ac:dyDescent="0.3">
      <c r="E815" s="9"/>
      <c r="F815" s="9"/>
      <c r="H815" s="9"/>
      <c r="M815" s="9"/>
      <c r="N815" s="9"/>
      <c r="O815" s="9"/>
      <c r="P815" s="9"/>
      <c r="Q815" s="9"/>
      <c r="R815" s="9"/>
      <c r="S815" s="9"/>
    </row>
    <row r="816" spans="5:19" ht="15.75" customHeight="1" x14ac:dyDescent="0.3">
      <c r="E816" s="9"/>
      <c r="F816" s="9"/>
      <c r="H816" s="9"/>
      <c r="M816" s="9"/>
      <c r="N816" s="9"/>
      <c r="O816" s="9"/>
      <c r="P816" s="9"/>
      <c r="Q816" s="9"/>
      <c r="R816" s="9"/>
      <c r="S816" s="9"/>
    </row>
    <row r="817" spans="5:19" ht="15.75" customHeight="1" x14ac:dyDescent="0.3">
      <c r="E817" s="9"/>
      <c r="F817" s="9"/>
      <c r="H817" s="9"/>
      <c r="M817" s="9"/>
      <c r="N817" s="9"/>
      <c r="O817" s="9"/>
      <c r="P817" s="9"/>
      <c r="Q817" s="9"/>
      <c r="R817" s="9"/>
      <c r="S817" s="9"/>
    </row>
    <row r="818" spans="5:19" ht="15.75" customHeight="1" x14ac:dyDescent="0.3">
      <c r="E818" s="9"/>
      <c r="F818" s="9"/>
      <c r="H818" s="9"/>
      <c r="M818" s="9"/>
      <c r="N818" s="9"/>
      <c r="O818" s="9"/>
      <c r="P818" s="9"/>
      <c r="Q818" s="9"/>
      <c r="R818" s="9"/>
      <c r="S818" s="9"/>
    </row>
    <row r="819" spans="5:19" ht="15.75" customHeight="1" x14ac:dyDescent="0.3">
      <c r="E819" s="9"/>
      <c r="F819" s="9"/>
      <c r="H819" s="9"/>
      <c r="M819" s="9"/>
      <c r="N819" s="9"/>
      <c r="O819" s="9"/>
      <c r="P819" s="9"/>
      <c r="Q819" s="9"/>
      <c r="R819" s="9"/>
      <c r="S819" s="9"/>
    </row>
    <row r="820" spans="5:19" ht="15.75" customHeight="1" x14ac:dyDescent="0.3">
      <c r="E820" s="9"/>
      <c r="F820" s="9"/>
      <c r="H820" s="9"/>
      <c r="M820" s="9"/>
      <c r="N820" s="9"/>
      <c r="O820" s="9"/>
      <c r="P820" s="9"/>
      <c r="Q820" s="9"/>
      <c r="R820" s="9"/>
      <c r="S820" s="9"/>
    </row>
    <row r="821" spans="5:19" ht="15.75" customHeight="1" x14ac:dyDescent="0.3">
      <c r="E821" s="9"/>
      <c r="F821" s="9"/>
      <c r="H821" s="9"/>
      <c r="M821" s="9"/>
      <c r="N821" s="9"/>
      <c r="O821" s="9"/>
      <c r="P821" s="9"/>
      <c r="Q821" s="9"/>
      <c r="R821" s="9"/>
      <c r="S821" s="9"/>
    </row>
    <row r="822" spans="5:19" ht="15.75" customHeight="1" x14ac:dyDescent="0.3">
      <c r="E822" s="9"/>
      <c r="F822" s="9"/>
      <c r="H822" s="9"/>
      <c r="M822" s="9"/>
      <c r="N822" s="9"/>
      <c r="O822" s="9"/>
      <c r="P822" s="9"/>
      <c r="Q822" s="9"/>
      <c r="R822" s="9"/>
      <c r="S822" s="9"/>
    </row>
    <row r="823" spans="5:19" ht="15.75" customHeight="1" x14ac:dyDescent="0.3">
      <c r="E823" s="9"/>
      <c r="F823" s="9"/>
      <c r="H823" s="9"/>
      <c r="M823" s="9"/>
      <c r="N823" s="9"/>
      <c r="O823" s="9"/>
      <c r="P823" s="9"/>
      <c r="Q823" s="9"/>
      <c r="R823" s="9"/>
      <c r="S823" s="9"/>
    </row>
    <row r="824" spans="5:19" ht="15.75" customHeight="1" x14ac:dyDescent="0.3">
      <c r="E824" s="9"/>
      <c r="F824" s="9"/>
      <c r="H824" s="9"/>
      <c r="M824" s="9"/>
      <c r="N824" s="9"/>
      <c r="O824" s="9"/>
      <c r="P824" s="9"/>
      <c r="Q824" s="9"/>
      <c r="R824" s="9"/>
      <c r="S824" s="9"/>
    </row>
    <row r="825" spans="5:19" ht="15.75" customHeight="1" x14ac:dyDescent="0.3">
      <c r="E825" s="9"/>
      <c r="F825" s="9"/>
      <c r="H825" s="9"/>
      <c r="M825" s="9"/>
      <c r="N825" s="9"/>
      <c r="O825" s="9"/>
      <c r="P825" s="9"/>
      <c r="Q825" s="9"/>
      <c r="R825" s="9"/>
      <c r="S825" s="9"/>
    </row>
    <row r="826" spans="5:19" ht="15.75" customHeight="1" x14ac:dyDescent="0.3">
      <c r="E826" s="9"/>
      <c r="F826" s="9"/>
      <c r="H826" s="9"/>
      <c r="M826" s="9"/>
      <c r="N826" s="9"/>
      <c r="O826" s="9"/>
      <c r="P826" s="9"/>
      <c r="Q826" s="9"/>
      <c r="R826" s="9"/>
      <c r="S826" s="9"/>
    </row>
    <row r="827" spans="5:19" ht="15.75" customHeight="1" x14ac:dyDescent="0.3">
      <c r="E827" s="9"/>
      <c r="F827" s="9"/>
      <c r="H827" s="9"/>
      <c r="M827" s="9"/>
      <c r="N827" s="9"/>
      <c r="O827" s="9"/>
      <c r="P827" s="9"/>
      <c r="Q827" s="9"/>
      <c r="R827" s="9"/>
      <c r="S827" s="9"/>
    </row>
    <row r="828" spans="5:19" ht="15.75" customHeight="1" x14ac:dyDescent="0.3">
      <c r="E828" s="9"/>
      <c r="F828" s="9"/>
      <c r="H828" s="9"/>
      <c r="M828" s="9"/>
      <c r="N828" s="9"/>
      <c r="O828" s="9"/>
      <c r="P828" s="9"/>
      <c r="Q828" s="9"/>
      <c r="R828" s="9"/>
      <c r="S828" s="9"/>
    </row>
    <row r="829" spans="5:19" ht="15.75" customHeight="1" x14ac:dyDescent="0.3">
      <c r="E829" s="9"/>
      <c r="F829" s="9"/>
      <c r="H829" s="9"/>
      <c r="M829" s="9"/>
      <c r="N829" s="9"/>
      <c r="O829" s="9"/>
      <c r="P829" s="9"/>
      <c r="Q829" s="9"/>
      <c r="R829" s="9"/>
      <c r="S829" s="9"/>
    </row>
    <row r="830" spans="5:19" ht="15.75" customHeight="1" x14ac:dyDescent="0.3">
      <c r="E830" s="9"/>
      <c r="F830" s="9"/>
      <c r="H830" s="9"/>
      <c r="M830" s="9"/>
      <c r="N830" s="9"/>
      <c r="O830" s="9"/>
      <c r="P830" s="9"/>
      <c r="Q830" s="9"/>
      <c r="R830" s="9"/>
      <c r="S830" s="9"/>
    </row>
    <row r="831" spans="5:19" ht="15.75" customHeight="1" x14ac:dyDescent="0.3">
      <c r="E831" s="9"/>
      <c r="F831" s="9"/>
      <c r="H831" s="9"/>
      <c r="M831" s="9"/>
      <c r="N831" s="9"/>
      <c r="O831" s="9"/>
      <c r="P831" s="9"/>
      <c r="Q831" s="9"/>
      <c r="R831" s="9"/>
      <c r="S831" s="9"/>
    </row>
    <row r="832" spans="5:19" ht="15.75" customHeight="1" x14ac:dyDescent="0.3">
      <c r="E832" s="9"/>
      <c r="F832" s="9"/>
      <c r="H832" s="9"/>
      <c r="M832" s="9"/>
      <c r="N832" s="9"/>
      <c r="O832" s="9"/>
      <c r="P832" s="9"/>
      <c r="Q832" s="9"/>
      <c r="R832" s="9"/>
      <c r="S832" s="9"/>
    </row>
    <row r="833" spans="5:19" ht="15.75" customHeight="1" x14ac:dyDescent="0.3">
      <c r="E833" s="9"/>
      <c r="F833" s="9"/>
      <c r="H833" s="9"/>
      <c r="M833" s="9"/>
      <c r="N833" s="9"/>
      <c r="O833" s="9"/>
      <c r="P833" s="9"/>
      <c r="Q833" s="9"/>
      <c r="R833" s="9"/>
      <c r="S833" s="9"/>
    </row>
    <row r="834" spans="5:19" ht="15.75" customHeight="1" x14ac:dyDescent="0.3">
      <c r="E834" s="9"/>
      <c r="F834" s="9"/>
      <c r="H834" s="9"/>
      <c r="M834" s="9"/>
      <c r="N834" s="9"/>
      <c r="O834" s="9"/>
      <c r="P834" s="9"/>
      <c r="Q834" s="9"/>
      <c r="R834" s="9"/>
      <c r="S834" s="9"/>
    </row>
    <row r="835" spans="5:19" ht="15.75" customHeight="1" x14ac:dyDescent="0.3">
      <c r="E835" s="9"/>
      <c r="F835" s="9"/>
      <c r="H835" s="9"/>
      <c r="M835" s="9"/>
      <c r="N835" s="9"/>
      <c r="O835" s="9"/>
      <c r="P835" s="9"/>
      <c r="Q835" s="9"/>
      <c r="R835" s="9"/>
      <c r="S835" s="9"/>
    </row>
    <row r="836" spans="5:19" ht="15.75" customHeight="1" x14ac:dyDescent="0.3">
      <c r="E836" s="9"/>
      <c r="F836" s="9"/>
      <c r="H836" s="9"/>
      <c r="M836" s="9"/>
      <c r="N836" s="9"/>
      <c r="O836" s="9"/>
      <c r="P836" s="9"/>
      <c r="Q836" s="9"/>
      <c r="R836" s="9"/>
      <c r="S836" s="9"/>
    </row>
    <row r="837" spans="5:19" ht="15.75" customHeight="1" x14ac:dyDescent="0.3">
      <c r="E837" s="9"/>
      <c r="F837" s="9"/>
      <c r="H837" s="9"/>
      <c r="M837" s="9"/>
      <c r="N837" s="9"/>
      <c r="O837" s="9"/>
      <c r="P837" s="9"/>
      <c r="Q837" s="9"/>
      <c r="R837" s="9"/>
      <c r="S837" s="9"/>
    </row>
    <row r="838" spans="5:19" ht="15.75" customHeight="1" x14ac:dyDescent="0.3">
      <c r="E838" s="9"/>
      <c r="F838" s="9"/>
      <c r="H838" s="9"/>
      <c r="M838" s="9"/>
      <c r="N838" s="9"/>
      <c r="O838" s="9"/>
      <c r="P838" s="9"/>
      <c r="Q838" s="9"/>
      <c r="R838" s="9"/>
      <c r="S838" s="9"/>
    </row>
    <row r="839" spans="5:19" ht="15.75" customHeight="1" x14ac:dyDescent="0.3">
      <c r="E839" s="9"/>
      <c r="F839" s="9"/>
      <c r="H839" s="9"/>
      <c r="M839" s="9"/>
      <c r="N839" s="9"/>
      <c r="O839" s="9"/>
      <c r="P839" s="9"/>
      <c r="Q839" s="9"/>
      <c r="R839" s="9"/>
      <c r="S839" s="9"/>
    </row>
    <row r="840" spans="5:19" ht="15.75" customHeight="1" x14ac:dyDescent="0.3">
      <c r="E840" s="9"/>
      <c r="F840" s="9"/>
      <c r="H840" s="9"/>
      <c r="M840" s="9"/>
      <c r="N840" s="9"/>
      <c r="O840" s="9"/>
      <c r="P840" s="9"/>
      <c r="Q840" s="9"/>
      <c r="R840" s="9"/>
      <c r="S840" s="9"/>
    </row>
    <row r="841" spans="5:19" ht="15.75" customHeight="1" x14ac:dyDescent="0.3">
      <c r="E841" s="9"/>
      <c r="F841" s="9"/>
      <c r="H841" s="9"/>
      <c r="M841" s="9"/>
      <c r="N841" s="9"/>
      <c r="O841" s="9"/>
      <c r="P841" s="9"/>
      <c r="Q841" s="9"/>
      <c r="R841" s="9"/>
      <c r="S841" s="9"/>
    </row>
    <row r="842" spans="5:19" ht="15.75" customHeight="1" x14ac:dyDescent="0.3">
      <c r="E842" s="9"/>
      <c r="F842" s="9"/>
      <c r="H842" s="9"/>
      <c r="M842" s="9"/>
      <c r="N842" s="9"/>
      <c r="O842" s="9"/>
      <c r="P842" s="9"/>
      <c r="Q842" s="9"/>
      <c r="R842" s="9"/>
      <c r="S842" s="9"/>
    </row>
    <row r="843" spans="5:19" ht="15.75" customHeight="1" x14ac:dyDescent="0.3">
      <c r="E843" s="9"/>
      <c r="F843" s="9"/>
      <c r="H843" s="9"/>
      <c r="M843" s="9"/>
      <c r="N843" s="9"/>
      <c r="O843" s="9"/>
      <c r="P843" s="9"/>
      <c r="Q843" s="9"/>
      <c r="R843" s="9"/>
      <c r="S843" s="9"/>
    </row>
    <row r="844" spans="5:19" ht="15.75" customHeight="1" x14ac:dyDescent="0.3">
      <c r="E844" s="9"/>
      <c r="F844" s="9"/>
      <c r="H844" s="9"/>
      <c r="M844" s="9"/>
      <c r="N844" s="9"/>
      <c r="O844" s="9"/>
      <c r="P844" s="9"/>
      <c r="Q844" s="9"/>
      <c r="R844" s="9"/>
      <c r="S844" s="9"/>
    </row>
    <row r="845" spans="5:19" ht="15.75" customHeight="1" x14ac:dyDescent="0.3">
      <c r="E845" s="9"/>
      <c r="F845" s="9"/>
      <c r="H845" s="9"/>
      <c r="M845" s="9"/>
      <c r="N845" s="9"/>
      <c r="O845" s="9"/>
      <c r="P845" s="9"/>
      <c r="Q845" s="9"/>
      <c r="R845" s="9"/>
      <c r="S845" s="9"/>
    </row>
    <row r="846" spans="5:19" ht="15.75" customHeight="1" x14ac:dyDescent="0.3">
      <c r="E846" s="9"/>
      <c r="F846" s="9"/>
      <c r="H846" s="9"/>
      <c r="M846" s="9"/>
      <c r="N846" s="9"/>
      <c r="O846" s="9"/>
      <c r="P846" s="9"/>
      <c r="Q846" s="9"/>
      <c r="R846" s="9"/>
      <c r="S846" s="9"/>
    </row>
    <row r="847" spans="5:19" ht="15.75" customHeight="1" x14ac:dyDescent="0.3">
      <c r="E847" s="9"/>
      <c r="F847" s="9"/>
      <c r="H847" s="9"/>
      <c r="M847" s="9"/>
      <c r="N847" s="9"/>
      <c r="O847" s="9"/>
      <c r="P847" s="9"/>
      <c r="Q847" s="9"/>
      <c r="R847" s="9"/>
      <c r="S847" s="9"/>
    </row>
    <row r="848" spans="5:19" ht="15.75" customHeight="1" x14ac:dyDescent="0.3">
      <c r="E848" s="9"/>
      <c r="F848" s="9"/>
      <c r="H848" s="9"/>
      <c r="M848" s="9"/>
      <c r="N848" s="9"/>
      <c r="O848" s="9"/>
      <c r="P848" s="9"/>
      <c r="Q848" s="9"/>
      <c r="R848" s="9"/>
      <c r="S848" s="9"/>
    </row>
    <row r="849" spans="5:19" ht="15.75" customHeight="1" x14ac:dyDescent="0.3">
      <c r="E849" s="9"/>
      <c r="F849" s="9"/>
      <c r="H849" s="9"/>
      <c r="M849" s="9"/>
      <c r="N849" s="9"/>
      <c r="O849" s="9"/>
      <c r="P849" s="9"/>
      <c r="Q849" s="9"/>
      <c r="R849" s="9"/>
      <c r="S849" s="9"/>
    </row>
    <row r="850" spans="5:19" ht="15.75" customHeight="1" x14ac:dyDescent="0.3">
      <c r="E850" s="9"/>
      <c r="F850" s="9"/>
      <c r="H850" s="9"/>
      <c r="M850" s="9"/>
      <c r="N850" s="9"/>
      <c r="O850" s="9"/>
      <c r="P850" s="9"/>
      <c r="Q850" s="9"/>
      <c r="R850" s="9"/>
      <c r="S850" s="9"/>
    </row>
    <row r="851" spans="5:19" ht="15.75" customHeight="1" x14ac:dyDescent="0.3">
      <c r="E851" s="9"/>
      <c r="F851" s="9"/>
      <c r="H851" s="9"/>
      <c r="M851" s="9"/>
      <c r="N851" s="9"/>
      <c r="O851" s="9"/>
      <c r="P851" s="9"/>
      <c r="Q851" s="9"/>
      <c r="R851" s="9"/>
      <c r="S851" s="9"/>
    </row>
    <row r="852" spans="5:19" ht="15.75" customHeight="1" x14ac:dyDescent="0.3">
      <c r="E852" s="9"/>
      <c r="F852" s="9"/>
      <c r="H852" s="9"/>
      <c r="M852" s="9"/>
      <c r="N852" s="9"/>
      <c r="O852" s="9"/>
      <c r="P852" s="9"/>
      <c r="Q852" s="9"/>
      <c r="R852" s="9"/>
      <c r="S852" s="9"/>
    </row>
    <row r="853" spans="5:19" ht="15.75" customHeight="1" x14ac:dyDescent="0.3">
      <c r="E853" s="9"/>
      <c r="F853" s="9"/>
      <c r="H853" s="9"/>
      <c r="M853" s="9"/>
      <c r="N853" s="9"/>
      <c r="O853" s="9"/>
      <c r="P853" s="9"/>
      <c r="Q853" s="9"/>
      <c r="R853" s="9"/>
      <c r="S853" s="9"/>
    </row>
    <row r="854" spans="5:19" ht="15.75" customHeight="1" x14ac:dyDescent="0.3">
      <c r="E854" s="9"/>
      <c r="F854" s="9"/>
      <c r="H854" s="9"/>
      <c r="M854" s="9"/>
      <c r="N854" s="9"/>
      <c r="O854" s="9"/>
      <c r="P854" s="9"/>
      <c r="Q854" s="9"/>
      <c r="R854" s="9"/>
      <c r="S854" s="9"/>
    </row>
    <row r="855" spans="5:19" ht="15.75" customHeight="1" x14ac:dyDescent="0.3">
      <c r="E855" s="9"/>
      <c r="F855" s="9"/>
      <c r="H855" s="9"/>
      <c r="M855" s="9"/>
      <c r="N855" s="9"/>
      <c r="O855" s="9"/>
      <c r="P855" s="9"/>
      <c r="Q855" s="9"/>
      <c r="R855" s="9"/>
      <c r="S855" s="9"/>
    </row>
    <row r="856" spans="5:19" ht="15.75" customHeight="1" x14ac:dyDescent="0.3">
      <c r="E856" s="9"/>
      <c r="F856" s="9"/>
      <c r="H856" s="9"/>
      <c r="M856" s="9"/>
      <c r="N856" s="9"/>
      <c r="O856" s="9"/>
      <c r="P856" s="9"/>
      <c r="Q856" s="9"/>
      <c r="R856" s="9"/>
      <c r="S856" s="9"/>
    </row>
    <row r="857" spans="5:19" ht="15.75" customHeight="1" x14ac:dyDescent="0.3">
      <c r="E857" s="9"/>
      <c r="F857" s="9"/>
      <c r="H857" s="9"/>
      <c r="M857" s="9"/>
      <c r="N857" s="9"/>
      <c r="O857" s="9"/>
      <c r="P857" s="9"/>
      <c r="Q857" s="9"/>
      <c r="R857" s="9"/>
      <c r="S857" s="9"/>
    </row>
    <row r="858" spans="5:19" ht="15.75" customHeight="1" x14ac:dyDescent="0.3">
      <c r="E858" s="9"/>
      <c r="F858" s="9"/>
      <c r="H858" s="9"/>
      <c r="M858" s="9"/>
      <c r="N858" s="9"/>
      <c r="O858" s="9"/>
      <c r="P858" s="9"/>
      <c r="Q858" s="9"/>
      <c r="R858" s="9"/>
      <c r="S858" s="9"/>
    </row>
    <row r="859" spans="5:19" ht="15.75" customHeight="1" x14ac:dyDescent="0.3">
      <c r="E859" s="9"/>
      <c r="F859" s="9"/>
      <c r="H859" s="9"/>
      <c r="M859" s="9"/>
      <c r="N859" s="9"/>
      <c r="O859" s="9"/>
      <c r="P859" s="9"/>
      <c r="Q859" s="9"/>
      <c r="R859" s="9"/>
      <c r="S859" s="9"/>
    </row>
    <row r="860" spans="5:19" ht="15.75" customHeight="1" x14ac:dyDescent="0.3">
      <c r="E860" s="9"/>
      <c r="F860" s="9"/>
      <c r="H860" s="9"/>
      <c r="M860" s="9"/>
      <c r="N860" s="9"/>
      <c r="O860" s="9"/>
      <c r="P860" s="9"/>
      <c r="Q860" s="9"/>
      <c r="R860" s="9"/>
      <c r="S860" s="9"/>
    </row>
    <row r="861" spans="5:19" ht="15.75" customHeight="1" x14ac:dyDescent="0.3">
      <c r="E861" s="9"/>
      <c r="F861" s="9"/>
      <c r="H861" s="9"/>
      <c r="M861" s="9"/>
      <c r="N861" s="9"/>
      <c r="O861" s="9"/>
      <c r="P861" s="9"/>
      <c r="Q861" s="9"/>
      <c r="R861" s="9"/>
      <c r="S861" s="9"/>
    </row>
    <row r="862" spans="5:19" ht="15.75" customHeight="1" x14ac:dyDescent="0.3">
      <c r="E862" s="9"/>
      <c r="F862" s="9"/>
      <c r="H862" s="9"/>
      <c r="M862" s="9"/>
      <c r="N862" s="9"/>
      <c r="O862" s="9"/>
      <c r="P862" s="9"/>
      <c r="Q862" s="9"/>
      <c r="R862" s="9"/>
      <c r="S862" s="9"/>
    </row>
    <row r="863" spans="5:19" ht="15.75" customHeight="1" x14ac:dyDescent="0.3">
      <c r="E863" s="9"/>
      <c r="F863" s="9"/>
      <c r="H863" s="9"/>
      <c r="M863" s="9"/>
      <c r="N863" s="9"/>
      <c r="O863" s="9"/>
      <c r="P863" s="9"/>
      <c r="Q863" s="9"/>
      <c r="R863" s="9"/>
      <c r="S863" s="9"/>
    </row>
    <row r="864" spans="5:19" ht="15.75" customHeight="1" x14ac:dyDescent="0.3">
      <c r="E864" s="9"/>
      <c r="F864" s="9"/>
      <c r="H864" s="9"/>
      <c r="M864" s="9"/>
      <c r="N864" s="9"/>
      <c r="O864" s="9"/>
      <c r="P864" s="9"/>
      <c r="Q864" s="9"/>
      <c r="R864" s="9"/>
      <c r="S864" s="9"/>
    </row>
    <row r="865" spans="5:19" ht="15.75" customHeight="1" x14ac:dyDescent="0.3">
      <c r="E865" s="9"/>
      <c r="F865" s="9"/>
      <c r="H865" s="9"/>
      <c r="M865" s="9"/>
      <c r="N865" s="9"/>
      <c r="O865" s="9"/>
      <c r="P865" s="9"/>
      <c r="Q865" s="9"/>
      <c r="R865" s="9"/>
      <c r="S865" s="9"/>
    </row>
    <row r="866" spans="5:19" ht="15.75" customHeight="1" x14ac:dyDescent="0.3">
      <c r="E866" s="9"/>
      <c r="F866" s="9"/>
      <c r="H866" s="9"/>
      <c r="M866" s="9"/>
      <c r="N866" s="9"/>
      <c r="O866" s="9"/>
      <c r="P866" s="9"/>
      <c r="Q866" s="9"/>
      <c r="R866" s="9"/>
      <c r="S866" s="9"/>
    </row>
    <row r="867" spans="5:19" ht="15.75" customHeight="1" x14ac:dyDescent="0.3">
      <c r="E867" s="9"/>
      <c r="F867" s="9"/>
      <c r="H867" s="9"/>
      <c r="M867" s="9"/>
      <c r="N867" s="9"/>
      <c r="O867" s="9"/>
      <c r="P867" s="9"/>
      <c r="Q867" s="9"/>
      <c r="R867" s="9"/>
      <c r="S867" s="9"/>
    </row>
    <row r="868" spans="5:19" ht="15.75" customHeight="1" x14ac:dyDescent="0.3">
      <c r="E868" s="9"/>
      <c r="F868" s="9"/>
      <c r="H868" s="9"/>
      <c r="M868" s="9"/>
      <c r="N868" s="9"/>
      <c r="O868" s="9"/>
      <c r="P868" s="9"/>
      <c r="Q868" s="9"/>
      <c r="R868" s="9"/>
      <c r="S868" s="9"/>
    </row>
    <row r="869" spans="5:19" ht="15.75" customHeight="1" x14ac:dyDescent="0.3">
      <c r="E869" s="9"/>
      <c r="F869" s="9"/>
      <c r="H869" s="9"/>
      <c r="M869" s="9"/>
      <c r="N869" s="9"/>
      <c r="O869" s="9"/>
      <c r="P869" s="9"/>
      <c r="Q869" s="9"/>
      <c r="R869" s="9"/>
      <c r="S869" s="9"/>
    </row>
    <row r="870" spans="5:19" ht="15.75" customHeight="1" x14ac:dyDescent="0.3">
      <c r="E870" s="9"/>
      <c r="F870" s="9"/>
      <c r="H870" s="9"/>
      <c r="M870" s="9"/>
      <c r="N870" s="9"/>
      <c r="O870" s="9"/>
      <c r="P870" s="9"/>
      <c r="Q870" s="9"/>
      <c r="R870" s="9"/>
      <c r="S870" s="9"/>
    </row>
    <row r="871" spans="5:19" ht="15.75" customHeight="1" x14ac:dyDescent="0.3">
      <c r="E871" s="9"/>
      <c r="F871" s="9"/>
      <c r="H871" s="9"/>
      <c r="M871" s="9"/>
      <c r="N871" s="9"/>
      <c r="O871" s="9"/>
      <c r="P871" s="9"/>
      <c r="Q871" s="9"/>
      <c r="R871" s="9"/>
      <c r="S871" s="9"/>
    </row>
    <row r="872" spans="5:19" ht="15.75" customHeight="1" x14ac:dyDescent="0.3">
      <c r="E872" s="9"/>
      <c r="F872" s="9"/>
      <c r="H872" s="9"/>
      <c r="M872" s="9"/>
      <c r="N872" s="9"/>
      <c r="O872" s="9"/>
      <c r="P872" s="9"/>
      <c r="Q872" s="9"/>
      <c r="R872" s="9"/>
      <c r="S872" s="9"/>
    </row>
    <row r="873" spans="5:19" ht="15.75" customHeight="1" x14ac:dyDescent="0.3">
      <c r="E873" s="9"/>
      <c r="F873" s="9"/>
      <c r="H873" s="9"/>
      <c r="M873" s="9"/>
      <c r="N873" s="9"/>
      <c r="O873" s="9"/>
      <c r="P873" s="9"/>
      <c r="Q873" s="9"/>
      <c r="R873" s="9"/>
      <c r="S873" s="9"/>
    </row>
    <row r="874" spans="5:19" ht="15.75" customHeight="1" x14ac:dyDescent="0.3">
      <c r="E874" s="9"/>
      <c r="F874" s="9"/>
      <c r="H874" s="9"/>
      <c r="M874" s="9"/>
      <c r="N874" s="9"/>
      <c r="O874" s="9"/>
      <c r="P874" s="9"/>
      <c r="Q874" s="9"/>
      <c r="R874" s="9"/>
      <c r="S874" s="9"/>
    </row>
    <row r="875" spans="5:19" ht="15.75" customHeight="1" x14ac:dyDescent="0.3">
      <c r="E875" s="9"/>
      <c r="F875" s="9"/>
      <c r="H875" s="9"/>
      <c r="M875" s="9"/>
      <c r="N875" s="9"/>
      <c r="O875" s="9"/>
      <c r="P875" s="9"/>
      <c r="Q875" s="9"/>
      <c r="R875" s="9"/>
      <c r="S875" s="9"/>
    </row>
    <row r="876" spans="5:19" ht="15.75" customHeight="1" x14ac:dyDescent="0.3">
      <c r="E876" s="9"/>
      <c r="F876" s="9"/>
      <c r="H876" s="9"/>
      <c r="M876" s="9"/>
      <c r="N876" s="9"/>
      <c r="O876" s="9"/>
      <c r="P876" s="9"/>
      <c r="Q876" s="9"/>
      <c r="R876" s="9"/>
      <c r="S876" s="9"/>
    </row>
    <row r="877" spans="5:19" ht="15.75" customHeight="1" x14ac:dyDescent="0.3">
      <c r="E877" s="9"/>
      <c r="F877" s="9"/>
      <c r="H877" s="9"/>
      <c r="M877" s="9"/>
      <c r="N877" s="9"/>
      <c r="O877" s="9"/>
      <c r="P877" s="9"/>
      <c r="Q877" s="9"/>
      <c r="R877" s="9"/>
      <c r="S877" s="9"/>
    </row>
    <row r="878" spans="5:19" ht="15.75" customHeight="1" x14ac:dyDescent="0.3">
      <c r="E878" s="9"/>
      <c r="F878" s="9"/>
      <c r="H878" s="9"/>
      <c r="M878" s="9"/>
      <c r="N878" s="9"/>
      <c r="O878" s="9"/>
      <c r="P878" s="9"/>
      <c r="Q878" s="9"/>
      <c r="R878" s="9"/>
      <c r="S878" s="9"/>
    </row>
    <row r="879" spans="5:19" ht="15.75" customHeight="1" x14ac:dyDescent="0.3">
      <c r="E879" s="9"/>
      <c r="F879" s="9"/>
      <c r="H879" s="9"/>
      <c r="M879" s="9"/>
      <c r="N879" s="9"/>
      <c r="O879" s="9"/>
      <c r="P879" s="9"/>
      <c r="Q879" s="9"/>
      <c r="R879" s="9"/>
      <c r="S879" s="9"/>
    </row>
    <row r="880" spans="5:19" ht="15.75" customHeight="1" x14ac:dyDescent="0.3">
      <c r="E880" s="9"/>
      <c r="F880" s="9"/>
      <c r="H880" s="9"/>
      <c r="M880" s="9"/>
      <c r="N880" s="9"/>
      <c r="O880" s="9"/>
      <c r="P880" s="9"/>
      <c r="Q880" s="9"/>
      <c r="R880" s="9"/>
      <c r="S880" s="9"/>
    </row>
    <row r="881" spans="5:19" ht="15.75" customHeight="1" x14ac:dyDescent="0.3">
      <c r="E881" s="9"/>
      <c r="F881" s="9"/>
      <c r="H881" s="9"/>
      <c r="M881" s="9"/>
      <c r="N881" s="9"/>
      <c r="O881" s="9"/>
      <c r="P881" s="9"/>
      <c r="Q881" s="9"/>
      <c r="R881" s="9"/>
      <c r="S881" s="9"/>
    </row>
    <row r="882" spans="5:19" ht="15.75" customHeight="1" x14ac:dyDescent="0.3">
      <c r="E882" s="9"/>
      <c r="F882" s="9"/>
      <c r="H882" s="9"/>
      <c r="M882" s="9"/>
      <c r="N882" s="9"/>
      <c r="O882" s="9"/>
      <c r="P882" s="9"/>
      <c r="Q882" s="9"/>
      <c r="R882" s="9"/>
      <c r="S882" s="9"/>
    </row>
    <row r="883" spans="5:19" ht="15.75" customHeight="1" x14ac:dyDescent="0.3">
      <c r="E883" s="9"/>
      <c r="F883" s="9"/>
      <c r="H883" s="9"/>
      <c r="M883" s="9"/>
      <c r="N883" s="9"/>
      <c r="O883" s="9"/>
      <c r="P883" s="9"/>
      <c r="Q883" s="9"/>
      <c r="R883" s="9"/>
      <c r="S883" s="9"/>
    </row>
    <row r="884" spans="5:19" ht="15.75" customHeight="1" x14ac:dyDescent="0.3">
      <c r="E884" s="9"/>
      <c r="F884" s="9"/>
      <c r="H884" s="9"/>
      <c r="M884" s="9"/>
      <c r="N884" s="9"/>
      <c r="O884" s="9"/>
      <c r="P884" s="9"/>
      <c r="Q884" s="9"/>
      <c r="R884" s="9"/>
      <c r="S884" s="9"/>
    </row>
    <row r="885" spans="5:19" ht="15.75" customHeight="1" x14ac:dyDescent="0.3">
      <c r="E885" s="9"/>
      <c r="F885" s="9"/>
      <c r="H885" s="9"/>
      <c r="M885" s="9"/>
      <c r="N885" s="9"/>
      <c r="O885" s="9"/>
      <c r="P885" s="9"/>
      <c r="Q885" s="9"/>
      <c r="R885" s="9"/>
      <c r="S885" s="9"/>
    </row>
    <row r="886" spans="5:19" ht="15.75" customHeight="1" x14ac:dyDescent="0.3">
      <c r="E886" s="9"/>
      <c r="F886" s="9"/>
      <c r="H886" s="9"/>
      <c r="M886" s="9"/>
      <c r="N886" s="9"/>
      <c r="O886" s="9"/>
      <c r="P886" s="9"/>
      <c r="Q886" s="9"/>
      <c r="R886" s="9"/>
      <c r="S886" s="9"/>
    </row>
    <row r="887" spans="5:19" ht="15.75" customHeight="1" x14ac:dyDescent="0.3">
      <c r="E887" s="9"/>
      <c r="F887" s="9"/>
      <c r="H887" s="9"/>
      <c r="M887" s="9"/>
      <c r="N887" s="9"/>
      <c r="O887" s="9"/>
      <c r="P887" s="9"/>
      <c r="Q887" s="9"/>
      <c r="R887" s="9"/>
      <c r="S887" s="9"/>
    </row>
    <row r="888" spans="5:19" ht="15.75" customHeight="1" x14ac:dyDescent="0.3">
      <c r="E888" s="9"/>
      <c r="F888" s="9"/>
      <c r="H888" s="9"/>
      <c r="M888" s="9"/>
      <c r="N888" s="9"/>
      <c r="O888" s="9"/>
      <c r="P888" s="9"/>
      <c r="Q888" s="9"/>
      <c r="R888" s="9"/>
      <c r="S888" s="9"/>
    </row>
    <row r="889" spans="5:19" ht="15.75" customHeight="1" x14ac:dyDescent="0.3">
      <c r="E889" s="9"/>
      <c r="F889" s="9"/>
      <c r="H889" s="9"/>
      <c r="M889" s="9"/>
      <c r="N889" s="9"/>
      <c r="O889" s="9"/>
      <c r="P889" s="9"/>
      <c r="Q889" s="9"/>
      <c r="R889" s="9"/>
      <c r="S889" s="9"/>
    </row>
    <row r="890" spans="5:19" ht="15.75" customHeight="1" x14ac:dyDescent="0.3">
      <c r="E890" s="9"/>
      <c r="F890" s="9"/>
      <c r="H890" s="9"/>
      <c r="M890" s="9"/>
      <c r="N890" s="9"/>
      <c r="O890" s="9"/>
      <c r="P890" s="9"/>
      <c r="Q890" s="9"/>
      <c r="R890" s="9"/>
      <c r="S890" s="9"/>
    </row>
    <row r="891" spans="5:19" ht="15.75" customHeight="1" x14ac:dyDescent="0.3">
      <c r="E891" s="9"/>
      <c r="F891" s="9"/>
      <c r="H891" s="9"/>
      <c r="M891" s="9"/>
      <c r="N891" s="9"/>
      <c r="O891" s="9"/>
      <c r="P891" s="9"/>
      <c r="Q891" s="9"/>
      <c r="R891" s="9"/>
      <c r="S891" s="9"/>
    </row>
    <row r="892" spans="5:19" ht="15.75" customHeight="1" x14ac:dyDescent="0.3">
      <c r="E892" s="9"/>
      <c r="F892" s="9"/>
      <c r="H892" s="9"/>
      <c r="M892" s="9"/>
      <c r="N892" s="9"/>
      <c r="O892" s="9"/>
      <c r="P892" s="9"/>
      <c r="Q892" s="9"/>
      <c r="R892" s="9"/>
      <c r="S892" s="9"/>
    </row>
    <row r="893" spans="5:19" ht="15.75" customHeight="1" x14ac:dyDescent="0.3">
      <c r="E893" s="9"/>
      <c r="F893" s="9"/>
      <c r="H893" s="9"/>
      <c r="M893" s="9"/>
      <c r="N893" s="9"/>
      <c r="O893" s="9"/>
      <c r="P893" s="9"/>
      <c r="Q893" s="9"/>
      <c r="R893" s="9"/>
      <c r="S893" s="9"/>
    </row>
    <row r="894" spans="5:19" ht="15.75" customHeight="1" x14ac:dyDescent="0.3">
      <c r="E894" s="9"/>
      <c r="F894" s="9"/>
      <c r="H894" s="9"/>
      <c r="M894" s="9"/>
      <c r="N894" s="9"/>
      <c r="O894" s="9"/>
      <c r="P894" s="9"/>
      <c r="Q894" s="9"/>
      <c r="R894" s="9"/>
      <c r="S894" s="9"/>
    </row>
    <row r="895" spans="5:19" ht="15.75" customHeight="1" x14ac:dyDescent="0.3">
      <c r="E895" s="9"/>
      <c r="F895" s="9"/>
      <c r="H895" s="9"/>
      <c r="M895" s="9"/>
      <c r="N895" s="9"/>
      <c r="O895" s="9"/>
      <c r="P895" s="9"/>
      <c r="Q895" s="9"/>
      <c r="R895" s="9"/>
      <c r="S895" s="9"/>
    </row>
    <row r="896" spans="5:19" ht="15.75" customHeight="1" x14ac:dyDescent="0.3">
      <c r="E896" s="9"/>
      <c r="F896" s="9"/>
      <c r="H896" s="9"/>
      <c r="M896" s="9"/>
      <c r="N896" s="9"/>
      <c r="O896" s="9"/>
      <c r="P896" s="9"/>
      <c r="Q896" s="9"/>
      <c r="R896" s="9"/>
      <c r="S896" s="9"/>
    </row>
    <row r="897" spans="5:19" ht="15.75" customHeight="1" x14ac:dyDescent="0.3">
      <c r="E897" s="9"/>
      <c r="F897" s="9"/>
      <c r="H897" s="9"/>
      <c r="M897" s="9"/>
      <c r="N897" s="9"/>
      <c r="O897" s="9"/>
      <c r="P897" s="9"/>
      <c r="Q897" s="9"/>
      <c r="R897" s="9"/>
      <c r="S897" s="9"/>
    </row>
    <row r="898" spans="5:19" ht="15.75" customHeight="1" x14ac:dyDescent="0.3">
      <c r="E898" s="9"/>
      <c r="F898" s="9"/>
      <c r="H898" s="9"/>
      <c r="M898" s="9"/>
      <c r="N898" s="9"/>
      <c r="O898" s="9"/>
      <c r="P898" s="9"/>
      <c r="Q898" s="9"/>
      <c r="R898" s="9"/>
      <c r="S898" s="9"/>
    </row>
    <row r="899" spans="5:19" ht="15.75" customHeight="1" x14ac:dyDescent="0.3">
      <c r="E899" s="9"/>
      <c r="F899" s="9"/>
      <c r="H899" s="9"/>
      <c r="M899" s="9"/>
      <c r="N899" s="9"/>
      <c r="O899" s="9"/>
      <c r="P899" s="9"/>
      <c r="Q899" s="9"/>
      <c r="R899" s="9"/>
      <c r="S899" s="9"/>
    </row>
    <row r="900" spans="5:19" ht="15.75" customHeight="1" x14ac:dyDescent="0.3">
      <c r="E900" s="9"/>
      <c r="F900" s="9"/>
      <c r="H900" s="9"/>
      <c r="M900" s="9"/>
      <c r="N900" s="9"/>
      <c r="O900" s="9"/>
      <c r="P900" s="9"/>
      <c r="Q900" s="9"/>
      <c r="R900" s="9"/>
      <c r="S900" s="9"/>
    </row>
    <row r="901" spans="5:19" ht="15.75" customHeight="1" x14ac:dyDescent="0.3">
      <c r="E901" s="9"/>
      <c r="F901" s="9"/>
      <c r="H901" s="9"/>
      <c r="M901" s="9"/>
      <c r="N901" s="9"/>
      <c r="O901" s="9"/>
      <c r="P901" s="9"/>
      <c r="Q901" s="9"/>
      <c r="R901" s="9"/>
      <c r="S901" s="9"/>
    </row>
    <row r="902" spans="5:19" ht="15.75" customHeight="1" x14ac:dyDescent="0.3">
      <c r="E902" s="9"/>
      <c r="F902" s="9"/>
      <c r="H902" s="9"/>
      <c r="M902" s="9"/>
      <c r="N902" s="9"/>
      <c r="O902" s="9"/>
      <c r="P902" s="9"/>
      <c r="Q902" s="9"/>
      <c r="R902" s="9"/>
      <c r="S902" s="9"/>
    </row>
    <row r="903" spans="5:19" ht="15.75" customHeight="1" x14ac:dyDescent="0.3">
      <c r="E903" s="9"/>
      <c r="F903" s="9"/>
      <c r="H903" s="9"/>
      <c r="M903" s="9"/>
      <c r="N903" s="9"/>
      <c r="O903" s="9"/>
      <c r="P903" s="9"/>
      <c r="Q903" s="9"/>
      <c r="R903" s="9"/>
      <c r="S903" s="9"/>
    </row>
    <row r="904" spans="5:19" ht="15.75" customHeight="1" x14ac:dyDescent="0.3">
      <c r="E904" s="9"/>
      <c r="F904" s="9"/>
      <c r="H904" s="9"/>
      <c r="M904" s="9"/>
      <c r="N904" s="9"/>
      <c r="O904" s="9"/>
      <c r="P904" s="9"/>
      <c r="Q904" s="9"/>
      <c r="R904" s="9"/>
      <c r="S904" s="9"/>
    </row>
    <row r="905" spans="5:19" ht="15.75" customHeight="1" x14ac:dyDescent="0.3">
      <c r="E905" s="9"/>
      <c r="F905" s="9"/>
      <c r="H905" s="9"/>
      <c r="M905" s="9"/>
      <c r="N905" s="9"/>
      <c r="O905" s="9"/>
      <c r="P905" s="9"/>
      <c r="Q905" s="9"/>
      <c r="R905" s="9"/>
      <c r="S905" s="9"/>
    </row>
    <row r="906" spans="5:19" ht="15.75" customHeight="1" x14ac:dyDescent="0.3">
      <c r="E906" s="9"/>
      <c r="F906" s="9"/>
      <c r="H906" s="9"/>
      <c r="M906" s="9"/>
      <c r="N906" s="9"/>
      <c r="O906" s="9"/>
      <c r="P906" s="9"/>
      <c r="Q906" s="9"/>
      <c r="R906" s="9"/>
      <c r="S906" s="9"/>
    </row>
    <row r="907" spans="5:19" ht="15.75" customHeight="1" x14ac:dyDescent="0.3">
      <c r="E907" s="9"/>
      <c r="F907" s="9"/>
      <c r="H907" s="9"/>
      <c r="M907" s="9"/>
      <c r="N907" s="9"/>
      <c r="O907" s="9"/>
      <c r="P907" s="9"/>
      <c r="Q907" s="9"/>
      <c r="R907" s="9"/>
      <c r="S907" s="9"/>
    </row>
    <row r="908" spans="5:19" ht="15.75" customHeight="1" x14ac:dyDescent="0.3">
      <c r="E908" s="9"/>
      <c r="F908" s="9"/>
      <c r="H908" s="9"/>
      <c r="M908" s="9"/>
      <c r="N908" s="9"/>
      <c r="O908" s="9"/>
      <c r="P908" s="9"/>
      <c r="Q908" s="9"/>
      <c r="R908" s="9"/>
      <c r="S908" s="9"/>
    </row>
    <row r="909" spans="5:19" ht="15.75" customHeight="1" x14ac:dyDescent="0.3">
      <c r="E909" s="9"/>
      <c r="F909" s="9"/>
      <c r="H909" s="9"/>
      <c r="M909" s="9"/>
      <c r="N909" s="9"/>
      <c r="O909" s="9"/>
      <c r="P909" s="9"/>
      <c r="Q909" s="9"/>
      <c r="R909" s="9"/>
      <c r="S909" s="9"/>
    </row>
    <row r="910" spans="5:19" ht="15.75" customHeight="1" x14ac:dyDescent="0.3">
      <c r="E910" s="9"/>
      <c r="F910" s="9"/>
      <c r="H910" s="9"/>
      <c r="M910" s="9"/>
      <c r="N910" s="9"/>
      <c r="O910" s="9"/>
      <c r="P910" s="9"/>
      <c r="Q910" s="9"/>
      <c r="R910" s="9"/>
      <c r="S910" s="9"/>
    </row>
    <row r="911" spans="5:19" ht="15.75" customHeight="1" x14ac:dyDescent="0.3">
      <c r="E911" s="9"/>
      <c r="F911" s="9"/>
      <c r="H911" s="9"/>
      <c r="M911" s="9"/>
      <c r="N911" s="9"/>
      <c r="O911" s="9"/>
      <c r="P911" s="9"/>
      <c r="Q911" s="9"/>
      <c r="R911" s="9"/>
      <c r="S911" s="9"/>
    </row>
    <row r="912" spans="5:19" ht="15.75" customHeight="1" x14ac:dyDescent="0.3">
      <c r="E912" s="9"/>
      <c r="F912" s="9"/>
      <c r="H912" s="9"/>
      <c r="M912" s="9"/>
      <c r="N912" s="9"/>
      <c r="O912" s="9"/>
      <c r="P912" s="9"/>
      <c r="Q912" s="9"/>
      <c r="R912" s="9"/>
      <c r="S912" s="9"/>
    </row>
    <row r="913" spans="5:19" ht="15.75" customHeight="1" x14ac:dyDescent="0.3">
      <c r="E913" s="9"/>
      <c r="F913" s="9"/>
      <c r="H913" s="9"/>
      <c r="M913" s="9"/>
      <c r="N913" s="9"/>
      <c r="O913" s="9"/>
      <c r="P913" s="9"/>
      <c r="Q913" s="9"/>
      <c r="R913" s="9"/>
      <c r="S913" s="9"/>
    </row>
    <row r="914" spans="5:19" ht="15.75" customHeight="1" x14ac:dyDescent="0.3">
      <c r="E914" s="9"/>
      <c r="F914" s="9"/>
      <c r="H914" s="9"/>
      <c r="M914" s="9"/>
      <c r="N914" s="9"/>
      <c r="O914" s="9"/>
      <c r="P914" s="9"/>
      <c r="Q914" s="9"/>
      <c r="R914" s="9"/>
      <c r="S914" s="9"/>
    </row>
    <row r="915" spans="5:19" ht="15.75" customHeight="1" x14ac:dyDescent="0.3">
      <c r="E915" s="9"/>
      <c r="F915" s="9"/>
      <c r="H915" s="9"/>
      <c r="M915" s="9"/>
      <c r="N915" s="9"/>
      <c r="O915" s="9"/>
      <c r="P915" s="9"/>
      <c r="Q915" s="9"/>
      <c r="R915" s="9"/>
      <c r="S915" s="9"/>
    </row>
    <row r="916" spans="5:19" ht="15.75" customHeight="1" x14ac:dyDescent="0.3">
      <c r="E916" s="9"/>
      <c r="F916" s="9"/>
      <c r="H916" s="9"/>
      <c r="M916" s="9"/>
      <c r="N916" s="9"/>
      <c r="O916" s="9"/>
      <c r="P916" s="9"/>
      <c r="Q916" s="9"/>
      <c r="R916" s="9"/>
      <c r="S916" s="9"/>
    </row>
    <row r="917" spans="5:19" ht="15.75" customHeight="1" x14ac:dyDescent="0.3">
      <c r="E917" s="9"/>
      <c r="F917" s="9"/>
      <c r="H917" s="9"/>
      <c r="M917" s="9"/>
      <c r="N917" s="9"/>
      <c r="O917" s="9"/>
      <c r="P917" s="9"/>
      <c r="Q917" s="9"/>
      <c r="R917" s="9"/>
      <c r="S917" s="9"/>
    </row>
    <row r="918" spans="5:19" ht="15.75" customHeight="1" x14ac:dyDescent="0.3">
      <c r="E918" s="9"/>
      <c r="F918" s="9"/>
      <c r="H918" s="9"/>
      <c r="M918" s="9"/>
      <c r="N918" s="9"/>
      <c r="O918" s="9"/>
      <c r="P918" s="9"/>
      <c r="Q918" s="9"/>
      <c r="R918" s="9"/>
      <c r="S918" s="9"/>
    </row>
    <row r="919" spans="5:19" ht="15.75" customHeight="1" x14ac:dyDescent="0.3">
      <c r="E919" s="9"/>
      <c r="F919" s="9"/>
      <c r="H919" s="9"/>
      <c r="M919" s="9"/>
      <c r="N919" s="9"/>
      <c r="O919" s="9"/>
      <c r="P919" s="9"/>
      <c r="Q919" s="9"/>
      <c r="R919" s="9"/>
      <c r="S919" s="9"/>
    </row>
    <row r="920" spans="5:19" ht="15.75" customHeight="1" x14ac:dyDescent="0.3">
      <c r="E920" s="9"/>
      <c r="F920" s="9"/>
      <c r="H920" s="9"/>
      <c r="M920" s="9"/>
      <c r="N920" s="9"/>
      <c r="O920" s="9"/>
      <c r="P920" s="9"/>
      <c r="Q920" s="9"/>
      <c r="R920" s="9"/>
      <c r="S920" s="9"/>
    </row>
    <row r="921" spans="5:19" ht="15.75" customHeight="1" x14ac:dyDescent="0.3">
      <c r="E921" s="9"/>
      <c r="F921" s="9"/>
      <c r="H921" s="9"/>
      <c r="M921" s="9"/>
      <c r="N921" s="9"/>
      <c r="O921" s="9"/>
      <c r="P921" s="9"/>
      <c r="Q921" s="9"/>
      <c r="R921" s="9"/>
      <c r="S921" s="9"/>
    </row>
    <row r="922" spans="5:19" ht="15.75" customHeight="1" x14ac:dyDescent="0.3">
      <c r="E922" s="9"/>
      <c r="F922" s="9"/>
      <c r="H922" s="9"/>
      <c r="M922" s="9"/>
      <c r="N922" s="9"/>
      <c r="O922" s="9"/>
      <c r="P922" s="9"/>
      <c r="Q922" s="9"/>
      <c r="R922" s="9"/>
      <c r="S922" s="9"/>
    </row>
    <row r="923" spans="5:19" ht="15.75" customHeight="1" x14ac:dyDescent="0.3">
      <c r="E923" s="9"/>
      <c r="F923" s="9"/>
      <c r="H923" s="9"/>
      <c r="M923" s="9"/>
      <c r="N923" s="9"/>
      <c r="O923" s="9"/>
      <c r="P923" s="9"/>
      <c r="Q923" s="9"/>
      <c r="R923" s="9"/>
      <c r="S923" s="9"/>
    </row>
    <row r="924" spans="5:19" ht="15.75" customHeight="1" x14ac:dyDescent="0.3">
      <c r="E924" s="9"/>
      <c r="F924" s="9"/>
      <c r="H924" s="9"/>
      <c r="M924" s="9"/>
      <c r="N924" s="9"/>
      <c r="O924" s="9"/>
      <c r="P924" s="9"/>
      <c r="Q924" s="9"/>
      <c r="R924" s="9"/>
      <c r="S924" s="9"/>
    </row>
    <row r="925" spans="5:19" ht="15.75" customHeight="1" x14ac:dyDescent="0.3">
      <c r="E925" s="9"/>
      <c r="F925" s="9"/>
      <c r="H925" s="9"/>
      <c r="M925" s="9"/>
      <c r="N925" s="9"/>
      <c r="O925" s="9"/>
      <c r="P925" s="9"/>
      <c r="Q925" s="9"/>
      <c r="R925" s="9"/>
      <c r="S925" s="9"/>
    </row>
    <row r="926" spans="5:19" ht="15.75" customHeight="1" x14ac:dyDescent="0.3">
      <c r="E926" s="9"/>
      <c r="F926" s="9"/>
      <c r="H926" s="9"/>
      <c r="M926" s="9"/>
      <c r="N926" s="9"/>
      <c r="O926" s="9"/>
      <c r="P926" s="9"/>
      <c r="Q926" s="9"/>
      <c r="R926" s="9"/>
      <c r="S926" s="9"/>
    </row>
    <row r="927" spans="5:19" ht="15.75" customHeight="1" x14ac:dyDescent="0.3">
      <c r="E927" s="9"/>
      <c r="F927" s="9"/>
      <c r="H927" s="9"/>
      <c r="M927" s="9"/>
      <c r="N927" s="9"/>
      <c r="O927" s="9"/>
      <c r="P927" s="9"/>
      <c r="Q927" s="9"/>
      <c r="R927" s="9"/>
      <c r="S927" s="9"/>
    </row>
    <row r="928" spans="5:19" ht="15.75" customHeight="1" x14ac:dyDescent="0.3">
      <c r="E928" s="9"/>
      <c r="F928" s="9"/>
      <c r="H928" s="9"/>
      <c r="M928" s="9"/>
      <c r="N928" s="9"/>
      <c r="O928" s="9"/>
      <c r="P928" s="9"/>
      <c r="Q928" s="9"/>
      <c r="R928" s="9"/>
      <c r="S928" s="9"/>
    </row>
    <row r="929" spans="5:19" ht="15.75" customHeight="1" x14ac:dyDescent="0.3">
      <c r="E929" s="9"/>
      <c r="F929" s="9"/>
      <c r="H929" s="9"/>
      <c r="M929" s="9"/>
      <c r="N929" s="9"/>
      <c r="O929" s="9"/>
      <c r="P929" s="9"/>
      <c r="Q929" s="9"/>
      <c r="R929" s="9"/>
      <c r="S929" s="9"/>
    </row>
    <row r="930" spans="5:19" ht="15.75" customHeight="1" x14ac:dyDescent="0.3">
      <c r="E930" s="9"/>
      <c r="F930" s="9"/>
      <c r="H930" s="9"/>
      <c r="M930" s="9"/>
      <c r="N930" s="9"/>
      <c r="O930" s="9"/>
      <c r="P930" s="9"/>
      <c r="Q930" s="9"/>
      <c r="R930" s="9"/>
      <c r="S930" s="9"/>
    </row>
    <row r="931" spans="5:19" ht="15.75" customHeight="1" x14ac:dyDescent="0.3">
      <c r="E931" s="9"/>
      <c r="F931" s="9"/>
      <c r="H931" s="9"/>
      <c r="M931" s="9"/>
      <c r="N931" s="9"/>
      <c r="O931" s="9"/>
      <c r="P931" s="9"/>
      <c r="Q931" s="9"/>
      <c r="R931" s="9"/>
      <c r="S931" s="9"/>
    </row>
    <row r="932" spans="5:19" ht="15.75" customHeight="1" x14ac:dyDescent="0.3">
      <c r="E932" s="9"/>
      <c r="F932" s="9"/>
      <c r="H932" s="9"/>
      <c r="M932" s="9"/>
      <c r="N932" s="9"/>
      <c r="O932" s="9"/>
      <c r="P932" s="9"/>
      <c r="Q932" s="9"/>
      <c r="R932" s="9"/>
      <c r="S932" s="9"/>
    </row>
    <row r="933" spans="5:19" ht="15.75" customHeight="1" x14ac:dyDescent="0.3">
      <c r="E933" s="9"/>
      <c r="F933" s="9"/>
      <c r="H933" s="9"/>
      <c r="M933" s="9"/>
      <c r="N933" s="9"/>
      <c r="O933" s="9"/>
      <c r="P933" s="9"/>
      <c r="Q933" s="9"/>
      <c r="R933" s="9"/>
      <c r="S933" s="9"/>
    </row>
    <row r="934" spans="5:19" ht="15.75" customHeight="1" x14ac:dyDescent="0.3">
      <c r="E934" s="9"/>
      <c r="F934" s="9"/>
      <c r="H934" s="9"/>
      <c r="M934" s="9"/>
      <c r="N934" s="9"/>
      <c r="O934" s="9"/>
      <c r="P934" s="9"/>
      <c r="Q934" s="9"/>
      <c r="R934" s="9"/>
      <c r="S934" s="9"/>
    </row>
    <row r="935" spans="5:19" ht="15.75" customHeight="1" x14ac:dyDescent="0.3">
      <c r="E935" s="9"/>
      <c r="F935" s="9"/>
      <c r="H935" s="9"/>
      <c r="M935" s="9"/>
      <c r="N935" s="9"/>
      <c r="O935" s="9"/>
      <c r="P935" s="9"/>
      <c r="Q935" s="9"/>
      <c r="R935" s="9"/>
      <c r="S935" s="9"/>
    </row>
    <row r="936" spans="5:19" ht="15.75" customHeight="1" x14ac:dyDescent="0.3">
      <c r="E936" s="9"/>
      <c r="F936" s="9"/>
      <c r="H936" s="9"/>
      <c r="M936" s="9"/>
      <c r="N936" s="9"/>
      <c r="O936" s="9"/>
      <c r="P936" s="9"/>
      <c r="Q936" s="9"/>
      <c r="R936" s="9"/>
      <c r="S936" s="9"/>
    </row>
    <row r="937" spans="5:19" ht="15.75" customHeight="1" x14ac:dyDescent="0.3">
      <c r="E937" s="9"/>
      <c r="F937" s="9"/>
      <c r="H937" s="9"/>
      <c r="M937" s="9"/>
      <c r="N937" s="9"/>
      <c r="O937" s="9"/>
      <c r="P937" s="9"/>
      <c r="Q937" s="9"/>
      <c r="R937" s="9"/>
      <c r="S937" s="9"/>
    </row>
    <row r="938" spans="5:19" ht="15.75" customHeight="1" x14ac:dyDescent="0.3">
      <c r="E938" s="9"/>
      <c r="F938" s="9"/>
      <c r="H938" s="9"/>
      <c r="M938" s="9"/>
      <c r="N938" s="9"/>
      <c r="O938" s="9"/>
      <c r="P938" s="9"/>
      <c r="Q938" s="9"/>
      <c r="R938" s="9"/>
      <c r="S938" s="9"/>
    </row>
    <row r="939" spans="5:19" ht="15.75" customHeight="1" x14ac:dyDescent="0.3">
      <c r="E939" s="9"/>
      <c r="F939" s="9"/>
      <c r="H939" s="9"/>
      <c r="M939" s="9"/>
      <c r="N939" s="9"/>
      <c r="O939" s="9"/>
      <c r="P939" s="9"/>
      <c r="Q939" s="9"/>
      <c r="R939" s="9"/>
      <c r="S939" s="9"/>
    </row>
    <row r="940" spans="5:19" ht="15.75" customHeight="1" x14ac:dyDescent="0.3">
      <c r="E940" s="9"/>
      <c r="F940" s="9"/>
      <c r="H940" s="9"/>
      <c r="M940" s="9"/>
      <c r="N940" s="9"/>
      <c r="O940" s="9"/>
      <c r="P940" s="9"/>
      <c r="Q940" s="9"/>
      <c r="R940" s="9"/>
      <c r="S940" s="9"/>
    </row>
    <row r="941" spans="5:19" ht="15.75" customHeight="1" x14ac:dyDescent="0.3">
      <c r="E941" s="9"/>
      <c r="F941" s="9"/>
      <c r="H941" s="9"/>
      <c r="M941" s="9"/>
      <c r="N941" s="9"/>
      <c r="O941" s="9"/>
      <c r="P941" s="9"/>
      <c r="Q941" s="9"/>
      <c r="R941" s="9"/>
      <c r="S941" s="9"/>
    </row>
    <row r="942" spans="5:19" ht="15.75" customHeight="1" x14ac:dyDescent="0.3">
      <c r="E942" s="9"/>
      <c r="F942" s="9"/>
      <c r="H942" s="9"/>
      <c r="M942" s="9"/>
      <c r="N942" s="9"/>
      <c r="O942" s="9"/>
      <c r="P942" s="9"/>
      <c r="Q942" s="9"/>
      <c r="R942" s="9"/>
      <c r="S942" s="9"/>
    </row>
    <row r="943" spans="5:19" ht="15.75" customHeight="1" x14ac:dyDescent="0.3">
      <c r="E943" s="9"/>
      <c r="F943" s="9"/>
      <c r="H943" s="9"/>
      <c r="M943" s="9"/>
      <c r="N943" s="9"/>
      <c r="O943" s="9"/>
      <c r="P943" s="9"/>
      <c r="Q943" s="9"/>
      <c r="R943" s="9"/>
      <c r="S943" s="9"/>
    </row>
    <row r="944" spans="5:19" ht="15.75" customHeight="1" x14ac:dyDescent="0.3">
      <c r="E944" s="9"/>
      <c r="F944" s="9"/>
      <c r="H944" s="9"/>
      <c r="M944" s="9"/>
      <c r="N944" s="9"/>
      <c r="O944" s="9"/>
      <c r="P944" s="9"/>
      <c r="Q944" s="9"/>
      <c r="R944" s="9"/>
      <c r="S944" s="9"/>
    </row>
    <row r="945" spans="5:19" ht="15.75" customHeight="1" x14ac:dyDescent="0.3">
      <c r="E945" s="9"/>
      <c r="F945" s="9"/>
      <c r="H945" s="9"/>
      <c r="M945" s="9"/>
      <c r="N945" s="9"/>
      <c r="O945" s="9"/>
      <c r="P945" s="9"/>
      <c r="Q945" s="9"/>
      <c r="R945" s="9"/>
      <c r="S945" s="9"/>
    </row>
    <row r="946" spans="5:19" ht="15.75" customHeight="1" x14ac:dyDescent="0.3">
      <c r="E946" s="9"/>
      <c r="F946" s="9"/>
      <c r="H946" s="9"/>
      <c r="M946" s="9"/>
      <c r="N946" s="9"/>
      <c r="O946" s="9"/>
      <c r="P946" s="9"/>
      <c r="Q946" s="9"/>
      <c r="R946" s="9"/>
      <c r="S946" s="9"/>
    </row>
    <row r="947" spans="5:19" ht="15.75" customHeight="1" x14ac:dyDescent="0.3">
      <c r="E947" s="9"/>
      <c r="F947" s="9"/>
      <c r="H947" s="9"/>
      <c r="M947" s="9"/>
      <c r="N947" s="9"/>
      <c r="O947" s="9"/>
      <c r="P947" s="9"/>
      <c r="Q947" s="9"/>
      <c r="R947" s="9"/>
      <c r="S947" s="9"/>
    </row>
    <row r="948" spans="5:19" ht="15.75" customHeight="1" x14ac:dyDescent="0.3">
      <c r="E948" s="9"/>
      <c r="F948" s="9"/>
      <c r="H948" s="9"/>
      <c r="M948" s="9"/>
      <c r="N948" s="9"/>
      <c r="O948" s="9"/>
      <c r="P948" s="9"/>
      <c r="Q948" s="9"/>
      <c r="R948" s="9"/>
      <c r="S948" s="9"/>
    </row>
    <row r="949" spans="5:19" ht="15.75" customHeight="1" x14ac:dyDescent="0.3">
      <c r="E949" s="9"/>
      <c r="F949" s="9"/>
      <c r="H949" s="9"/>
      <c r="M949" s="9"/>
      <c r="N949" s="9"/>
      <c r="O949" s="9"/>
      <c r="P949" s="9"/>
      <c r="Q949" s="9"/>
      <c r="R949" s="9"/>
      <c r="S949" s="9"/>
    </row>
    <row r="950" spans="5:19" ht="15.75" customHeight="1" x14ac:dyDescent="0.3">
      <c r="E950" s="9"/>
      <c r="F950" s="9"/>
      <c r="H950" s="9"/>
      <c r="M950" s="9"/>
      <c r="N950" s="9"/>
      <c r="O950" s="9"/>
      <c r="P950" s="9"/>
      <c r="Q950" s="9"/>
      <c r="R950" s="9"/>
      <c r="S950" s="9"/>
    </row>
    <row r="951" spans="5:19" ht="15.75" customHeight="1" x14ac:dyDescent="0.3">
      <c r="E951" s="9"/>
      <c r="F951" s="9"/>
      <c r="H951" s="9"/>
      <c r="M951" s="9"/>
      <c r="N951" s="9"/>
      <c r="O951" s="9"/>
      <c r="P951" s="9"/>
      <c r="Q951" s="9"/>
      <c r="R951" s="9"/>
      <c r="S951" s="9"/>
    </row>
    <row r="952" spans="5:19" ht="15.75" customHeight="1" x14ac:dyDescent="0.3">
      <c r="E952" s="9"/>
      <c r="F952" s="9"/>
      <c r="H952" s="9"/>
      <c r="M952" s="9"/>
      <c r="N952" s="9"/>
      <c r="O952" s="9"/>
      <c r="P952" s="9"/>
      <c r="Q952" s="9"/>
      <c r="R952" s="9"/>
      <c r="S952" s="9"/>
    </row>
    <row r="953" spans="5:19" ht="15.75" customHeight="1" x14ac:dyDescent="0.3">
      <c r="E953" s="9"/>
      <c r="F953" s="9"/>
      <c r="H953" s="9"/>
      <c r="M953" s="9"/>
      <c r="N953" s="9"/>
      <c r="O953" s="9"/>
      <c r="P953" s="9"/>
      <c r="Q953" s="9"/>
      <c r="R953" s="9"/>
      <c r="S953" s="9"/>
    </row>
    <row r="954" spans="5:19" ht="15.75" customHeight="1" x14ac:dyDescent="0.3">
      <c r="E954" s="9"/>
      <c r="F954" s="9"/>
      <c r="H954" s="9"/>
      <c r="M954" s="9"/>
      <c r="N954" s="9"/>
      <c r="O954" s="9"/>
      <c r="P954" s="9"/>
      <c r="Q954" s="9"/>
      <c r="R954" s="9"/>
      <c r="S954" s="9"/>
    </row>
    <row r="955" spans="5:19" ht="15.75" customHeight="1" x14ac:dyDescent="0.3">
      <c r="E955" s="9"/>
      <c r="F955" s="9"/>
      <c r="H955" s="9"/>
      <c r="M955" s="9"/>
      <c r="N955" s="9"/>
      <c r="O955" s="9"/>
      <c r="P955" s="9"/>
      <c r="Q955" s="9"/>
      <c r="R955" s="9"/>
      <c r="S955" s="9"/>
    </row>
    <row r="956" spans="5:19" ht="15.75" customHeight="1" x14ac:dyDescent="0.3">
      <c r="E956" s="9"/>
      <c r="F956" s="9"/>
      <c r="H956" s="9"/>
      <c r="M956" s="9"/>
      <c r="N956" s="9"/>
      <c r="O956" s="9"/>
      <c r="P956" s="9"/>
      <c r="Q956" s="9"/>
      <c r="R956" s="9"/>
      <c r="S956" s="9"/>
    </row>
    <row r="957" spans="5:19" ht="15.75" customHeight="1" x14ac:dyDescent="0.3">
      <c r="E957" s="9"/>
      <c r="F957" s="9"/>
      <c r="H957" s="9"/>
      <c r="M957" s="9"/>
      <c r="N957" s="9"/>
      <c r="O957" s="9"/>
      <c r="P957" s="9"/>
      <c r="Q957" s="9"/>
      <c r="R957" s="9"/>
      <c r="S957" s="9"/>
    </row>
    <row r="958" spans="5:19" ht="15.75" customHeight="1" x14ac:dyDescent="0.3">
      <c r="E958" s="9"/>
      <c r="F958" s="9"/>
      <c r="H958" s="9"/>
      <c r="M958" s="9"/>
      <c r="N958" s="9"/>
      <c r="O958" s="9"/>
      <c r="P958" s="9"/>
      <c r="Q958" s="9"/>
      <c r="R958" s="9"/>
      <c r="S958" s="9"/>
    </row>
    <row r="959" spans="5:19" ht="15.75" customHeight="1" x14ac:dyDescent="0.3">
      <c r="E959" s="9"/>
      <c r="F959" s="9"/>
      <c r="H959" s="9"/>
      <c r="M959" s="9"/>
      <c r="N959" s="9"/>
      <c r="O959" s="9"/>
      <c r="P959" s="9"/>
      <c r="Q959" s="9"/>
      <c r="R959" s="9"/>
      <c r="S959" s="9"/>
    </row>
    <row r="960" spans="5:19" ht="15.75" customHeight="1" x14ac:dyDescent="0.3">
      <c r="E960" s="9"/>
      <c r="F960" s="9"/>
      <c r="H960" s="9"/>
      <c r="M960" s="9"/>
      <c r="N960" s="9"/>
      <c r="O960" s="9"/>
      <c r="P960" s="9"/>
      <c r="Q960" s="9"/>
      <c r="R960" s="9"/>
      <c r="S960" s="9"/>
    </row>
    <row r="961" spans="5:19" ht="15.75" customHeight="1" x14ac:dyDescent="0.3">
      <c r="E961" s="9"/>
      <c r="F961" s="9"/>
      <c r="H961" s="9"/>
      <c r="M961" s="9"/>
      <c r="N961" s="9"/>
      <c r="O961" s="9"/>
      <c r="P961" s="9"/>
      <c r="Q961" s="9"/>
      <c r="R961" s="9"/>
      <c r="S961" s="9"/>
    </row>
    <row r="962" spans="5:19" ht="15.75" customHeight="1" x14ac:dyDescent="0.3">
      <c r="E962" s="9"/>
      <c r="F962" s="9"/>
      <c r="H962" s="9"/>
      <c r="M962" s="9"/>
      <c r="N962" s="9"/>
      <c r="O962" s="9"/>
      <c r="P962" s="9"/>
      <c r="Q962" s="9"/>
      <c r="R962" s="9"/>
      <c r="S962" s="9"/>
    </row>
    <row r="963" spans="5:19" ht="15.75" customHeight="1" x14ac:dyDescent="0.3">
      <c r="E963" s="9"/>
      <c r="F963" s="9"/>
      <c r="H963" s="9"/>
      <c r="M963" s="9"/>
      <c r="N963" s="9"/>
      <c r="O963" s="9"/>
      <c r="P963" s="9"/>
      <c r="Q963" s="9"/>
      <c r="R963" s="9"/>
      <c r="S963" s="9"/>
    </row>
    <row r="964" spans="5:19" ht="15.75" customHeight="1" x14ac:dyDescent="0.3">
      <c r="E964" s="9"/>
      <c r="F964" s="9"/>
      <c r="H964" s="9"/>
      <c r="M964" s="9"/>
      <c r="N964" s="9"/>
      <c r="O964" s="9"/>
      <c r="P964" s="9"/>
      <c r="Q964" s="9"/>
      <c r="R964" s="9"/>
      <c r="S964" s="9"/>
    </row>
    <row r="965" spans="5:19" ht="15.75" customHeight="1" x14ac:dyDescent="0.3">
      <c r="E965" s="9"/>
      <c r="F965" s="9"/>
      <c r="H965" s="9"/>
      <c r="M965" s="9"/>
      <c r="N965" s="9"/>
      <c r="O965" s="9"/>
      <c r="P965" s="9"/>
      <c r="Q965" s="9"/>
      <c r="R965" s="9"/>
      <c r="S965" s="9"/>
    </row>
    <row r="966" spans="5:19" ht="15.75" customHeight="1" x14ac:dyDescent="0.3">
      <c r="E966" s="9"/>
      <c r="F966" s="9"/>
      <c r="H966" s="9"/>
      <c r="M966" s="9"/>
      <c r="N966" s="9"/>
      <c r="O966" s="9"/>
      <c r="P966" s="9"/>
      <c r="Q966" s="9"/>
      <c r="R966" s="9"/>
      <c r="S966" s="9"/>
    </row>
    <row r="967" spans="5:19" ht="15.75" customHeight="1" x14ac:dyDescent="0.3">
      <c r="E967" s="9"/>
      <c r="F967" s="9"/>
      <c r="H967" s="9"/>
      <c r="M967" s="9"/>
      <c r="N967" s="9"/>
      <c r="O967" s="9"/>
      <c r="P967" s="9"/>
      <c r="Q967" s="9"/>
      <c r="R967" s="9"/>
      <c r="S967" s="9"/>
    </row>
    <row r="968" spans="5:19" ht="15.75" customHeight="1" x14ac:dyDescent="0.3">
      <c r="E968" s="9"/>
      <c r="F968" s="9"/>
      <c r="H968" s="9"/>
      <c r="M968" s="9"/>
      <c r="N968" s="9"/>
      <c r="O968" s="9"/>
      <c r="P968" s="9"/>
      <c r="Q968" s="9"/>
      <c r="R968" s="9"/>
      <c r="S968" s="9"/>
    </row>
    <row r="969" spans="5:19" ht="15.75" customHeight="1" x14ac:dyDescent="0.3">
      <c r="E969" s="9"/>
      <c r="F969" s="9"/>
      <c r="H969" s="9"/>
      <c r="M969" s="9"/>
      <c r="N969" s="9"/>
      <c r="O969" s="9"/>
      <c r="P969" s="9"/>
      <c r="Q969" s="9"/>
      <c r="R969" s="9"/>
      <c r="S969" s="9"/>
    </row>
    <row r="970" spans="5:19" ht="15.75" customHeight="1" x14ac:dyDescent="0.3">
      <c r="E970" s="9"/>
      <c r="F970" s="9"/>
      <c r="H970" s="9"/>
      <c r="M970" s="9"/>
      <c r="N970" s="9"/>
      <c r="O970" s="9"/>
      <c r="P970" s="9"/>
      <c r="Q970" s="9"/>
      <c r="R970" s="9"/>
      <c r="S970" s="9"/>
    </row>
    <row r="971" spans="5:19" ht="15.75" customHeight="1" x14ac:dyDescent="0.3">
      <c r="E971" s="9"/>
      <c r="F971" s="9"/>
      <c r="H971" s="9"/>
      <c r="M971" s="9"/>
      <c r="N971" s="9"/>
      <c r="O971" s="9"/>
      <c r="P971" s="9"/>
      <c r="Q971" s="9"/>
      <c r="R971" s="9"/>
      <c r="S971" s="9"/>
    </row>
    <row r="972" spans="5:19" ht="15.75" customHeight="1" x14ac:dyDescent="0.3">
      <c r="E972" s="9"/>
      <c r="F972" s="9"/>
      <c r="H972" s="9"/>
      <c r="M972" s="9"/>
      <c r="N972" s="9"/>
      <c r="O972" s="9"/>
      <c r="P972" s="9"/>
      <c r="Q972" s="9"/>
      <c r="R972" s="9"/>
      <c r="S972" s="9"/>
    </row>
    <row r="973" spans="5:19" ht="15.75" customHeight="1" x14ac:dyDescent="0.3">
      <c r="E973" s="9"/>
      <c r="F973" s="9"/>
      <c r="H973" s="9"/>
      <c r="M973" s="9"/>
      <c r="N973" s="9"/>
      <c r="O973" s="9"/>
      <c r="P973" s="9"/>
      <c r="Q973" s="9"/>
      <c r="R973" s="9"/>
      <c r="S973" s="9"/>
    </row>
    <row r="974" spans="5:19" ht="15.75" customHeight="1" x14ac:dyDescent="0.3">
      <c r="E974" s="9"/>
      <c r="F974" s="9"/>
      <c r="H974" s="9"/>
      <c r="M974" s="9"/>
      <c r="N974" s="9"/>
      <c r="O974" s="9"/>
      <c r="P974" s="9"/>
      <c r="Q974" s="9"/>
      <c r="R974" s="9"/>
      <c r="S974" s="9"/>
    </row>
    <row r="975" spans="5:19" ht="15.75" customHeight="1" x14ac:dyDescent="0.3">
      <c r="E975" s="9"/>
      <c r="F975" s="9"/>
      <c r="H975" s="9"/>
      <c r="M975" s="9"/>
      <c r="N975" s="9"/>
      <c r="O975" s="9"/>
      <c r="P975" s="9"/>
      <c r="Q975" s="9"/>
      <c r="R975" s="9"/>
      <c r="S975" s="9"/>
    </row>
    <row r="976" spans="5:19" ht="15.75" customHeight="1" x14ac:dyDescent="0.3">
      <c r="E976" s="9"/>
      <c r="F976" s="9"/>
      <c r="H976" s="9"/>
      <c r="M976" s="9"/>
      <c r="N976" s="9"/>
      <c r="O976" s="9"/>
      <c r="P976" s="9"/>
      <c r="Q976" s="9"/>
      <c r="R976" s="9"/>
      <c r="S976" s="9"/>
    </row>
    <row r="977" spans="5:19" ht="15.75" customHeight="1" x14ac:dyDescent="0.3">
      <c r="E977" s="9"/>
      <c r="F977" s="9"/>
      <c r="H977" s="9"/>
      <c r="M977" s="9"/>
      <c r="N977" s="9"/>
      <c r="O977" s="9"/>
      <c r="P977" s="9"/>
      <c r="Q977" s="9"/>
      <c r="R977" s="9"/>
      <c r="S977" s="9"/>
    </row>
    <row r="978" spans="5:19" ht="15.75" customHeight="1" x14ac:dyDescent="0.3">
      <c r="E978" s="9"/>
      <c r="F978" s="9"/>
      <c r="H978" s="9"/>
      <c r="M978" s="9"/>
      <c r="N978" s="9"/>
      <c r="O978" s="9"/>
      <c r="P978" s="9"/>
      <c r="Q978" s="9"/>
      <c r="R978" s="9"/>
      <c r="S978" s="9"/>
    </row>
    <row r="979" spans="5:19" ht="15.75" customHeight="1" x14ac:dyDescent="0.3">
      <c r="E979" s="9"/>
      <c r="F979" s="9"/>
      <c r="H979" s="9"/>
      <c r="M979" s="9"/>
      <c r="N979" s="9"/>
      <c r="O979" s="9"/>
      <c r="P979" s="9"/>
      <c r="Q979" s="9"/>
      <c r="R979" s="9"/>
      <c r="S979" s="9"/>
    </row>
    <row r="980" spans="5:19" ht="15.75" customHeight="1" x14ac:dyDescent="0.3">
      <c r="E980" s="9"/>
      <c r="F980" s="9"/>
      <c r="H980" s="9"/>
      <c r="M980" s="9"/>
      <c r="N980" s="9"/>
      <c r="O980" s="9"/>
      <c r="P980" s="9"/>
      <c r="Q980" s="9"/>
      <c r="R980" s="9"/>
      <c r="S980" s="9"/>
    </row>
    <row r="981" spans="5:19" ht="15.75" customHeight="1" x14ac:dyDescent="0.3">
      <c r="E981" s="9"/>
      <c r="F981" s="9"/>
      <c r="H981" s="9"/>
      <c r="M981" s="9"/>
      <c r="N981" s="9"/>
      <c r="O981" s="9"/>
      <c r="P981" s="9"/>
      <c r="Q981" s="9"/>
      <c r="R981" s="9"/>
      <c r="S981" s="9"/>
    </row>
    <row r="982" spans="5:19" ht="15.75" customHeight="1" x14ac:dyDescent="0.3">
      <c r="E982" s="9"/>
      <c r="F982" s="9"/>
      <c r="H982" s="9"/>
      <c r="M982" s="9"/>
      <c r="N982" s="9"/>
      <c r="O982" s="9"/>
      <c r="P982" s="9"/>
      <c r="Q982" s="9"/>
      <c r="R982" s="9"/>
      <c r="S982" s="9"/>
    </row>
    <row r="983" spans="5:19" ht="15.75" customHeight="1" x14ac:dyDescent="0.3">
      <c r="E983" s="9"/>
      <c r="F983" s="9"/>
      <c r="H983" s="9"/>
      <c r="M983" s="9"/>
      <c r="N983" s="9"/>
      <c r="O983" s="9"/>
      <c r="P983" s="9"/>
      <c r="Q983" s="9"/>
      <c r="R983" s="9"/>
      <c r="S983" s="9"/>
    </row>
    <row r="984" spans="5:19" ht="15.75" customHeight="1" x14ac:dyDescent="0.3">
      <c r="E984" s="9"/>
      <c r="F984" s="9"/>
      <c r="H984" s="9"/>
      <c r="M984" s="9"/>
      <c r="N984" s="9"/>
      <c r="O984" s="9"/>
      <c r="P984" s="9"/>
      <c r="Q984" s="9"/>
      <c r="R984" s="9"/>
      <c r="S984" s="9"/>
    </row>
    <row r="985" spans="5:19" ht="15.75" customHeight="1" x14ac:dyDescent="0.3">
      <c r="E985" s="9"/>
      <c r="F985" s="9"/>
      <c r="H985" s="9"/>
      <c r="M985" s="9"/>
      <c r="N985" s="9"/>
      <c r="O985" s="9"/>
      <c r="P985" s="9"/>
      <c r="Q985" s="9"/>
      <c r="R985" s="9"/>
      <c r="S985" s="9"/>
    </row>
    <row r="986" spans="5:19" ht="15.75" customHeight="1" x14ac:dyDescent="0.3">
      <c r="E986" s="9"/>
      <c r="F986" s="9"/>
      <c r="H986" s="9"/>
      <c r="M986" s="9"/>
      <c r="N986" s="9"/>
      <c r="O986" s="9"/>
      <c r="P986" s="9"/>
      <c r="Q986" s="9"/>
      <c r="R986" s="9"/>
      <c r="S986" s="9"/>
    </row>
    <row r="987" spans="5:19" ht="15.75" customHeight="1" x14ac:dyDescent="0.3">
      <c r="E987" s="9"/>
      <c r="F987" s="9"/>
      <c r="H987" s="9"/>
      <c r="M987" s="9"/>
      <c r="N987" s="9"/>
      <c r="O987" s="9"/>
      <c r="P987" s="9"/>
      <c r="Q987" s="9"/>
      <c r="R987" s="9"/>
      <c r="S987" s="9"/>
    </row>
    <row r="988" spans="5:19" ht="15.75" customHeight="1" x14ac:dyDescent="0.3">
      <c r="E988" s="9"/>
      <c r="F988" s="9"/>
      <c r="H988" s="9"/>
      <c r="M988" s="9"/>
      <c r="N988" s="9"/>
      <c r="O988" s="9"/>
      <c r="P988" s="9"/>
      <c r="Q988" s="9"/>
      <c r="R988" s="9"/>
      <c r="S988" s="9"/>
    </row>
    <row r="989" spans="5:19" ht="15.75" customHeight="1" x14ac:dyDescent="0.3">
      <c r="E989" s="9"/>
      <c r="F989" s="9"/>
      <c r="H989" s="9"/>
      <c r="M989" s="9"/>
      <c r="N989" s="9"/>
      <c r="O989" s="9"/>
      <c r="P989" s="9"/>
      <c r="Q989" s="9"/>
      <c r="R989" s="9"/>
      <c r="S989" s="9"/>
    </row>
    <row r="990" spans="5:19" ht="15.75" customHeight="1" x14ac:dyDescent="0.3">
      <c r="E990" s="9"/>
      <c r="F990" s="9"/>
      <c r="H990" s="9"/>
      <c r="M990" s="9"/>
      <c r="N990" s="9"/>
      <c r="O990" s="9"/>
      <c r="P990" s="9"/>
      <c r="Q990" s="9"/>
      <c r="R990" s="9"/>
      <c r="S990" s="9"/>
    </row>
    <row r="991" spans="5:19" ht="15.75" customHeight="1" x14ac:dyDescent="0.3">
      <c r="E991" s="9"/>
      <c r="F991" s="9"/>
      <c r="H991" s="9"/>
      <c r="M991" s="9"/>
      <c r="N991" s="9"/>
      <c r="O991" s="9"/>
      <c r="P991" s="9"/>
      <c r="Q991" s="9"/>
      <c r="R991" s="9"/>
      <c r="S991" s="9"/>
    </row>
    <row r="992" spans="5:19" ht="15.75" customHeight="1" x14ac:dyDescent="0.3">
      <c r="E992" s="9"/>
      <c r="F992" s="9"/>
      <c r="H992" s="9"/>
      <c r="M992" s="9"/>
      <c r="N992" s="9"/>
      <c r="O992" s="9"/>
      <c r="P992" s="9"/>
      <c r="Q992" s="9"/>
      <c r="R992" s="9"/>
      <c r="S992" s="9"/>
    </row>
    <row r="993" spans="5:19" ht="15.75" customHeight="1" x14ac:dyDescent="0.3">
      <c r="E993" s="9"/>
      <c r="F993" s="9"/>
      <c r="H993" s="9"/>
      <c r="M993" s="9"/>
      <c r="N993" s="9"/>
      <c r="O993" s="9"/>
      <c r="P993" s="9"/>
      <c r="Q993" s="9"/>
      <c r="R993" s="9"/>
      <c r="S993" s="9"/>
    </row>
    <row r="994" spans="5:19" ht="15.75" customHeight="1" x14ac:dyDescent="0.3">
      <c r="E994" s="9"/>
      <c r="F994" s="9"/>
      <c r="H994" s="9"/>
      <c r="M994" s="9"/>
      <c r="N994" s="9"/>
      <c r="O994" s="9"/>
      <c r="P994" s="9"/>
      <c r="Q994" s="9"/>
      <c r="R994" s="9"/>
      <c r="S994" s="9"/>
    </row>
    <row r="995" spans="5:19" ht="15.75" customHeight="1" x14ac:dyDescent="0.3">
      <c r="E995" s="9"/>
      <c r="F995" s="9"/>
      <c r="H995" s="9"/>
      <c r="M995" s="9"/>
      <c r="N995" s="9"/>
      <c r="O995" s="9"/>
      <c r="P995" s="9"/>
      <c r="Q995" s="9"/>
      <c r="R995" s="9"/>
      <c r="S995" s="9"/>
    </row>
    <row r="996" spans="5:19" ht="15.75" customHeight="1" x14ac:dyDescent="0.3">
      <c r="E996" s="9"/>
      <c r="F996" s="9"/>
      <c r="H996" s="9"/>
      <c r="M996" s="9"/>
      <c r="N996" s="9"/>
      <c r="O996" s="9"/>
      <c r="P996" s="9"/>
      <c r="Q996" s="9"/>
      <c r="R996" s="9"/>
      <c r="S996" s="9"/>
    </row>
    <row r="997" spans="5:19" ht="15.75" customHeight="1" x14ac:dyDescent="0.3">
      <c r="E997" s="9"/>
      <c r="F997" s="9"/>
      <c r="H997" s="9"/>
      <c r="M997" s="9"/>
      <c r="N997" s="9"/>
      <c r="O997" s="9"/>
      <c r="P997" s="9"/>
      <c r="Q997" s="9"/>
      <c r="R997" s="9"/>
      <c r="S997" s="9"/>
    </row>
    <row r="998" spans="5:19" ht="15.75" customHeight="1" x14ac:dyDescent="0.3">
      <c r="E998" s="9"/>
      <c r="F998" s="9"/>
      <c r="H998" s="9"/>
      <c r="M998" s="9"/>
      <c r="N998" s="9"/>
      <c r="O998" s="9"/>
      <c r="P998" s="9"/>
      <c r="Q998" s="9"/>
      <c r="R998" s="9"/>
      <c r="S998" s="9"/>
    </row>
    <row r="999" spans="5:19" ht="15.75" customHeight="1" x14ac:dyDescent="0.3">
      <c r="E999" s="9"/>
      <c r="F999" s="9"/>
      <c r="H999" s="9"/>
      <c r="M999" s="9"/>
      <c r="N999" s="9"/>
      <c r="O999" s="9"/>
      <c r="P999" s="9"/>
      <c r="Q999" s="9"/>
      <c r="R999" s="9"/>
      <c r="S999" s="9"/>
    </row>
    <row r="1000" spans="5:19" ht="15.75" customHeight="1" x14ac:dyDescent="0.3">
      <c r="E1000" s="9"/>
      <c r="F1000" s="9"/>
      <c r="H1000" s="9"/>
      <c r="M1000" s="9"/>
      <c r="N1000" s="9"/>
      <c r="O1000" s="9"/>
      <c r="P1000" s="9"/>
      <c r="Q1000" s="9"/>
      <c r="R1000" s="9"/>
      <c r="S1000" s="9"/>
    </row>
  </sheetData>
  <autoFilter ref="A1:T116" xr:uid="{00000000-0009-0000-0000-000005000000}"/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.6640625" customWidth="1"/>
    <col min="2" max="2" width="54.33203125" customWidth="1"/>
    <col min="3" max="3" width="10.44140625" customWidth="1"/>
    <col min="4" max="4" width="12" customWidth="1"/>
    <col min="5" max="5" width="17.109375" customWidth="1"/>
    <col min="6" max="6" width="13.109375" customWidth="1"/>
    <col min="7" max="7" width="13.44140625" customWidth="1"/>
    <col min="8" max="8" width="14.88671875" customWidth="1"/>
    <col min="9" max="9" width="19.109375" customWidth="1"/>
    <col min="10" max="10" width="47" customWidth="1"/>
    <col min="11" max="12" width="10.44140625" customWidth="1"/>
    <col min="13" max="26" width="8.88671875" customWidth="1"/>
  </cols>
  <sheetData>
    <row r="1" spans="1:26" ht="14.4" x14ac:dyDescent="0.3">
      <c r="A1" s="3" t="s">
        <v>1325</v>
      </c>
      <c r="B1" s="3" t="s">
        <v>1</v>
      </c>
      <c r="C1" s="3" t="s">
        <v>3</v>
      </c>
      <c r="D1" s="3" t="s">
        <v>1326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1327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10">
        <v>44201</v>
      </c>
      <c r="B2" s="2" t="s">
        <v>1328</v>
      </c>
      <c r="C2" s="2" t="s">
        <v>1329</v>
      </c>
      <c r="D2" s="10">
        <v>44201</v>
      </c>
      <c r="E2" s="9">
        <v>65000</v>
      </c>
      <c r="F2" s="10">
        <v>44201</v>
      </c>
      <c r="G2" s="10">
        <v>44294</v>
      </c>
      <c r="H2" s="9">
        <v>65000</v>
      </c>
      <c r="I2" s="9">
        <f t="shared" ref="I2:I98" si="0">E2-H2</f>
        <v>0</v>
      </c>
      <c r="J2" s="2" t="s">
        <v>1330</v>
      </c>
      <c r="K2" s="2" t="s">
        <v>1331</v>
      </c>
      <c r="L2" s="2" t="s">
        <v>13</v>
      </c>
    </row>
    <row r="3" spans="1:26" ht="14.4" x14ac:dyDescent="0.3">
      <c r="A3" s="10">
        <v>44201</v>
      </c>
      <c r="B3" s="2" t="s">
        <v>1332</v>
      </c>
      <c r="C3" s="2" t="s">
        <v>1333</v>
      </c>
      <c r="D3" s="10">
        <v>44201</v>
      </c>
      <c r="E3" s="9">
        <v>28000</v>
      </c>
      <c r="F3" s="10">
        <v>44201</v>
      </c>
      <c r="G3" s="10">
        <v>44209</v>
      </c>
      <c r="H3" s="9">
        <v>28000</v>
      </c>
      <c r="I3" s="9">
        <f t="shared" si="0"/>
        <v>0</v>
      </c>
      <c r="J3" s="2" t="s">
        <v>1334</v>
      </c>
      <c r="K3" s="2" t="s">
        <v>27</v>
      </c>
    </row>
    <row r="4" spans="1:26" ht="14.4" x14ac:dyDescent="0.3">
      <c r="A4" s="10">
        <v>44201</v>
      </c>
      <c r="B4" s="2" t="s">
        <v>1335</v>
      </c>
      <c r="C4" s="2" t="s">
        <v>1336</v>
      </c>
      <c r="D4" s="10">
        <v>44201</v>
      </c>
      <c r="E4" s="9">
        <v>172500</v>
      </c>
      <c r="F4" s="10">
        <v>44201</v>
      </c>
      <c r="G4" s="10">
        <v>44218</v>
      </c>
      <c r="H4" s="9">
        <v>172500</v>
      </c>
      <c r="I4" s="9">
        <f t="shared" si="0"/>
        <v>0</v>
      </c>
      <c r="J4" s="2" t="s">
        <v>1337</v>
      </c>
      <c r="K4" s="2" t="s">
        <v>27</v>
      </c>
    </row>
    <row r="5" spans="1:26" ht="14.4" x14ac:dyDescent="0.3">
      <c r="A5" s="10">
        <v>44228</v>
      </c>
      <c r="B5" s="2" t="s">
        <v>1338</v>
      </c>
      <c r="C5" s="2" t="s">
        <v>1339</v>
      </c>
      <c r="D5" s="10">
        <v>44228</v>
      </c>
      <c r="E5" s="9">
        <v>65000</v>
      </c>
      <c r="F5" s="10">
        <v>44256</v>
      </c>
      <c r="G5" s="10">
        <v>44294</v>
      </c>
      <c r="H5" s="9">
        <v>65000</v>
      </c>
      <c r="I5" s="9">
        <f t="shared" si="0"/>
        <v>0</v>
      </c>
      <c r="J5" s="2" t="s">
        <v>1330</v>
      </c>
      <c r="K5" s="2" t="s">
        <v>1331</v>
      </c>
      <c r="L5" s="2" t="s">
        <v>13</v>
      </c>
    </row>
    <row r="6" spans="1:26" ht="14.4" x14ac:dyDescent="0.3">
      <c r="A6" s="10">
        <v>44228</v>
      </c>
      <c r="B6" s="2" t="s">
        <v>1340</v>
      </c>
      <c r="C6" s="2" t="s">
        <v>1341</v>
      </c>
      <c r="D6" s="10">
        <v>44228</v>
      </c>
      <c r="E6" s="9">
        <v>28000</v>
      </c>
      <c r="F6" s="10">
        <v>44229</v>
      </c>
      <c r="G6" s="10">
        <v>44235</v>
      </c>
      <c r="H6" s="9">
        <v>28000</v>
      </c>
      <c r="I6" s="9">
        <f t="shared" si="0"/>
        <v>0</v>
      </c>
      <c r="J6" s="2" t="s">
        <v>1342</v>
      </c>
      <c r="K6" s="2" t="s">
        <v>27</v>
      </c>
    </row>
    <row r="7" spans="1:26" ht="14.4" x14ac:dyDescent="0.3">
      <c r="A7" s="10">
        <v>44228</v>
      </c>
      <c r="B7" s="2" t="s">
        <v>1343</v>
      </c>
      <c r="C7" s="2" t="s">
        <v>1344</v>
      </c>
      <c r="D7" s="10">
        <v>44228</v>
      </c>
      <c r="E7" s="9">
        <v>172500</v>
      </c>
      <c r="F7" s="10">
        <v>44229</v>
      </c>
      <c r="G7" s="10">
        <v>44246</v>
      </c>
      <c r="H7" s="9">
        <v>172500</v>
      </c>
      <c r="I7" s="9">
        <f t="shared" si="0"/>
        <v>0</v>
      </c>
      <c r="J7" s="2" t="s">
        <v>1345</v>
      </c>
      <c r="K7" s="2" t="s">
        <v>27</v>
      </c>
    </row>
    <row r="8" spans="1:26" ht="14.4" x14ac:dyDescent="0.3">
      <c r="A8" s="10">
        <v>44235</v>
      </c>
      <c r="B8" s="2" t="s">
        <v>1346</v>
      </c>
      <c r="C8" s="2" t="s">
        <v>1347</v>
      </c>
      <c r="D8" s="10">
        <v>44235</v>
      </c>
      <c r="E8" s="9">
        <v>25000</v>
      </c>
      <c r="F8" s="10">
        <v>44235</v>
      </c>
      <c r="G8" s="10">
        <v>44235</v>
      </c>
      <c r="H8" s="9">
        <v>25000</v>
      </c>
      <c r="I8" s="9">
        <f t="shared" si="0"/>
        <v>0</v>
      </c>
      <c r="J8" s="2" t="s">
        <v>1348</v>
      </c>
      <c r="K8" s="2" t="s">
        <v>1331</v>
      </c>
      <c r="L8" s="2" t="s">
        <v>16</v>
      </c>
    </row>
    <row r="9" spans="1:26" ht="14.4" x14ac:dyDescent="0.3">
      <c r="A9" s="10">
        <v>44237</v>
      </c>
      <c r="B9" s="2" t="s">
        <v>1349</v>
      </c>
      <c r="C9" s="43" t="s">
        <v>1350</v>
      </c>
      <c r="D9" s="10">
        <v>44237</v>
      </c>
      <c r="E9" s="9">
        <v>40000</v>
      </c>
      <c r="F9" s="10">
        <v>44238</v>
      </c>
      <c r="G9" s="10">
        <v>44237</v>
      </c>
      <c r="H9" s="9">
        <v>40000</v>
      </c>
      <c r="I9" s="9">
        <f t="shared" si="0"/>
        <v>0</v>
      </c>
      <c r="J9" s="2" t="s">
        <v>1351</v>
      </c>
      <c r="K9" s="2" t="s">
        <v>1331</v>
      </c>
      <c r="L9" s="2" t="s">
        <v>16</v>
      </c>
    </row>
    <row r="10" spans="1:26" ht="14.4" x14ac:dyDescent="0.3">
      <c r="A10" s="10">
        <v>44239</v>
      </c>
      <c r="B10" s="2" t="s">
        <v>1352</v>
      </c>
      <c r="C10" s="43" t="s">
        <v>1353</v>
      </c>
      <c r="D10" s="10">
        <v>44239</v>
      </c>
      <c r="E10" s="9">
        <v>50000</v>
      </c>
      <c r="F10" s="10">
        <v>44239</v>
      </c>
      <c r="G10" s="10">
        <v>44239</v>
      </c>
      <c r="H10" s="9">
        <v>50000</v>
      </c>
      <c r="I10" s="9">
        <f t="shared" si="0"/>
        <v>0</v>
      </c>
      <c r="J10" s="2" t="s">
        <v>1354</v>
      </c>
      <c r="K10" s="2" t="s">
        <v>1331</v>
      </c>
      <c r="L10" s="2" t="s">
        <v>14</v>
      </c>
    </row>
    <row r="11" spans="1:26" ht="14.4" x14ac:dyDescent="0.3">
      <c r="A11" s="10">
        <v>44244</v>
      </c>
      <c r="B11" s="2" t="s">
        <v>1355</v>
      </c>
      <c r="C11" s="43" t="s">
        <v>1356</v>
      </c>
      <c r="D11" s="10">
        <v>44244</v>
      </c>
      <c r="E11" s="9">
        <v>375000</v>
      </c>
      <c r="F11" s="10">
        <v>44244</v>
      </c>
      <c r="G11" s="10">
        <v>44244</v>
      </c>
      <c r="H11" s="9">
        <v>375000</v>
      </c>
      <c r="I11" s="9">
        <f t="shared" si="0"/>
        <v>0</v>
      </c>
      <c r="J11" s="2" t="s">
        <v>1357</v>
      </c>
      <c r="K11" s="2" t="s">
        <v>1331</v>
      </c>
      <c r="L11" s="2" t="s">
        <v>14</v>
      </c>
    </row>
    <row r="12" spans="1:26" ht="14.4" x14ac:dyDescent="0.3">
      <c r="A12" s="10">
        <v>44246</v>
      </c>
      <c r="B12" s="2" t="s">
        <v>1358</v>
      </c>
      <c r="C12" s="43" t="s">
        <v>1359</v>
      </c>
      <c r="D12" s="10">
        <v>44246</v>
      </c>
      <c r="E12" s="9">
        <v>40000</v>
      </c>
      <c r="F12" s="10">
        <v>44246</v>
      </c>
      <c r="G12" s="10">
        <v>44246</v>
      </c>
      <c r="H12" s="9">
        <f>30000+10000</f>
        <v>40000</v>
      </c>
      <c r="I12" s="9">
        <f t="shared" si="0"/>
        <v>0</v>
      </c>
      <c r="J12" s="2" t="s">
        <v>1360</v>
      </c>
      <c r="K12" s="2" t="s">
        <v>1331</v>
      </c>
      <c r="L12" s="2" t="s">
        <v>16</v>
      </c>
    </row>
    <row r="13" spans="1:26" ht="14.4" x14ac:dyDescent="0.3">
      <c r="A13" s="10">
        <v>44255</v>
      </c>
      <c r="B13" s="2" t="s">
        <v>1361</v>
      </c>
      <c r="C13" s="43" t="s">
        <v>1362</v>
      </c>
      <c r="D13" s="10">
        <v>44255</v>
      </c>
      <c r="E13" s="9">
        <v>20620</v>
      </c>
      <c r="F13" s="10">
        <v>44255</v>
      </c>
      <c r="G13" s="10">
        <v>44230</v>
      </c>
      <c r="H13" s="9">
        <v>20620</v>
      </c>
      <c r="I13" s="9">
        <f t="shared" si="0"/>
        <v>0</v>
      </c>
      <c r="J13" s="2" t="s">
        <v>1361</v>
      </c>
      <c r="K13" s="2" t="s">
        <v>1331</v>
      </c>
      <c r="L13" s="2" t="s">
        <v>13</v>
      </c>
    </row>
    <row r="14" spans="1:26" ht="14.4" x14ac:dyDescent="0.3">
      <c r="A14" s="10">
        <v>44256</v>
      </c>
      <c r="B14" s="2" t="s">
        <v>1363</v>
      </c>
      <c r="C14" s="43" t="s">
        <v>1364</v>
      </c>
      <c r="D14" s="10">
        <v>44256</v>
      </c>
      <c r="E14" s="9">
        <v>65000</v>
      </c>
      <c r="F14" s="10">
        <v>44256</v>
      </c>
      <c r="G14" s="10">
        <v>44294</v>
      </c>
      <c r="H14" s="9">
        <v>65000</v>
      </c>
      <c r="I14" s="9">
        <f t="shared" si="0"/>
        <v>0</v>
      </c>
      <c r="J14" s="2" t="s">
        <v>1330</v>
      </c>
      <c r="K14" s="2" t="s">
        <v>1331</v>
      </c>
      <c r="L14" s="2" t="s">
        <v>13</v>
      </c>
    </row>
    <row r="15" spans="1:26" ht="14.4" x14ac:dyDescent="0.3">
      <c r="A15" s="10">
        <v>44256</v>
      </c>
      <c r="B15" s="2" t="s">
        <v>1365</v>
      </c>
      <c r="C15" s="43" t="s">
        <v>1366</v>
      </c>
      <c r="D15" s="10">
        <v>44256</v>
      </c>
      <c r="E15" s="9">
        <v>28000</v>
      </c>
      <c r="F15" s="10">
        <v>44256</v>
      </c>
      <c r="G15" s="10">
        <v>44260</v>
      </c>
      <c r="H15" s="9">
        <v>28000</v>
      </c>
      <c r="I15" s="9">
        <f t="shared" si="0"/>
        <v>0</v>
      </c>
      <c r="J15" s="2" t="s">
        <v>1367</v>
      </c>
      <c r="K15" s="2" t="s">
        <v>27</v>
      </c>
    </row>
    <row r="16" spans="1:26" ht="14.4" x14ac:dyDescent="0.3">
      <c r="A16" s="10">
        <v>44256</v>
      </c>
      <c r="B16" s="2" t="s">
        <v>1343</v>
      </c>
      <c r="C16" s="43" t="s">
        <v>1368</v>
      </c>
      <c r="D16" s="10">
        <v>44256</v>
      </c>
      <c r="E16" s="9">
        <v>172500</v>
      </c>
      <c r="F16" s="10">
        <v>44256</v>
      </c>
      <c r="G16" s="10">
        <v>44274</v>
      </c>
      <c r="H16" s="9">
        <v>172500</v>
      </c>
      <c r="I16" s="9">
        <f t="shared" si="0"/>
        <v>0</v>
      </c>
      <c r="J16" s="2" t="s">
        <v>1369</v>
      </c>
      <c r="K16" s="2" t="s">
        <v>27</v>
      </c>
    </row>
    <row r="17" spans="1:26" ht="14.4" x14ac:dyDescent="0.3">
      <c r="A17" s="10">
        <v>44272</v>
      </c>
      <c r="B17" s="2" t="s">
        <v>1370</v>
      </c>
      <c r="C17" s="43" t="s">
        <v>1371</v>
      </c>
      <c r="D17" s="10">
        <v>44272</v>
      </c>
      <c r="E17" s="9">
        <v>56500</v>
      </c>
      <c r="F17" s="10">
        <v>44272</v>
      </c>
      <c r="G17" s="10">
        <v>44272</v>
      </c>
      <c r="H17" s="9">
        <v>56500</v>
      </c>
      <c r="I17" s="9">
        <f t="shared" si="0"/>
        <v>0</v>
      </c>
      <c r="J17" s="2" t="s">
        <v>1372</v>
      </c>
      <c r="K17" s="2" t="s">
        <v>1331</v>
      </c>
      <c r="L17" s="2" t="s">
        <v>14</v>
      </c>
    </row>
    <row r="18" spans="1:26" ht="14.4" x14ac:dyDescent="0.3">
      <c r="A18" s="10">
        <v>44279</v>
      </c>
      <c r="B18" s="2" t="s">
        <v>1373</v>
      </c>
      <c r="C18" s="43" t="s">
        <v>1374</v>
      </c>
      <c r="D18" s="10">
        <v>44279</v>
      </c>
      <c r="E18" s="9">
        <v>185000</v>
      </c>
      <c r="F18" s="10">
        <v>44279</v>
      </c>
      <c r="G18" s="10">
        <v>44279</v>
      </c>
      <c r="H18" s="9">
        <v>185000</v>
      </c>
      <c r="I18" s="9">
        <f t="shared" si="0"/>
        <v>0</v>
      </c>
      <c r="J18" s="2" t="s">
        <v>1375</v>
      </c>
      <c r="K18" s="2" t="s">
        <v>1331</v>
      </c>
      <c r="L18" s="2" t="s">
        <v>16</v>
      </c>
    </row>
    <row r="19" spans="1:26" ht="14.4" x14ac:dyDescent="0.3">
      <c r="A19" s="10">
        <v>44279</v>
      </c>
      <c r="B19" s="2" t="s">
        <v>1376</v>
      </c>
      <c r="C19" s="43" t="s">
        <v>1377</v>
      </c>
      <c r="D19" s="10">
        <v>44279</v>
      </c>
      <c r="E19" s="9">
        <v>55000</v>
      </c>
      <c r="F19" s="10">
        <v>44279</v>
      </c>
      <c r="G19" s="10">
        <v>44286</v>
      </c>
      <c r="H19" s="9">
        <v>55000</v>
      </c>
      <c r="I19" s="9">
        <f t="shared" si="0"/>
        <v>0</v>
      </c>
      <c r="J19" s="2" t="s">
        <v>1378</v>
      </c>
      <c r="K19" s="2" t="s">
        <v>1331</v>
      </c>
      <c r="L19" s="2" t="s">
        <v>14</v>
      </c>
    </row>
    <row r="20" spans="1:26" ht="14.4" x14ac:dyDescent="0.3">
      <c r="A20" s="10">
        <v>44280</v>
      </c>
      <c r="B20" s="2" t="s">
        <v>1379</v>
      </c>
      <c r="C20" s="43" t="s">
        <v>1380</v>
      </c>
      <c r="D20" s="10">
        <v>44280</v>
      </c>
      <c r="E20" s="9">
        <v>62500</v>
      </c>
      <c r="F20" s="10">
        <v>44280</v>
      </c>
      <c r="G20" s="10">
        <v>44287</v>
      </c>
      <c r="H20" s="9">
        <v>62500</v>
      </c>
      <c r="I20" s="9">
        <f t="shared" si="0"/>
        <v>0</v>
      </c>
      <c r="J20" s="2" t="s">
        <v>1381</v>
      </c>
      <c r="K20" s="2" t="s">
        <v>1331</v>
      </c>
      <c r="L20" s="2" t="s">
        <v>14</v>
      </c>
    </row>
    <row r="21" spans="1:26" ht="15.75" customHeight="1" x14ac:dyDescent="0.3">
      <c r="A21" s="10">
        <v>44287</v>
      </c>
      <c r="B21" s="2" t="s">
        <v>1382</v>
      </c>
      <c r="C21" s="43" t="s">
        <v>1383</v>
      </c>
      <c r="D21" s="10">
        <v>44287</v>
      </c>
      <c r="E21" s="9">
        <v>65000</v>
      </c>
      <c r="F21" s="10">
        <v>44287</v>
      </c>
      <c r="G21" s="10">
        <v>44449</v>
      </c>
      <c r="H21" s="9">
        <v>65000</v>
      </c>
      <c r="I21" s="9">
        <f t="shared" si="0"/>
        <v>0</v>
      </c>
      <c r="J21" s="2" t="s">
        <v>1384</v>
      </c>
      <c r="K21" s="2" t="s">
        <v>1331</v>
      </c>
      <c r="L21" s="2" t="s">
        <v>13</v>
      </c>
    </row>
    <row r="22" spans="1:26" ht="15.75" customHeight="1" x14ac:dyDescent="0.3">
      <c r="A22" s="10">
        <v>44287</v>
      </c>
      <c r="B22" s="2" t="s">
        <v>1385</v>
      </c>
      <c r="C22" s="43" t="s">
        <v>1386</v>
      </c>
      <c r="D22" s="10">
        <v>44287</v>
      </c>
      <c r="E22" s="9">
        <v>28000</v>
      </c>
      <c r="F22" s="10">
        <v>44287</v>
      </c>
      <c r="G22" s="10">
        <v>44295</v>
      </c>
      <c r="H22" s="9">
        <v>28000</v>
      </c>
      <c r="I22" s="9">
        <f t="shared" si="0"/>
        <v>0</v>
      </c>
      <c r="J22" s="2" t="s">
        <v>1387</v>
      </c>
      <c r="K22" s="2" t="s">
        <v>27</v>
      </c>
    </row>
    <row r="23" spans="1:26" ht="15.75" customHeight="1" x14ac:dyDescent="0.3">
      <c r="A23" s="10">
        <v>44287</v>
      </c>
      <c r="B23" s="2" t="s">
        <v>1388</v>
      </c>
      <c r="C23" s="43" t="s">
        <v>1389</v>
      </c>
      <c r="D23" s="10">
        <v>44287</v>
      </c>
      <c r="E23" s="9">
        <v>172500</v>
      </c>
      <c r="F23" s="10">
        <v>44287</v>
      </c>
      <c r="G23" s="10">
        <v>44320</v>
      </c>
      <c r="H23" s="9">
        <v>172500</v>
      </c>
      <c r="I23" s="9">
        <f t="shared" si="0"/>
        <v>0</v>
      </c>
      <c r="J23" s="2" t="s">
        <v>1390</v>
      </c>
      <c r="K23" s="2" t="s">
        <v>27</v>
      </c>
    </row>
    <row r="24" spans="1:26" ht="15.75" customHeight="1" x14ac:dyDescent="0.3">
      <c r="A24" s="10">
        <v>44292</v>
      </c>
      <c r="B24" s="2" t="s">
        <v>1391</v>
      </c>
      <c r="C24" s="43" t="s">
        <v>1392</v>
      </c>
      <c r="D24" s="10">
        <v>44292</v>
      </c>
      <c r="E24" s="9">
        <v>70000</v>
      </c>
      <c r="F24" s="10">
        <v>44292</v>
      </c>
      <c r="G24" s="10">
        <v>44295</v>
      </c>
      <c r="H24" s="9">
        <v>70000</v>
      </c>
      <c r="I24" s="9">
        <f t="shared" si="0"/>
        <v>0</v>
      </c>
      <c r="J24" s="2" t="s">
        <v>1393</v>
      </c>
      <c r="K24" s="2" t="s">
        <v>1331</v>
      </c>
      <c r="L24" s="2" t="s">
        <v>14</v>
      </c>
    </row>
    <row r="25" spans="1:26" ht="15.75" customHeight="1" x14ac:dyDescent="0.3">
      <c r="A25" s="10">
        <v>44312</v>
      </c>
      <c r="B25" s="2" t="s">
        <v>1394</v>
      </c>
      <c r="C25" s="43" t="s">
        <v>1395</v>
      </c>
      <c r="D25" s="10">
        <v>44312</v>
      </c>
      <c r="E25" s="9">
        <v>277500</v>
      </c>
      <c r="F25" s="10">
        <v>44312</v>
      </c>
      <c r="G25" s="10">
        <v>44313</v>
      </c>
      <c r="H25" s="9">
        <v>277500</v>
      </c>
      <c r="I25" s="9">
        <f t="shared" si="0"/>
        <v>0</v>
      </c>
      <c r="J25" s="2" t="s">
        <v>1396</v>
      </c>
      <c r="K25" s="2" t="s">
        <v>1331</v>
      </c>
      <c r="L25" s="2" t="s">
        <v>14</v>
      </c>
    </row>
    <row r="26" spans="1:26" ht="15.75" customHeight="1" x14ac:dyDescent="0.3">
      <c r="A26" s="10">
        <v>44315</v>
      </c>
      <c r="B26" s="2" t="s">
        <v>1397</v>
      </c>
      <c r="C26" s="43" t="s">
        <v>1398</v>
      </c>
      <c r="D26" s="10">
        <v>44315</v>
      </c>
      <c r="E26" s="9">
        <v>30000</v>
      </c>
      <c r="F26" s="10">
        <v>44315</v>
      </c>
      <c r="G26" s="10">
        <v>44316</v>
      </c>
      <c r="H26" s="9">
        <v>30000</v>
      </c>
      <c r="I26" s="9">
        <f t="shared" si="0"/>
        <v>0</v>
      </c>
      <c r="J26" s="2" t="s">
        <v>1399</v>
      </c>
      <c r="K26" s="2" t="s">
        <v>1331</v>
      </c>
      <c r="L26" s="2" t="s">
        <v>15</v>
      </c>
    </row>
    <row r="27" spans="1:26" ht="15.75" customHeight="1" x14ac:dyDescent="0.3">
      <c r="A27" s="10">
        <v>44321</v>
      </c>
      <c r="B27" s="2" t="s">
        <v>1400</v>
      </c>
      <c r="C27" s="43" t="s">
        <v>1401</v>
      </c>
      <c r="D27" s="10">
        <v>44321</v>
      </c>
      <c r="E27" s="9">
        <v>65000</v>
      </c>
      <c r="F27" s="10">
        <v>44321</v>
      </c>
      <c r="G27" s="10">
        <v>44449</v>
      </c>
      <c r="H27" s="9">
        <v>65000</v>
      </c>
      <c r="I27" s="9">
        <f t="shared" si="0"/>
        <v>0</v>
      </c>
      <c r="J27" s="2" t="s">
        <v>1384</v>
      </c>
      <c r="K27" s="2" t="s">
        <v>1331</v>
      </c>
      <c r="L27" s="2" t="s">
        <v>13</v>
      </c>
    </row>
    <row r="28" spans="1:26" ht="15.75" customHeight="1" x14ac:dyDescent="0.3">
      <c r="A28" s="10">
        <v>44321</v>
      </c>
      <c r="B28" s="2" t="s">
        <v>1402</v>
      </c>
      <c r="C28" s="43" t="s">
        <v>1403</v>
      </c>
      <c r="D28" s="10">
        <v>44321</v>
      </c>
      <c r="E28" s="9">
        <v>28000</v>
      </c>
      <c r="F28" s="10">
        <v>44321</v>
      </c>
      <c r="G28" s="10">
        <v>44329</v>
      </c>
      <c r="H28" s="9">
        <v>28000</v>
      </c>
      <c r="I28" s="9">
        <f t="shared" si="0"/>
        <v>0</v>
      </c>
      <c r="J28" s="2" t="s">
        <v>1404</v>
      </c>
      <c r="K28" s="2" t="s">
        <v>27</v>
      </c>
    </row>
    <row r="29" spans="1:26" ht="15.75" customHeight="1" x14ac:dyDescent="0.3">
      <c r="A29" s="10">
        <v>44321</v>
      </c>
      <c r="B29" s="2" t="s">
        <v>1405</v>
      </c>
      <c r="C29" s="43" t="s">
        <v>1406</v>
      </c>
      <c r="D29" s="10">
        <v>44321</v>
      </c>
      <c r="E29" s="9">
        <v>172500</v>
      </c>
      <c r="F29" s="10">
        <v>44321</v>
      </c>
      <c r="G29" s="10">
        <v>44365</v>
      </c>
      <c r="H29" s="9">
        <v>172500</v>
      </c>
      <c r="I29" s="9">
        <f t="shared" si="0"/>
        <v>0</v>
      </c>
      <c r="J29" s="2" t="s">
        <v>1407</v>
      </c>
      <c r="K29" s="2" t="s">
        <v>27</v>
      </c>
    </row>
    <row r="30" spans="1:26" ht="15.75" customHeight="1" x14ac:dyDescent="0.3">
      <c r="A30" s="10">
        <v>44349</v>
      </c>
      <c r="B30" s="2" t="s">
        <v>1408</v>
      </c>
      <c r="C30" s="43" t="s">
        <v>1409</v>
      </c>
      <c r="D30" s="10">
        <v>44349</v>
      </c>
      <c r="E30" s="9">
        <v>65000</v>
      </c>
      <c r="F30" s="10">
        <v>44349</v>
      </c>
      <c r="G30" s="10">
        <v>44449</v>
      </c>
      <c r="H30" s="9">
        <v>65000</v>
      </c>
      <c r="I30" s="9">
        <f t="shared" si="0"/>
        <v>0</v>
      </c>
      <c r="J30" s="2" t="s">
        <v>1384</v>
      </c>
      <c r="K30" s="2" t="s">
        <v>1331</v>
      </c>
      <c r="L30" s="2" t="s">
        <v>13</v>
      </c>
    </row>
    <row r="31" spans="1:26" ht="15.75" customHeight="1" x14ac:dyDescent="0.3">
      <c r="A31" s="10">
        <v>44349</v>
      </c>
      <c r="B31" s="2" t="s">
        <v>1410</v>
      </c>
      <c r="C31" s="43" t="s">
        <v>1411</v>
      </c>
      <c r="D31" s="10">
        <v>44349</v>
      </c>
      <c r="E31" s="9">
        <v>35000</v>
      </c>
      <c r="F31" s="10">
        <v>44349</v>
      </c>
      <c r="G31" s="10">
        <v>44365</v>
      </c>
      <c r="H31" s="9">
        <v>35000</v>
      </c>
      <c r="I31" s="9">
        <f t="shared" si="0"/>
        <v>0</v>
      </c>
      <c r="J31" s="2" t="s">
        <v>1412</v>
      </c>
      <c r="K31" s="2" t="s">
        <v>27</v>
      </c>
    </row>
    <row r="32" spans="1:26" ht="15.75" customHeight="1" x14ac:dyDescent="0.3">
      <c r="A32" s="44">
        <v>44349</v>
      </c>
      <c r="B32" s="18" t="s">
        <v>1413</v>
      </c>
      <c r="C32" s="45" t="s">
        <v>1414</v>
      </c>
      <c r="D32" s="44">
        <v>44349</v>
      </c>
      <c r="E32" s="23"/>
      <c r="F32" s="44">
        <v>44349</v>
      </c>
      <c r="G32" s="44"/>
      <c r="H32" s="23"/>
      <c r="I32" s="23">
        <f t="shared" si="0"/>
        <v>0</v>
      </c>
      <c r="J32" s="18"/>
      <c r="K32" s="18" t="s">
        <v>27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10">
        <v>44349</v>
      </c>
      <c r="B33" s="2" t="s">
        <v>1415</v>
      </c>
      <c r="C33" s="43" t="s">
        <v>1416</v>
      </c>
      <c r="D33" s="10">
        <v>44351</v>
      </c>
      <c r="E33" s="9">
        <v>155250</v>
      </c>
      <c r="F33" s="10">
        <v>44351</v>
      </c>
      <c r="G33" s="10">
        <v>44420</v>
      </c>
      <c r="H33" s="9">
        <v>155250</v>
      </c>
      <c r="I33" s="9">
        <f t="shared" si="0"/>
        <v>0</v>
      </c>
      <c r="J33" s="2" t="s">
        <v>1417</v>
      </c>
      <c r="K33" s="2" t="s">
        <v>27</v>
      </c>
    </row>
    <row r="34" spans="1:26" ht="15.75" customHeight="1" x14ac:dyDescent="0.3">
      <c r="A34" s="10">
        <v>44378</v>
      </c>
      <c r="B34" s="2" t="s">
        <v>1418</v>
      </c>
      <c r="C34" s="43" t="s">
        <v>1419</v>
      </c>
      <c r="D34" s="10">
        <v>44378</v>
      </c>
      <c r="E34" s="9">
        <v>52500</v>
      </c>
      <c r="F34" s="10">
        <v>44378</v>
      </c>
      <c r="G34" s="10">
        <v>44378</v>
      </c>
      <c r="H34" s="9">
        <v>52500</v>
      </c>
      <c r="I34" s="9">
        <f t="shared" si="0"/>
        <v>0</v>
      </c>
      <c r="J34" s="2" t="s">
        <v>1420</v>
      </c>
      <c r="K34" s="2" t="s">
        <v>1331</v>
      </c>
      <c r="L34" s="2" t="s">
        <v>14</v>
      </c>
    </row>
    <row r="35" spans="1:26" ht="15.75" customHeight="1" x14ac:dyDescent="0.3">
      <c r="A35" s="10">
        <v>44383</v>
      </c>
      <c r="B35" s="2" t="s">
        <v>1421</v>
      </c>
      <c r="C35" s="43" t="s">
        <v>1422</v>
      </c>
      <c r="D35" s="10">
        <v>44383</v>
      </c>
      <c r="E35" s="9">
        <v>65000</v>
      </c>
      <c r="F35" s="10">
        <v>44384</v>
      </c>
      <c r="G35" s="10">
        <v>44449</v>
      </c>
      <c r="H35" s="9">
        <v>65000</v>
      </c>
      <c r="I35" s="9">
        <f t="shared" si="0"/>
        <v>0</v>
      </c>
      <c r="J35" s="2" t="s">
        <v>1384</v>
      </c>
      <c r="K35" s="2" t="s">
        <v>1331</v>
      </c>
      <c r="L35" s="2" t="s">
        <v>13</v>
      </c>
    </row>
    <row r="36" spans="1:26" ht="15.75" customHeight="1" x14ac:dyDescent="0.3">
      <c r="A36" s="10">
        <v>44383</v>
      </c>
      <c r="B36" s="2" t="s">
        <v>1423</v>
      </c>
      <c r="C36" s="43" t="s">
        <v>1424</v>
      </c>
      <c r="D36" s="10">
        <v>44383</v>
      </c>
      <c r="E36" s="9">
        <v>35000</v>
      </c>
      <c r="F36" s="10">
        <v>44384</v>
      </c>
      <c r="G36" s="10">
        <v>44403</v>
      </c>
      <c r="H36" s="9">
        <v>35000</v>
      </c>
      <c r="I36" s="9">
        <f t="shared" si="0"/>
        <v>0</v>
      </c>
      <c r="J36" s="2" t="s">
        <v>1425</v>
      </c>
      <c r="K36" s="2" t="s">
        <v>27</v>
      </c>
    </row>
    <row r="37" spans="1:26" ht="15.75" customHeight="1" x14ac:dyDescent="0.3">
      <c r="A37" s="44">
        <v>44383</v>
      </c>
      <c r="B37" s="18" t="s">
        <v>1426</v>
      </c>
      <c r="C37" s="45" t="s">
        <v>1427</v>
      </c>
      <c r="D37" s="44">
        <v>44383</v>
      </c>
      <c r="E37" s="23"/>
      <c r="F37" s="44">
        <v>44384</v>
      </c>
      <c r="G37" s="18"/>
      <c r="H37" s="23"/>
      <c r="I37" s="9">
        <f t="shared" si="0"/>
        <v>0</v>
      </c>
      <c r="J37" s="18"/>
      <c r="K37" s="18" t="s">
        <v>27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0">
        <v>44389</v>
      </c>
      <c r="B38" s="2" t="s">
        <v>1426</v>
      </c>
      <c r="C38" s="43" t="s">
        <v>1428</v>
      </c>
      <c r="D38" s="10">
        <v>44389</v>
      </c>
      <c r="E38" s="9">
        <v>129200</v>
      </c>
      <c r="F38" s="10">
        <v>44389</v>
      </c>
      <c r="G38" s="10">
        <v>44407</v>
      </c>
      <c r="H38" s="9">
        <v>129200</v>
      </c>
      <c r="I38" s="9">
        <f t="shared" si="0"/>
        <v>0</v>
      </c>
      <c r="J38" s="2" t="s">
        <v>1429</v>
      </c>
      <c r="K38" s="2" t="s">
        <v>27</v>
      </c>
    </row>
    <row r="39" spans="1:26" ht="15.75" customHeight="1" x14ac:dyDescent="0.3">
      <c r="A39" s="10">
        <v>44390</v>
      </c>
      <c r="B39" s="2" t="s">
        <v>1430</v>
      </c>
      <c r="C39" s="43" t="s">
        <v>1431</v>
      </c>
      <c r="D39" s="10">
        <v>44390</v>
      </c>
      <c r="E39" s="9">
        <v>350000</v>
      </c>
      <c r="F39" s="10">
        <v>44397</v>
      </c>
      <c r="G39" s="10">
        <v>44390</v>
      </c>
      <c r="H39" s="9">
        <v>350000</v>
      </c>
      <c r="I39" s="9">
        <f t="shared" si="0"/>
        <v>0</v>
      </c>
      <c r="J39" s="2" t="s">
        <v>1432</v>
      </c>
      <c r="K39" s="2" t="s">
        <v>1331</v>
      </c>
      <c r="L39" s="2" t="s">
        <v>14</v>
      </c>
    </row>
    <row r="40" spans="1:26" ht="15.75" customHeight="1" x14ac:dyDescent="0.3">
      <c r="A40" s="10">
        <v>44393</v>
      </c>
      <c r="B40" s="2" t="s">
        <v>1433</v>
      </c>
      <c r="C40" s="43" t="s">
        <v>1434</v>
      </c>
      <c r="D40" s="10">
        <v>44393</v>
      </c>
      <c r="E40" s="9">
        <v>845800</v>
      </c>
      <c r="F40" s="10">
        <v>44397</v>
      </c>
      <c r="G40" s="10">
        <v>44393</v>
      </c>
      <c r="H40" s="9">
        <v>845800</v>
      </c>
      <c r="I40" s="9">
        <f t="shared" si="0"/>
        <v>0</v>
      </c>
      <c r="J40" s="2" t="s">
        <v>1435</v>
      </c>
      <c r="K40" s="2" t="s">
        <v>1331</v>
      </c>
      <c r="L40" s="2" t="s">
        <v>15</v>
      </c>
    </row>
    <row r="41" spans="1:26" ht="15.75" customHeight="1" x14ac:dyDescent="0.3">
      <c r="A41" s="10">
        <v>44403</v>
      </c>
      <c r="B41" s="2" t="s">
        <v>1436</v>
      </c>
      <c r="C41" s="43" t="s">
        <v>1437</v>
      </c>
      <c r="D41" s="10">
        <v>44403</v>
      </c>
      <c r="E41" s="9">
        <v>538000</v>
      </c>
      <c r="F41" s="10">
        <v>44405</v>
      </c>
      <c r="G41" s="10">
        <v>44403</v>
      </c>
      <c r="H41" s="9">
        <v>538000</v>
      </c>
      <c r="I41" s="9">
        <f t="shared" si="0"/>
        <v>0</v>
      </c>
      <c r="J41" s="2" t="s">
        <v>1438</v>
      </c>
      <c r="K41" s="2" t="s">
        <v>1331</v>
      </c>
      <c r="L41" s="2" t="s">
        <v>14</v>
      </c>
    </row>
    <row r="42" spans="1:26" ht="15.75" customHeight="1" x14ac:dyDescent="0.3">
      <c r="A42" s="10">
        <v>44407</v>
      </c>
      <c r="B42" s="2" t="s">
        <v>1439</v>
      </c>
      <c r="C42" s="43" t="s">
        <v>1440</v>
      </c>
      <c r="D42" s="10">
        <v>44407</v>
      </c>
      <c r="E42" s="9">
        <v>75900</v>
      </c>
      <c r="F42" s="10">
        <v>44410</v>
      </c>
      <c r="G42" s="10">
        <v>44407</v>
      </c>
      <c r="H42" s="9">
        <v>76000</v>
      </c>
      <c r="I42" s="9">
        <f t="shared" si="0"/>
        <v>-100</v>
      </c>
      <c r="J42" s="2" t="s">
        <v>1441</v>
      </c>
      <c r="K42" s="2" t="s">
        <v>1331</v>
      </c>
      <c r="L42" s="2" t="s">
        <v>16</v>
      </c>
    </row>
    <row r="43" spans="1:26" ht="15.75" customHeight="1" x14ac:dyDescent="0.3">
      <c r="A43" s="10">
        <v>44409</v>
      </c>
      <c r="B43" s="2" t="s">
        <v>1442</v>
      </c>
      <c r="C43" s="43" t="s">
        <v>1443</v>
      </c>
      <c r="D43" s="10">
        <v>44409</v>
      </c>
      <c r="E43" s="9">
        <v>65000</v>
      </c>
      <c r="F43" s="10">
        <v>44412</v>
      </c>
      <c r="G43" s="10">
        <v>44449</v>
      </c>
      <c r="H43" s="9">
        <v>65000</v>
      </c>
      <c r="I43" s="9">
        <f t="shared" si="0"/>
        <v>0</v>
      </c>
      <c r="J43" s="2" t="s">
        <v>1384</v>
      </c>
      <c r="K43" s="2" t="s">
        <v>1331</v>
      </c>
      <c r="L43" s="2" t="s">
        <v>13</v>
      </c>
    </row>
    <row r="44" spans="1:26" ht="15.75" customHeight="1" x14ac:dyDescent="0.3">
      <c r="A44" s="10">
        <v>44409</v>
      </c>
      <c r="B44" s="2" t="s">
        <v>1444</v>
      </c>
      <c r="C44" s="43" t="s">
        <v>1445</v>
      </c>
      <c r="D44" s="10">
        <v>44409</v>
      </c>
      <c r="E44" s="9">
        <v>35000</v>
      </c>
      <c r="F44" s="10">
        <v>44412</v>
      </c>
      <c r="G44" s="10">
        <v>44448</v>
      </c>
      <c r="H44" s="9">
        <v>35000</v>
      </c>
      <c r="I44" s="9">
        <f t="shared" si="0"/>
        <v>0</v>
      </c>
      <c r="J44" s="2" t="s">
        <v>1446</v>
      </c>
      <c r="K44" s="2" t="s">
        <v>27</v>
      </c>
    </row>
    <row r="45" spans="1:26" ht="15.75" customHeight="1" x14ac:dyDescent="0.3">
      <c r="A45" s="10">
        <v>44425</v>
      </c>
      <c r="B45" s="2" t="s">
        <v>1447</v>
      </c>
      <c r="C45" s="43" t="s">
        <v>1448</v>
      </c>
      <c r="D45" s="10">
        <v>44425</v>
      </c>
      <c r="E45" s="9">
        <v>25000</v>
      </c>
      <c r="F45" s="10">
        <v>44425</v>
      </c>
      <c r="G45" s="10">
        <v>44425</v>
      </c>
      <c r="H45" s="9">
        <v>25000</v>
      </c>
      <c r="I45" s="9">
        <f t="shared" si="0"/>
        <v>0</v>
      </c>
      <c r="J45" s="2" t="s">
        <v>1449</v>
      </c>
      <c r="K45" s="2" t="s">
        <v>1331</v>
      </c>
      <c r="L45" s="2" t="s">
        <v>14</v>
      </c>
    </row>
    <row r="46" spans="1:26" ht="15.75" customHeight="1" x14ac:dyDescent="0.3">
      <c r="A46" s="10">
        <v>44427</v>
      </c>
      <c r="B46" s="2" t="s">
        <v>1450</v>
      </c>
      <c r="C46" s="43" t="s">
        <v>1451</v>
      </c>
      <c r="D46" s="10">
        <v>44427</v>
      </c>
      <c r="E46" s="9">
        <v>225000</v>
      </c>
      <c r="F46" s="10">
        <v>44427</v>
      </c>
      <c r="G46" s="10">
        <v>44445</v>
      </c>
      <c r="H46" s="9">
        <v>225000</v>
      </c>
      <c r="I46" s="9">
        <f t="shared" si="0"/>
        <v>0</v>
      </c>
      <c r="J46" s="2" t="s">
        <v>1452</v>
      </c>
      <c r="K46" s="2" t="s">
        <v>1331</v>
      </c>
      <c r="L46" s="2" t="s">
        <v>15</v>
      </c>
    </row>
    <row r="47" spans="1:26" ht="15.75" customHeight="1" x14ac:dyDescent="0.3">
      <c r="A47" s="10">
        <v>44428</v>
      </c>
      <c r="B47" s="2" t="s">
        <v>1453</v>
      </c>
      <c r="C47" s="43" t="s">
        <v>1454</v>
      </c>
      <c r="D47" s="10">
        <v>44428</v>
      </c>
      <c r="E47" s="9">
        <v>100000</v>
      </c>
      <c r="F47" s="10">
        <v>44428</v>
      </c>
      <c r="G47" s="10">
        <v>44438</v>
      </c>
      <c r="H47" s="9">
        <v>100000</v>
      </c>
      <c r="I47" s="9">
        <f t="shared" si="0"/>
        <v>0</v>
      </c>
      <c r="J47" s="2" t="s">
        <v>1455</v>
      </c>
      <c r="K47" s="2" t="s">
        <v>1331</v>
      </c>
      <c r="L47" s="2" t="s">
        <v>16</v>
      </c>
    </row>
    <row r="48" spans="1:26" ht="15.75" customHeight="1" x14ac:dyDescent="0.3">
      <c r="A48" s="10">
        <v>44428</v>
      </c>
      <c r="B48" s="2" t="s">
        <v>1456</v>
      </c>
      <c r="C48" s="43" t="s">
        <v>1457</v>
      </c>
      <c r="D48" s="10">
        <v>44428</v>
      </c>
      <c r="E48" s="9">
        <v>75000</v>
      </c>
      <c r="F48" s="10">
        <v>44428</v>
      </c>
      <c r="G48" s="10">
        <v>44427</v>
      </c>
      <c r="H48" s="9">
        <v>75000</v>
      </c>
      <c r="I48" s="9">
        <f t="shared" si="0"/>
        <v>0</v>
      </c>
      <c r="J48" s="2" t="s">
        <v>1458</v>
      </c>
      <c r="K48" s="2" t="s">
        <v>1331</v>
      </c>
      <c r="L48" s="2" t="s">
        <v>405</v>
      </c>
    </row>
    <row r="49" spans="1:26" ht="15.75" customHeight="1" x14ac:dyDescent="0.3">
      <c r="A49" s="10">
        <v>44428</v>
      </c>
      <c r="B49" s="2" t="s">
        <v>1459</v>
      </c>
      <c r="C49" s="43" t="s">
        <v>1460</v>
      </c>
      <c r="D49" s="10">
        <v>44428</v>
      </c>
      <c r="E49" s="9">
        <v>125000</v>
      </c>
      <c r="F49" s="10">
        <v>44473</v>
      </c>
      <c r="G49" s="10">
        <v>44428</v>
      </c>
      <c r="H49" s="9">
        <f>56000+5500+1000+62500</f>
        <v>125000</v>
      </c>
      <c r="I49" s="9">
        <f t="shared" si="0"/>
        <v>0</v>
      </c>
      <c r="J49" s="2" t="s">
        <v>1461</v>
      </c>
      <c r="K49" s="2" t="s">
        <v>1331</v>
      </c>
      <c r="L49" s="2" t="s">
        <v>1462</v>
      </c>
    </row>
    <row r="50" spans="1:26" ht="15.75" customHeight="1" x14ac:dyDescent="0.3">
      <c r="A50" s="10">
        <v>44439</v>
      </c>
      <c r="B50" s="2" t="s">
        <v>1054</v>
      </c>
      <c r="C50" s="43" t="s">
        <v>1463</v>
      </c>
      <c r="D50" s="10">
        <v>44439</v>
      </c>
      <c r="E50" s="9">
        <v>210000</v>
      </c>
      <c r="F50" s="10">
        <v>44439</v>
      </c>
      <c r="G50" s="10">
        <v>44439</v>
      </c>
      <c r="H50" s="9">
        <v>210000</v>
      </c>
      <c r="I50" s="9">
        <f t="shared" si="0"/>
        <v>0</v>
      </c>
      <c r="J50" s="2" t="s">
        <v>1464</v>
      </c>
      <c r="K50" s="2" t="s">
        <v>1331</v>
      </c>
      <c r="L50" s="2" t="s">
        <v>16</v>
      </c>
    </row>
    <row r="51" spans="1:26" ht="15.75" customHeight="1" x14ac:dyDescent="0.3">
      <c r="A51" s="10">
        <v>44440</v>
      </c>
      <c r="B51" s="2" t="s">
        <v>1465</v>
      </c>
      <c r="C51" s="43" t="s">
        <v>1466</v>
      </c>
      <c r="D51" s="10">
        <v>44440</v>
      </c>
      <c r="E51" s="9">
        <v>35000</v>
      </c>
      <c r="F51" s="10">
        <v>44441</v>
      </c>
      <c r="G51" s="10">
        <v>44467</v>
      </c>
      <c r="H51" s="9">
        <v>35000</v>
      </c>
      <c r="I51" s="9">
        <f t="shared" si="0"/>
        <v>0</v>
      </c>
      <c r="J51" s="2" t="s">
        <v>1467</v>
      </c>
      <c r="K51" s="2" t="s">
        <v>27</v>
      </c>
    </row>
    <row r="52" spans="1:26" ht="15.75" customHeight="1" x14ac:dyDescent="0.3">
      <c r="A52" s="10">
        <v>44440</v>
      </c>
      <c r="B52" s="2" t="s">
        <v>1468</v>
      </c>
      <c r="C52" s="43" t="s">
        <v>1469</v>
      </c>
      <c r="D52" s="10">
        <v>44440</v>
      </c>
      <c r="E52" s="9">
        <v>65000</v>
      </c>
      <c r="F52" s="10">
        <v>44445</v>
      </c>
      <c r="G52" s="10">
        <v>44670</v>
      </c>
      <c r="H52" s="9">
        <v>65000</v>
      </c>
      <c r="I52" s="9">
        <f t="shared" si="0"/>
        <v>0</v>
      </c>
      <c r="J52" s="2" t="s">
        <v>989</v>
      </c>
      <c r="K52" s="2" t="s">
        <v>1331</v>
      </c>
      <c r="L52" s="2" t="s">
        <v>13</v>
      </c>
    </row>
    <row r="53" spans="1:26" ht="15.75" customHeight="1" x14ac:dyDescent="0.3">
      <c r="A53" s="10">
        <v>44443</v>
      </c>
      <c r="B53" s="2" t="s">
        <v>1470</v>
      </c>
      <c r="C53" s="43" t="s">
        <v>1471</v>
      </c>
      <c r="D53" s="10">
        <v>44443</v>
      </c>
      <c r="E53" s="9">
        <v>52000</v>
      </c>
      <c r="F53" s="10">
        <v>44443</v>
      </c>
      <c r="G53" s="10">
        <v>44443</v>
      </c>
      <c r="H53" s="9">
        <v>52000</v>
      </c>
      <c r="I53" s="9">
        <f t="shared" si="0"/>
        <v>0</v>
      </c>
      <c r="J53" s="2" t="s">
        <v>1472</v>
      </c>
      <c r="K53" s="2" t="s">
        <v>1331</v>
      </c>
      <c r="L53" s="2" t="s">
        <v>405</v>
      </c>
    </row>
    <row r="54" spans="1:26" ht="15.75" customHeight="1" x14ac:dyDescent="0.3">
      <c r="A54" s="10">
        <v>44445</v>
      </c>
      <c r="B54" s="2" t="s">
        <v>1473</v>
      </c>
      <c r="C54" s="43" t="s">
        <v>1474</v>
      </c>
      <c r="D54" s="10">
        <v>44445</v>
      </c>
      <c r="E54" s="9">
        <v>14500</v>
      </c>
      <c r="F54" s="10">
        <v>44446</v>
      </c>
      <c r="G54" s="10">
        <v>44445</v>
      </c>
      <c r="H54" s="9">
        <v>14500</v>
      </c>
      <c r="I54" s="9">
        <f t="shared" si="0"/>
        <v>0</v>
      </c>
      <c r="J54" s="2" t="s">
        <v>1475</v>
      </c>
      <c r="K54" s="2" t="s">
        <v>1331</v>
      </c>
      <c r="L54" s="2" t="s">
        <v>405</v>
      </c>
    </row>
    <row r="55" spans="1:26" ht="15.75" customHeight="1" x14ac:dyDescent="0.3">
      <c r="A55" s="10">
        <v>44450</v>
      </c>
      <c r="B55" s="2" t="s">
        <v>1476</v>
      </c>
      <c r="C55" s="43" t="s">
        <v>1477</v>
      </c>
      <c r="D55" s="10">
        <v>44450</v>
      </c>
      <c r="E55" s="9">
        <v>360000</v>
      </c>
      <c r="F55" s="10">
        <v>44450</v>
      </c>
      <c r="G55" s="10">
        <v>44450</v>
      </c>
      <c r="H55" s="9">
        <v>360000</v>
      </c>
      <c r="I55" s="9">
        <f t="shared" si="0"/>
        <v>0</v>
      </c>
      <c r="J55" s="2" t="s">
        <v>1478</v>
      </c>
      <c r="K55" s="2" t="s">
        <v>1331</v>
      </c>
      <c r="L55" s="2" t="s">
        <v>16</v>
      </c>
    </row>
    <row r="56" spans="1:26" ht="15.75" customHeight="1" x14ac:dyDescent="0.3">
      <c r="A56" s="10">
        <v>44452</v>
      </c>
      <c r="B56" s="2" t="s">
        <v>1479</v>
      </c>
      <c r="C56" s="43" t="s">
        <v>1480</v>
      </c>
      <c r="D56" s="10">
        <v>44452</v>
      </c>
      <c r="E56" s="9">
        <v>1550000</v>
      </c>
      <c r="F56" s="10">
        <v>44455</v>
      </c>
      <c r="G56" s="10">
        <v>44455</v>
      </c>
      <c r="H56" s="9">
        <v>1550000</v>
      </c>
      <c r="I56" s="9">
        <f t="shared" si="0"/>
        <v>0</v>
      </c>
      <c r="J56" s="2" t="s">
        <v>1481</v>
      </c>
      <c r="K56" s="2" t="s">
        <v>1331</v>
      </c>
      <c r="L56" s="2" t="s">
        <v>1482</v>
      </c>
    </row>
    <row r="57" spans="1:26" ht="15.75" customHeight="1" x14ac:dyDescent="0.3">
      <c r="A57" s="44">
        <v>44454</v>
      </c>
      <c r="B57" s="18" t="s">
        <v>1483</v>
      </c>
      <c r="C57" s="45" t="s">
        <v>1484</v>
      </c>
      <c r="D57" s="44">
        <v>44454</v>
      </c>
      <c r="E57" s="23"/>
      <c r="F57" s="44"/>
      <c r="G57" s="44"/>
      <c r="H57" s="23"/>
      <c r="I57" s="23">
        <f t="shared" si="0"/>
        <v>0</v>
      </c>
      <c r="J57" s="18"/>
      <c r="K57" s="18" t="s">
        <v>1331</v>
      </c>
      <c r="L57" s="18" t="s">
        <v>1482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3">
      <c r="A58" s="10">
        <v>44463</v>
      </c>
      <c r="B58" s="7" t="s">
        <v>1084</v>
      </c>
      <c r="C58" s="43" t="s">
        <v>1485</v>
      </c>
      <c r="D58" s="10">
        <v>44463</v>
      </c>
      <c r="E58" s="9">
        <v>110000</v>
      </c>
      <c r="F58" s="10"/>
      <c r="G58" s="10">
        <v>44463</v>
      </c>
      <c r="H58" s="9">
        <v>27500</v>
      </c>
      <c r="I58" s="9">
        <f t="shared" si="0"/>
        <v>82500</v>
      </c>
      <c r="J58" s="7" t="s">
        <v>1486</v>
      </c>
      <c r="K58" s="7" t="s">
        <v>1331</v>
      </c>
      <c r="L58" s="7" t="s">
        <v>405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10">
        <v>44463</v>
      </c>
      <c r="B59" s="7" t="s">
        <v>1487</v>
      </c>
      <c r="C59" s="43" t="s">
        <v>1488</v>
      </c>
      <c r="D59" s="10">
        <v>44463</v>
      </c>
      <c r="E59" s="9">
        <v>25000</v>
      </c>
      <c r="F59" s="10">
        <v>44463</v>
      </c>
      <c r="G59" s="10">
        <v>44463</v>
      </c>
      <c r="H59" s="9">
        <v>25000</v>
      </c>
      <c r="I59" s="9">
        <f t="shared" si="0"/>
        <v>0</v>
      </c>
      <c r="J59" s="7" t="s">
        <v>1486</v>
      </c>
      <c r="K59" s="7" t="s">
        <v>1331</v>
      </c>
      <c r="L59" s="7" t="s">
        <v>405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10">
        <v>44473</v>
      </c>
      <c r="B60" s="2" t="s">
        <v>1489</v>
      </c>
      <c r="C60" s="43" t="s">
        <v>1490</v>
      </c>
      <c r="D60" s="10">
        <v>44473</v>
      </c>
      <c r="E60" s="9">
        <v>35000</v>
      </c>
      <c r="F60" s="10">
        <v>44473</v>
      </c>
      <c r="G60" s="10">
        <v>44487</v>
      </c>
      <c r="H60" s="9">
        <v>35000</v>
      </c>
      <c r="I60" s="9">
        <f t="shared" si="0"/>
        <v>0</v>
      </c>
      <c r="J60" s="7" t="s">
        <v>1491</v>
      </c>
      <c r="K60" s="7" t="s">
        <v>27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0">
        <v>44474</v>
      </c>
      <c r="B61" s="2" t="s">
        <v>1492</v>
      </c>
      <c r="C61" s="43" t="s">
        <v>1493</v>
      </c>
      <c r="D61" s="10">
        <v>44474</v>
      </c>
      <c r="E61" s="9">
        <v>65000</v>
      </c>
      <c r="F61" s="10">
        <v>44474</v>
      </c>
      <c r="G61" s="10">
        <v>44670</v>
      </c>
      <c r="H61" s="9">
        <v>65000</v>
      </c>
      <c r="I61" s="9">
        <f t="shared" si="0"/>
        <v>0</v>
      </c>
      <c r="J61" s="7" t="s">
        <v>989</v>
      </c>
      <c r="K61" s="7" t="s">
        <v>1331</v>
      </c>
      <c r="L61" s="7" t="s">
        <v>13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0">
        <v>44475</v>
      </c>
      <c r="B62" s="7" t="s">
        <v>1494</v>
      </c>
      <c r="C62" s="43" t="s">
        <v>1495</v>
      </c>
      <c r="D62" s="10">
        <v>44475</v>
      </c>
      <c r="E62" s="9">
        <v>34000</v>
      </c>
      <c r="F62" s="10">
        <v>44481</v>
      </c>
      <c r="G62" s="10">
        <v>44475</v>
      </c>
      <c r="H62" s="9">
        <v>34000</v>
      </c>
      <c r="I62" s="9">
        <f t="shared" si="0"/>
        <v>0</v>
      </c>
      <c r="J62" s="7" t="s">
        <v>1496</v>
      </c>
      <c r="K62" s="7" t="s">
        <v>1331</v>
      </c>
      <c r="L62" s="7" t="s">
        <v>14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0">
        <v>44478</v>
      </c>
      <c r="B63" s="2" t="s">
        <v>1473</v>
      </c>
      <c r="C63" s="43" t="s">
        <v>1497</v>
      </c>
      <c r="D63" s="10">
        <v>44478</v>
      </c>
      <c r="E63" s="9">
        <v>14500</v>
      </c>
      <c r="F63" s="10">
        <v>44481</v>
      </c>
      <c r="G63" s="10">
        <v>44478</v>
      </c>
      <c r="H63" s="9">
        <v>14500</v>
      </c>
      <c r="I63" s="9">
        <f t="shared" si="0"/>
        <v>0</v>
      </c>
      <c r="J63" s="7" t="s">
        <v>1498</v>
      </c>
      <c r="K63" s="2" t="s">
        <v>1331</v>
      </c>
      <c r="L63" s="2" t="s">
        <v>405</v>
      </c>
    </row>
    <row r="64" spans="1:26" ht="15.75" customHeight="1" x14ac:dyDescent="0.3">
      <c r="A64" s="10">
        <v>44484</v>
      </c>
      <c r="B64" s="2" t="s">
        <v>1499</v>
      </c>
      <c r="C64" s="43" t="s">
        <v>1500</v>
      </c>
      <c r="D64" s="10">
        <v>44484</v>
      </c>
      <c r="E64" s="9">
        <v>120000</v>
      </c>
      <c r="F64" s="10">
        <v>44485</v>
      </c>
      <c r="G64" s="10">
        <v>44484</v>
      </c>
      <c r="H64" s="9">
        <v>120000</v>
      </c>
      <c r="I64" s="9">
        <f t="shared" si="0"/>
        <v>0</v>
      </c>
      <c r="J64" s="7" t="s">
        <v>1501</v>
      </c>
      <c r="K64" s="7" t="s">
        <v>1331</v>
      </c>
      <c r="L64" s="7" t="s">
        <v>16</v>
      </c>
    </row>
    <row r="65" spans="1:12" ht="15.75" customHeight="1" x14ac:dyDescent="0.3">
      <c r="A65" s="10">
        <v>44487</v>
      </c>
      <c r="B65" s="2" t="s">
        <v>1502</v>
      </c>
      <c r="C65" s="43" t="s">
        <v>1503</v>
      </c>
      <c r="D65" s="10">
        <v>44487</v>
      </c>
      <c r="E65" s="9">
        <v>4650</v>
      </c>
      <c r="F65" s="10">
        <v>44487</v>
      </c>
      <c r="G65" s="10">
        <v>44476</v>
      </c>
      <c r="H65" s="9">
        <v>4650</v>
      </c>
      <c r="I65" s="9">
        <f t="shared" si="0"/>
        <v>0</v>
      </c>
      <c r="J65" s="7" t="s">
        <v>1504</v>
      </c>
      <c r="K65" s="7" t="s">
        <v>27</v>
      </c>
      <c r="L65" s="7"/>
    </row>
    <row r="66" spans="1:12" ht="15.75" customHeight="1" x14ac:dyDescent="0.3">
      <c r="A66" s="10">
        <v>44487</v>
      </c>
      <c r="B66" s="2" t="s">
        <v>1505</v>
      </c>
      <c r="C66" s="43" t="s">
        <v>1506</v>
      </c>
      <c r="D66" s="10">
        <v>44487</v>
      </c>
      <c r="E66" s="9">
        <v>5000</v>
      </c>
      <c r="F66" s="10">
        <v>44487</v>
      </c>
      <c r="G66" s="10">
        <v>44476</v>
      </c>
      <c r="H66" s="9">
        <v>5000</v>
      </c>
      <c r="I66" s="9">
        <f t="shared" si="0"/>
        <v>0</v>
      </c>
      <c r="J66" s="7" t="s">
        <v>1507</v>
      </c>
      <c r="K66" s="7" t="s">
        <v>27</v>
      </c>
      <c r="L66" s="7"/>
    </row>
    <row r="67" spans="1:12" ht="15.75" customHeight="1" x14ac:dyDescent="0.3">
      <c r="A67" s="10">
        <v>44495</v>
      </c>
      <c r="B67" s="7" t="s">
        <v>1508</v>
      </c>
      <c r="C67" s="43" t="s">
        <v>1509</v>
      </c>
      <c r="D67" s="10">
        <v>44495</v>
      </c>
      <c r="E67" s="9">
        <v>37500</v>
      </c>
      <c r="F67" s="10">
        <v>44501</v>
      </c>
      <c r="G67" s="10">
        <v>44495</v>
      </c>
      <c r="H67" s="9">
        <v>37500</v>
      </c>
      <c r="I67" s="9">
        <f t="shared" si="0"/>
        <v>0</v>
      </c>
      <c r="J67" s="7" t="s">
        <v>1510</v>
      </c>
      <c r="K67" s="7" t="s">
        <v>1331</v>
      </c>
      <c r="L67" s="7" t="s">
        <v>14</v>
      </c>
    </row>
    <row r="68" spans="1:12" ht="15.75" customHeight="1" x14ac:dyDescent="0.3">
      <c r="A68" s="10">
        <v>44497</v>
      </c>
      <c r="B68" s="7" t="s">
        <v>1511</v>
      </c>
      <c r="C68" s="43" t="s">
        <v>1512</v>
      </c>
      <c r="D68" s="10">
        <v>44497</v>
      </c>
      <c r="E68" s="9">
        <v>400000</v>
      </c>
      <c r="F68" s="10">
        <v>44501</v>
      </c>
      <c r="G68" s="10">
        <v>44497</v>
      </c>
      <c r="H68" s="9">
        <v>400000</v>
      </c>
      <c r="I68" s="9">
        <f t="shared" si="0"/>
        <v>0</v>
      </c>
      <c r="J68" s="7" t="s">
        <v>1513</v>
      </c>
      <c r="K68" s="7" t="s">
        <v>1331</v>
      </c>
      <c r="L68" s="7" t="s">
        <v>14</v>
      </c>
    </row>
    <row r="69" spans="1:12" ht="15.75" customHeight="1" x14ac:dyDescent="0.3">
      <c r="A69" s="10">
        <v>44501</v>
      </c>
      <c r="B69" s="2" t="s">
        <v>1514</v>
      </c>
      <c r="C69" s="43" t="s">
        <v>1515</v>
      </c>
      <c r="D69" s="10">
        <v>44501</v>
      </c>
      <c r="E69" s="9">
        <v>35000</v>
      </c>
      <c r="F69" s="10">
        <v>44501</v>
      </c>
      <c r="G69" s="10">
        <v>44512</v>
      </c>
      <c r="H69" s="9">
        <v>35000</v>
      </c>
      <c r="I69" s="9">
        <f t="shared" si="0"/>
        <v>0</v>
      </c>
      <c r="J69" s="7" t="s">
        <v>1516</v>
      </c>
      <c r="K69" s="7" t="s">
        <v>27</v>
      </c>
      <c r="L69" s="7"/>
    </row>
    <row r="70" spans="1:12" ht="15.75" customHeight="1" x14ac:dyDescent="0.3">
      <c r="A70" s="10">
        <v>44501</v>
      </c>
      <c r="B70" s="2" t="s">
        <v>1517</v>
      </c>
      <c r="C70" s="43" t="s">
        <v>1518</v>
      </c>
      <c r="D70" s="10">
        <v>44501</v>
      </c>
      <c r="E70" s="9">
        <v>65000</v>
      </c>
      <c r="F70" s="10">
        <v>44501</v>
      </c>
      <c r="G70" s="10">
        <v>44670</v>
      </c>
      <c r="H70" s="9">
        <v>65000</v>
      </c>
      <c r="I70" s="9">
        <f t="shared" si="0"/>
        <v>0</v>
      </c>
      <c r="J70" s="7" t="s">
        <v>989</v>
      </c>
      <c r="K70" s="7" t="s">
        <v>1331</v>
      </c>
      <c r="L70" s="7" t="s">
        <v>13</v>
      </c>
    </row>
    <row r="71" spans="1:12" ht="15.75" customHeight="1" x14ac:dyDescent="0.3">
      <c r="A71" s="10">
        <v>44503</v>
      </c>
      <c r="B71" s="7" t="s">
        <v>1519</v>
      </c>
      <c r="C71" s="43" t="s">
        <v>1520</v>
      </c>
      <c r="D71" s="10">
        <v>44503</v>
      </c>
      <c r="E71" s="9">
        <v>70000</v>
      </c>
      <c r="F71" s="10">
        <v>44503</v>
      </c>
      <c r="G71" s="10">
        <v>44504</v>
      </c>
      <c r="H71" s="9">
        <f>25000+45000</f>
        <v>70000</v>
      </c>
      <c r="I71" s="9">
        <f t="shared" si="0"/>
        <v>0</v>
      </c>
      <c r="J71" s="7" t="s">
        <v>1521</v>
      </c>
      <c r="K71" s="7" t="s">
        <v>1331</v>
      </c>
      <c r="L71" s="7" t="s">
        <v>14</v>
      </c>
    </row>
    <row r="72" spans="1:12" ht="15.75" customHeight="1" x14ac:dyDescent="0.3">
      <c r="A72" s="10">
        <v>44505</v>
      </c>
      <c r="B72" s="7" t="s">
        <v>1522</v>
      </c>
      <c r="C72" s="43" t="s">
        <v>1523</v>
      </c>
      <c r="D72" s="10">
        <v>44505</v>
      </c>
      <c r="E72" s="9">
        <v>15000</v>
      </c>
      <c r="F72" s="10">
        <v>44505</v>
      </c>
      <c r="G72" s="10">
        <v>44504</v>
      </c>
      <c r="H72" s="9">
        <v>15000</v>
      </c>
      <c r="I72" s="9">
        <f t="shared" si="0"/>
        <v>0</v>
      </c>
      <c r="J72" s="7" t="s">
        <v>1524</v>
      </c>
      <c r="K72" s="7" t="s">
        <v>27</v>
      </c>
      <c r="L72" s="7"/>
    </row>
    <row r="73" spans="1:12" ht="15.75" customHeight="1" x14ac:dyDescent="0.3">
      <c r="A73" s="10">
        <v>44508</v>
      </c>
      <c r="B73" s="7" t="s">
        <v>1525</v>
      </c>
      <c r="C73" s="43" t="s">
        <v>1526</v>
      </c>
      <c r="D73" s="10">
        <v>44508</v>
      </c>
      <c r="E73" s="9">
        <v>500000</v>
      </c>
      <c r="F73" s="10">
        <v>44508</v>
      </c>
      <c r="G73" s="10">
        <v>44511</v>
      </c>
      <c r="H73" s="9">
        <v>500000</v>
      </c>
      <c r="I73" s="9">
        <f t="shared" si="0"/>
        <v>0</v>
      </c>
      <c r="J73" s="7" t="s">
        <v>1527</v>
      </c>
      <c r="K73" s="7" t="s">
        <v>1331</v>
      </c>
      <c r="L73" s="7" t="s">
        <v>14</v>
      </c>
    </row>
    <row r="74" spans="1:12" ht="15.75" customHeight="1" x14ac:dyDescent="0.3">
      <c r="A74" s="10">
        <v>44510</v>
      </c>
      <c r="B74" s="2" t="s">
        <v>1528</v>
      </c>
      <c r="C74" s="43" t="s">
        <v>1529</v>
      </c>
      <c r="D74" s="10">
        <v>44510</v>
      </c>
      <c r="E74" s="9">
        <v>5000</v>
      </c>
      <c r="F74" s="10">
        <v>44510</v>
      </c>
      <c r="G74" s="10">
        <v>44510</v>
      </c>
      <c r="H74" s="9">
        <v>5000</v>
      </c>
      <c r="I74" s="9">
        <f t="shared" si="0"/>
        <v>0</v>
      </c>
      <c r="J74" s="7" t="s">
        <v>1530</v>
      </c>
      <c r="K74" s="7" t="s">
        <v>27</v>
      </c>
      <c r="L74" s="7"/>
    </row>
    <row r="75" spans="1:12" ht="15.75" customHeight="1" x14ac:dyDescent="0.3">
      <c r="A75" s="10">
        <v>44510</v>
      </c>
      <c r="B75" s="2" t="s">
        <v>1531</v>
      </c>
      <c r="C75" s="43" t="s">
        <v>1532</v>
      </c>
      <c r="D75" s="10">
        <v>44510</v>
      </c>
      <c r="E75" s="9">
        <v>5000</v>
      </c>
      <c r="F75" s="10">
        <v>44510</v>
      </c>
      <c r="G75" s="10">
        <v>44510</v>
      </c>
      <c r="H75" s="9">
        <v>5000</v>
      </c>
      <c r="I75" s="9">
        <f t="shared" si="0"/>
        <v>0</v>
      </c>
      <c r="J75" s="7" t="s">
        <v>1530</v>
      </c>
      <c r="K75" s="7" t="s">
        <v>27</v>
      </c>
      <c r="L75" s="7"/>
    </row>
    <row r="76" spans="1:12" ht="15.75" customHeight="1" x14ac:dyDescent="0.3">
      <c r="A76" s="10">
        <v>44516</v>
      </c>
      <c r="B76" s="7" t="s">
        <v>1533</v>
      </c>
      <c r="C76" s="43" t="s">
        <v>1534</v>
      </c>
      <c r="D76" s="10">
        <v>44517</v>
      </c>
      <c r="E76" s="9">
        <v>65000</v>
      </c>
      <c r="F76" s="10">
        <v>44518</v>
      </c>
      <c r="G76" s="10">
        <v>44516</v>
      </c>
      <c r="H76" s="9">
        <v>65000</v>
      </c>
      <c r="I76" s="9">
        <f t="shared" si="0"/>
        <v>0</v>
      </c>
      <c r="J76" s="7" t="s">
        <v>1535</v>
      </c>
      <c r="K76" s="7" t="s">
        <v>1331</v>
      </c>
      <c r="L76" s="7" t="s">
        <v>16</v>
      </c>
    </row>
    <row r="77" spans="1:12" ht="15.75" customHeight="1" x14ac:dyDescent="0.3">
      <c r="A77" s="10">
        <v>44517</v>
      </c>
      <c r="B77" s="7" t="s">
        <v>1536</v>
      </c>
      <c r="C77" s="43" t="s">
        <v>1537</v>
      </c>
      <c r="D77" s="10">
        <v>44517</v>
      </c>
      <c r="E77" s="9">
        <v>100000</v>
      </c>
      <c r="F77" s="10">
        <v>44518</v>
      </c>
      <c r="G77" s="10">
        <v>44517</v>
      </c>
      <c r="H77" s="9">
        <v>100000</v>
      </c>
      <c r="I77" s="9">
        <f t="shared" si="0"/>
        <v>0</v>
      </c>
      <c r="J77" s="7" t="s">
        <v>1538</v>
      </c>
      <c r="K77" s="7" t="s">
        <v>1331</v>
      </c>
      <c r="L77" s="7" t="s">
        <v>16</v>
      </c>
    </row>
    <row r="78" spans="1:12" ht="15.75" customHeight="1" x14ac:dyDescent="0.3">
      <c r="A78" s="10">
        <v>44512</v>
      </c>
      <c r="B78" s="7" t="s">
        <v>1539</v>
      </c>
      <c r="C78" s="43" t="s">
        <v>1540</v>
      </c>
      <c r="D78" s="10">
        <v>44517</v>
      </c>
      <c r="E78" s="9">
        <v>45000</v>
      </c>
      <c r="F78" s="10">
        <v>44518</v>
      </c>
      <c r="G78" s="10">
        <v>44512</v>
      </c>
      <c r="H78" s="9">
        <v>45000</v>
      </c>
      <c r="I78" s="9">
        <f t="shared" si="0"/>
        <v>0</v>
      </c>
      <c r="J78" s="7" t="s">
        <v>1541</v>
      </c>
      <c r="K78" s="7" t="s">
        <v>1331</v>
      </c>
      <c r="L78" s="7" t="s">
        <v>16</v>
      </c>
    </row>
    <row r="79" spans="1:12" ht="15.75" customHeight="1" x14ac:dyDescent="0.3">
      <c r="A79" s="10">
        <v>44524</v>
      </c>
      <c r="B79" s="7" t="s">
        <v>1542</v>
      </c>
      <c r="C79" s="43" t="s">
        <v>1543</v>
      </c>
      <c r="D79" s="10">
        <v>44524</v>
      </c>
      <c r="E79" s="9">
        <v>100000</v>
      </c>
      <c r="F79" s="10">
        <v>44524</v>
      </c>
      <c r="G79" s="10">
        <v>44525</v>
      </c>
      <c r="H79" s="9">
        <v>100000</v>
      </c>
      <c r="I79" s="9">
        <f t="shared" si="0"/>
        <v>0</v>
      </c>
      <c r="J79" s="7" t="s">
        <v>1544</v>
      </c>
      <c r="K79" s="7" t="s">
        <v>1331</v>
      </c>
      <c r="L79" s="7" t="s">
        <v>16</v>
      </c>
    </row>
    <row r="80" spans="1:12" ht="15.75" customHeight="1" x14ac:dyDescent="0.3">
      <c r="A80" s="10">
        <v>44524</v>
      </c>
      <c r="B80" s="7" t="s">
        <v>1545</v>
      </c>
      <c r="C80" s="43" t="s">
        <v>1546</v>
      </c>
      <c r="D80" s="10">
        <v>44524</v>
      </c>
      <c r="E80" s="9">
        <v>800835</v>
      </c>
      <c r="F80" s="10">
        <v>44524</v>
      </c>
      <c r="G80" s="10">
        <v>44525</v>
      </c>
      <c r="H80" s="9">
        <v>800835</v>
      </c>
      <c r="I80" s="9">
        <f t="shared" si="0"/>
        <v>0</v>
      </c>
      <c r="J80" s="7" t="s">
        <v>1547</v>
      </c>
      <c r="K80" s="7" t="s">
        <v>1331</v>
      </c>
      <c r="L80" s="7" t="s">
        <v>14</v>
      </c>
    </row>
    <row r="81" spans="1:12" ht="15.75" customHeight="1" x14ac:dyDescent="0.3">
      <c r="A81" s="10">
        <v>44525</v>
      </c>
      <c r="B81" s="7" t="s">
        <v>1548</v>
      </c>
      <c r="C81" s="43" t="s">
        <v>1549</v>
      </c>
      <c r="D81" s="10">
        <v>44525</v>
      </c>
      <c r="E81" s="9">
        <v>7500</v>
      </c>
      <c r="F81" s="10">
        <v>44525</v>
      </c>
      <c r="G81" s="10">
        <v>44513</v>
      </c>
      <c r="H81" s="9">
        <v>7500</v>
      </c>
      <c r="I81" s="9">
        <f t="shared" si="0"/>
        <v>0</v>
      </c>
      <c r="J81" s="2" t="s">
        <v>1550</v>
      </c>
      <c r="K81" s="2" t="s">
        <v>1331</v>
      </c>
      <c r="L81" s="2" t="s">
        <v>405</v>
      </c>
    </row>
    <row r="82" spans="1:12" ht="15.75" customHeight="1" x14ac:dyDescent="0.3">
      <c r="A82" s="10">
        <v>44525</v>
      </c>
      <c r="B82" s="7" t="s">
        <v>1551</v>
      </c>
      <c r="C82" s="43" t="s">
        <v>1552</v>
      </c>
      <c r="D82" s="10">
        <v>44525</v>
      </c>
      <c r="E82" s="9">
        <v>7500</v>
      </c>
      <c r="F82" s="10">
        <v>44525</v>
      </c>
      <c r="G82" s="10">
        <v>44513</v>
      </c>
      <c r="H82" s="9">
        <v>7500</v>
      </c>
      <c r="I82" s="9">
        <f t="shared" si="0"/>
        <v>0</v>
      </c>
      <c r="J82" s="2" t="s">
        <v>1553</v>
      </c>
      <c r="K82" s="2" t="s">
        <v>1331</v>
      </c>
      <c r="L82" s="2" t="s">
        <v>405</v>
      </c>
    </row>
    <row r="83" spans="1:12" ht="15.75" customHeight="1" x14ac:dyDescent="0.3">
      <c r="A83" s="10">
        <v>44525</v>
      </c>
      <c r="B83" s="7" t="s">
        <v>1554</v>
      </c>
      <c r="C83" s="43" t="s">
        <v>1555</v>
      </c>
      <c r="D83" s="10">
        <v>44525</v>
      </c>
      <c r="E83" s="9">
        <v>30000</v>
      </c>
      <c r="F83" s="10">
        <v>44525</v>
      </c>
      <c r="G83" s="10">
        <v>44523</v>
      </c>
      <c r="H83" s="9">
        <v>30000</v>
      </c>
      <c r="I83" s="9">
        <f t="shared" si="0"/>
        <v>0</v>
      </c>
      <c r="J83" s="2" t="s">
        <v>1556</v>
      </c>
      <c r="K83" s="7" t="s">
        <v>1331</v>
      </c>
      <c r="L83" s="7" t="s">
        <v>16</v>
      </c>
    </row>
    <row r="84" spans="1:12" ht="15.75" customHeight="1" x14ac:dyDescent="0.3">
      <c r="A84" s="10">
        <v>44525</v>
      </c>
      <c r="B84" s="7" t="s">
        <v>1554</v>
      </c>
      <c r="C84" s="43" t="s">
        <v>1557</v>
      </c>
      <c r="D84" s="10">
        <v>44525</v>
      </c>
      <c r="E84" s="9">
        <v>30000</v>
      </c>
      <c r="F84" s="10">
        <v>44525</v>
      </c>
      <c r="G84" s="10">
        <v>44523</v>
      </c>
      <c r="H84" s="9">
        <v>30000</v>
      </c>
      <c r="I84" s="9">
        <f t="shared" si="0"/>
        <v>0</v>
      </c>
      <c r="J84" s="2" t="s">
        <v>1556</v>
      </c>
      <c r="K84" s="7" t="s">
        <v>1331</v>
      </c>
      <c r="L84" s="7" t="s">
        <v>16</v>
      </c>
    </row>
    <row r="85" spans="1:12" ht="15.75" customHeight="1" x14ac:dyDescent="0.3">
      <c r="A85" s="10">
        <v>44536</v>
      </c>
      <c r="B85" s="2" t="s">
        <v>1558</v>
      </c>
      <c r="C85" s="43" t="s">
        <v>1559</v>
      </c>
      <c r="D85" s="10">
        <v>44536</v>
      </c>
      <c r="E85" s="9">
        <v>21000</v>
      </c>
      <c r="F85" s="10">
        <v>44537</v>
      </c>
      <c r="G85" s="10">
        <v>44544</v>
      </c>
      <c r="H85" s="9">
        <v>21000</v>
      </c>
      <c r="I85" s="9">
        <f t="shared" si="0"/>
        <v>0</v>
      </c>
      <c r="J85" s="2" t="s">
        <v>1560</v>
      </c>
      <c r="K85" s="7" t="s">
        <v>27</v>
      </c>
      <c r="L85" s="7"/>
    </row>
    <row r="86" spans="1:12" ht="15.75" customHeight="1" x14ac:dyDescent="0.3">
      <c r="A86" s="10">
        <v>44536</v>
      </c>
      <c r="B86" s="7" t="s">
        <v>1561</v>
      </c>
      <c r="C86" s="43" t="s">
        <v>1562</v>
      </c>
      <c r="D86" s="10">
        <v>44536</v>
      </c>
      <c r="E86" s="9">
        <v>11250</v>
      </c>
      <c r="F86" s="10">
        <v>44537</v>
      </c>
      <c r="G86" s="10">
        <v>44550</v>
      </c>
      <c r="H86" s="9">
        <v>11250</v>
      </c>
      <c r="I86" s="9">
        <f t="shared" si="0"/>
        <v>0</v>
      </c>
      <c r="J86" s="2" t="s">
        <v>1563</v>
      </c>
      <c r="K86" s="7" t="s">
        <v>27</v>
      </c>
      <c r="L86" s="7"/>
    </row>
    <row r="87" spans="1:12" ht="15.75" customHeight="1" x14ac:dyDescent="0.3">
      <c r="A87" s="10">
        <v>44536</v>
      </c>
      <c r="B87" s="2" t="s">
        <v>1564</v>
      </c>
      <c r="C87" s="43" t="s">
        <v>1565</v>
      </c>
      <c r="D87" s="10">
        <v>44536</v>
      </c>
      <c r="E87" s="9">
        <v>65000</v>
      </c>
      <c r="F87" s="10">
        <v>44537</v>
      </c>
      <c r="G87" s="10">
        <v>44670</v>
      </c>
      <c r="H87" s="9">
        <v>65000</v>
      </c>
      <c r="I87" s="9">
        <f t="shared" si="0"/>
        <v>0</v>
      </c>
      <c r="J87" s="2" t="s">
        <v>989</v>
      </c>
      <c r="K87" s="7" t="s">
        <v>1331</v>
      </c>
      <c r="L87" s="7" t="s">
        <v>13</v>
      </c>
    </row>
    <row r="88" spans="1:12" ht="15.75" customHeight="1" x14ac:dyDescent="0.3">
      <c r="A88" s="10">
        <v>44536</v>
      </c>
      <c r="B88" s="2" t="s">
        <v>1566</v>
      </c>
      <c r="C88" s="43" t="s">
        <v>1567</v>
      </c>
      <c r="D88" s="10">
        <v>44536</v>
      </c>
      <c r="E88" s="9">
        <v>5000</v>
      </c>
      <c r="F88" s="10">
        <v>44536</v>
      </c>
      <c r="G88" s="10">
        <v>44537</v>
      </c>
      <c r="H88" s="9">
        <v>5000</v>
      </c>
      <c r="I88" s="9">
        <f t="shared" si="0"/>
        <v>0</v>
      </c>
      <c r="J88" s="2" t="s">
        <v>1568</v>
      </c>
      <c r="K88" s="7" t="s">
        <v>27</v>
      </c>
      <c r="L88" s="7"/>
    </row>
    <row r="89" spans="1:12" ht="15.75" customHeight="1" x14ac:dyDescent="0.3">
      <c r="A89" s="10">
        <v>44536</v>
      </c>
      <c r="B89" s="7" t="s">
        <v>1569</v>
      </c>
      <c r="C89" s="43" t="s">
        <v>1570</v>
      </c>
      <c r="D89" s="10">
        <v>44536</v>
      </c>
      <c r="E89" s="9">
        <v>55000</v>
      </c>
      <c r="F89" s="10">
        <v>44536</v>
      </c>
      <c r="G89" s="10">
        <v>44541</v>
      </c>
      <c r="H89" s="9">
        <v>55000</v>
      </c>
      <c r="I89" s="9">
        <f t="shared" si="0"/>
        <v>0</v>
      </c>
      <c r="J89" s="2" t="s">
        <v>1571</v>
      </c>
      <c r="K89" s="7" t="s">
        <v>1331</v>
      </c>
      <c r="L89" s="7" t="s">
        <v>14</v>
      </c>
    </row>
    <row r="90" spans="1:12" ht="15.75" customHeight="1" x14ac:dyDescent="0.3">
      <c r="A90" s="10">
        <v>44553</v>
      </c>
      <c r="B90" s="7" t="s">
        <v>1572</v>
      </c>
      <c r="C90" s="43" t="s">
        <v>1573</v>
      </c>
      <c r="D90" s="10">
        <v>44553</v>
      </c>
      <c r="E90" s="9">
        <v>630000</v>
      </c>
      <c r="F90" s="10">
        <v>44553</v>
      </c>
      <c r="G90" s="10">
        <v>44557</v>
      </c>
      <c r="H90" s="9">
        <v>630000</v>
      </c>
      <c r="I90" s="9">
        <f t="shared" si="0"/>
        <v>0</v>
      </c>
      <c r="J90" s="2" t="s">
        <v>1574</v>
      </c>
      <c r="K90" s="7" t="s">
        <v>1331</v>
      </c>
      <c r="L90" s="2" t="s">
        <v>15</v>
      </c>
    </row>
    <row r="91" spans="1:12" ht="15.75" customHeight="1" x14ac:dyDescent="0.3">
      <c r="A91" s="10">
        <v>44553</v>
      </c>
      <c r="B91" s="7" t="s">
        <v>1575</v>
      </c>
      <c r="C91" s="43" t="s">
        <v>1576</v>
      </c>
      <c r="D91" s="10">
        <v>44553</v>
      </c>
      <c r="E91" s="9">
        <v>125000</v>
      </c>
      <c r="F91" s="10">
        <v>44563</v>
      </c>
      <c r="G91" s="10">
        <v>44553</v>
      </c>
      <c r="H91" s="9">
        <v>125000</v>
      </c>
      <c r="I91" s="9">
        <f t="shared" si="0"/>
        <v>0</v>
      </c>
      <c r="J91" s="2" t="s">
        <v>1577</v>
      </c>
      <c r="K91" s="7" t="s">
        <v>1331</v>
      </c>
      <c r="L91" s="7" t="s">
        <v>14</v>
      </c>
    </row>
    <row r="92" spans="1:12" ht="15.75" customHeight="1" x14ac:dyDescent="0.3">
      <c r="A92" s="10">
        <v>44561</v>
      </c>
      <c r="B92" s="7" t="s">
        <v>1578</v>
      </c>
      <c r="C92" s="43" t="s">
        <v>1579</v>
      </c>
      <c r="D92" s="10">
        <v>44561</v>
      </c>
      <c r="E92" s="9">
        <v>30000</v>
      </c>
      <c r="F92" s="10"/>
      <c r="G92" s="10">
        <v>44561</v>
      </c>
      <c r="H92" s="9">
        <v>30000</v>
      </c>
      <c r="I92" s="9">
        <f t="shared" si="0"/>
        <v>0</v>
      </c>
      <c r="J92" s="2" t="s">
        <v>1580</v>
      </c>
      <c r="K92" s="7" t="s">
        <v>1331</v>
      </c>
      <c r="L92" s="7" t="s">
        <v>16</v>
      </c>
    </row>
    <row r="93" spans="1:12" ht="15.75" customHeight="1" x14ac:dyDescent="0.3">
      <c r="A93" s="10">
        <v>44561</v>
      </c>
      <c r="B93" s="7" t="s">
        <v>1581</v>
      </c>
      <c r="C93" s="43" t="s">
        <v>1582</v>
      </c>
      <c r="D93" s="10">
        <v>44561</v>
      </c>
      <c r="E93" s="9">
        <v>250000</v>
      </c>
      <c r="F93" s="10">
        <v>44561</v>
      </c>
      <c r="G93" s="10">
        <v>44562</v>
      </c>
      <c r="H93" s="9">
        <v>250000</v>
      </c>
      <c r="I93" s="9">
        <f t="shared" si="0"/>
        <v>0</v>
      </c>
      <c r="J93" s="2" t="s">
        <v>1583</v>
      </c>
      <c r="K93" s="7" t="s">
        <v>1331</v>
      </c>
      <c r="L93" s="7" t="s">
        <v>16</v>
      </c>
    </row>
    <row r="94" spans="1:12" ht="15.75" customHeight="1" x14ac:dyDescent="0.3">
      <c r="A94" s="10"/>
      <c r="C94" s="43"/>
      <c r="D94" s="10"/>
      <c r="E94" s="9"/>
      <c r="F94" s="10"/>
      <c r="G94" s="10"/>
      <c r="H94" s="9"/>
      <c r="I94" s="9">
        <f t="shared" si="0"/>
        <v>0</v>
      </c>
    </row>
    <row r="95" spans="1:12" ht="15.75" customHeight="1" x14ac:dyDescent="0.3">
      <c r="A95" s="52"/>
      <c r="B95" s="53" t="s">
        <v>1584</v>
      </c>
      <c r="C95" s="54"/>
      <c r="D95" s="52"/>
      <c r="E95" s="55">
        <v>165690</v>
      </c>
      <c r="F95" s="52"/>
      <c r="G95" s="52">
        <v>44449</v>
      </c>
      <c r="H95" s="55">
        <v>165690</v>
      </c>
      <c r="I95" s="55">
        <f t="shared" si="0"/>
        <v>0</v>
      </c>
      <c r="J95" s="53" t="s">
        <v>1585</v>
      </c>
      <c r="K95" s="53" t="s">
        <v>1331</v>
      </c>
      <c r="L95" s="53" t="s">
        <v>13</v>
      </c>
    </row>
    <row r="96" spans="1:12" ht="15.75" customHeight="1" x14ac:dyDescent="0.3">
      <c r="A96" s="10"/>
      <c r="C96" s="43"/>
      <c r="D96" s="10"/>
      <c r="E96" s="9"/>
      <c r="F96" s="9"/>
      <c r="H96" s="9"/>
      <c r="I96" s="9">
        <f t="shared" si="0"/>
        <v>0</v>
      </c>
    </row>
    <row r="97" spans="4:9" ht="15.75" customHeight="1" x14ac:dyDescent="0.3">
      <c r="E97" s="9"/>
      <c r="F97" s="9"/>
      <c r="H97" s="9"/>
      <c r="I97" s="9">
        <f t="shared" si="0"/>
        <v>0</v>
      </c>
    </row>
    <row r="98" spans="4:9" ht="15.75" customHeight="1" x14ac:dyDescent="0.3">
      <c r="E98" s="9"/>
      <c r="F98" s="9"/>
      <c r="H98" s="9"/>
      <c r="I98" s="9">
        <f t="shared" si="0"/>
        <v>0</v>
      </c>
    </row>
    <row r="99" spans="4:9" ht="15.75" customHeight="1" x14ac:dyDescent="0.3">
      <c r="E99" s="29">
        <f>SUM(E2:E98)</f>
        <v>11987195</v>
      </c>
      <c r="F99" s="9"/>
      <c r="G99" s="9"/>
      <c r="H99" s="29">
        <f t="shared" ref="H99:I99" si="1">SUM(H2:H98)</f>
        <v>11904795</v>
      </c>
      <c r="I99" s="29">
        <f t="shared" si="1"/>
        <v>82400</v>
      </c>
    </row>
    <row r="100" spans="4:9" ht="15.75" customHeight="1" x14ac:dyDescent="0.3">
      <c r="E100" s="9"/>
      <c r="F100" s="9"/>
      <c r="H100" s="9"/>
    </row>
    <row r="101" spans="4:9" ht="15.75" customHeight="1" x14ac:dyDescent="0.3">
      <c r="D101" s="2" t="s">
        <v>1331</v>
      </c>
      <c r="E101" s="9">
        <f>SUMIF(K2:K97,D101,E2:E98)</f>
        <v>10418345</v>
      </c>
      <c r="F101" s="9"/>
      <c r="G101" s="9"/>
      <c r="H101" s="9">
        <f t="shared" ref="H101:I101" si="2">SUMIF($K2:$K98,$D$101,H2:H98)</f>
        <v>10335945</v>
      </c>
      <c r="I101" s="9">
        <f t="shared" si="2"/>
        <v>82400</v>
      </c>
    </row>
    <row r="102" spans="4:9" ht="15.75" customHeight="1" x14ac:dyDescent="0.3">
      <c r="D102" s="2" t="s">
        <v>27</v>
      </c>
      <c r="E102" s="9">
        <f>SUMIF(K2:K97,D102,E2:E98)</f>
        <v>1568850</v>
      </c>
      <c r="F102" s="9"/>
      <c r="G102" s="9"/>
      <c r="H102" s="9">
        <f t="shared" ref="H102:I102" si="3">SUMIF($K2:$K98,$D$102,H2:H98)</f>
        <v>1568850</v>
      </c>
      <c r="I102" s="9">
        <f t="shared" si="3"/>
        <v>0</v>
      </c>
    </row>
    <row r="103" spans="4:9" ht="15.75" customHeight="1" x14ac:dyDescent="0.3">
      <c r="E103" s="29">
        <f>SUM(E101:E102)</f>
        <v>11987195</v>
      </c>
      <c r="F103" s="9"/>
      <c r="G103" s="9"/>
      <c r="H103" s="29">
        <f t="shared" ref="H103:I103" si="4">SUM(H101:H102)</f>
        <v>11904795</v>
      </c>
      <c r="I103" s="29">
        <f t="shared" si="4"/>
        <v>82400</v>
      </c>
    </row>
    <row r="104" spans="4:9" ht="15.75" customHeight="1" x14ac:dyDescent="0.3">
      <c r="E104" s="9">
        <f>E99-E103</f>
        <v>0</v>
      </c>
      <c r="F104" s="9"/>
      <c r="G104" s="9"/>
      <c r="H104" s="9">
        <f t="shared" ref="H104:I104" si="5">H99-H103</f>
        <v>0</v>
      </c>
      <c r="I104" s="9">
        <f t="shared" si="5"/>
        <v>0</v>
      </c>
    </row>
    <row r="105" spans="4:9" ht="15.75" customHeight="1" x14ac:dyDescent="0.3">
      <c r="E105" s="9"/>
      <c r="F105" s="9"/>
      <c r="G105" s="9"/>
      <c r="H105" s="9"/>
    </row>
    <row r="106" spans="4:9" ht="15.75" customHeight="1" x14ac:dyDescent="0.3">
      <c r="D106" s="3" t="s">
        <v>1586</v>
      </c>
      <c r="E106" s="4" t="s">
        <v>1587</v>
      </c>
      <c r="F106" s="9"/>
      <c r="H106" s="9"/>
    </row>
    <row r="107" spans="4:9" ht="15.75" customHeight="1" x14ac:dyDescent="0.3">
      <c r="D107" s="2" t="s">
        <v>13</v>
      </c>
      <c r="E107" s="9">
        <f>SUMIF(L2:L97,D107,E2:E98)</f>
        <v>966310</v>
      </c>
      <c r="F107" s="9"/>
      <c r="H107" s="9"/>
    </row>
    <row r="108" spans="4:9" ht="15.75" customHeight="1" x14ac:dyDescent="0.3">
      <c r="D108" s="2" t="s">
        <v>14</v>
      </c>
      <c r="E108" s="9">
        <f>SUMIF(L2:L97,D108,E2:E98)</f>
        <v>3934335</v>
      </c>
      <c r="F108" s="9"/>
      <c r="H108" s="9"/>
    </row>
    <row r="109" spans="4:9" ht="15.75" customHeight="1" x14ac:dyDescent="0.3">
      <c r="D109" s="2" t="s">
        <v>1588</v>
      </c>
      <c r="E109" s="9">
        <f>SUMIF(L2:L97,D109,E2:E98)</f>
        <v>0</v>
      </c>
      <c r="F109" s="9"/>
      <c r="H109" s="9"/>
    </row>
    <row r="110" spans="4:9" ht="15.75" customHeight="1" x14ac:dyDescent="0.3">
      <c r="D110" s="2" t="s">
        <v>15</v>
      </c>
      <c r="E110" s="9">
        <f>SUMIF(L2:L97,D110,E2:E98)</f>
        <v>1730800</v>
      </c>
      <c r="F110" s="9"/>
      <c r="H110" s="9"/>
    </row>
    <row r="111" spans="4:9" ht="15.75" customHeight="1" x14ac:dyDescent="0.3">
      <c r="D111" s="2" t="s">
        <v>16</v>
      </c>
      <c r="E111" s="9">
        <f t="shared" ref="E111:E114" si="6">SUMIF(L2:L97,D111,E2:E98)</f>
        <v>1805900</v>
      </c>
      <c r="F111" s="9"/>
      <c r="H111" s="9"/>
    </row>
    <row r="112" spans="4:9" ht="15.75" customHeight="1" x14ac:dyDescent="0.3">
      <c r="D112" s="2" t="s">
        <v>405</v>
      </c>
      <c r="E112" s="9">
        <f t="shared" si="6"/>
        <v>306000</v>
      </c>
      <c r="F112" s="9"/>
      <c r="H112" s="9"/>
    </row>
    <row r="113" spans="4:8" ht="15.75" customHeight="1" x14ac:dyDescent="0.3">
      <c r="D113" s="2" t="s">
        <v>1462</v>
      </c>
      <c r="E113" s="9">
        <f t="shared" si="6"/>
        <v>125000</v>
      </c>
      <c r="F113" s="9"/>
      <c r="H113" s="9"/>
    </row>
    <row r="114" spans="4:8" ht="15.75" customHeight="1" x14ac:dyDescent="0.3">
      <c r="D114" s="2" t="s">
        <v>1482</v>
      </c>
      <c r="E114" s="9">
        <f t="shared" si="6"/>
        <v>1550000</v>
      </c>
      <c r="F114" s="9"/>
      <c r="H114" s="9"/>
    </row>
    <row r="115" spans="4:8" ht="15.75" customHeight="1" x14ac:dyDescent="0.3">
      <c r="E115" s="9"/>
      <c r="F115" s="9"/>
      <c r="H115" s="9"/>
    </row>
    <row r="116" spans="4:8" ht="15.75" customHeight="1" x14ac:dyDescent="0.3">
      <c r="E116" s="9"/>
      <c r="F116" s="9"/>
      <c r="H116" s="9"/>
    </row>
    <row r="117" spans="4:8" ht="15.75" customHeight="1" x14ac:dyDescent="0.3">
      <c r="E117" s="9"/>
      <c r="F117" s="9"/>
      <c r="H117" s="9"/>
    </row>
    <row r="118" spans="4:8" ht="15.75" customHeight="1" x14ac:dyDescent="0.3">
      <c r="E118" s="9"/>
      <c r="F118" s="9"/>
      <c r="H118" s="9"/>
    </row>
    <row r="119" spans="4:8" ht="15.75" customHeight="1" x14ac:dyDescent="0.3">
      <c r="E119" s="9"/>
      <c r="F119" s="9"/>
      <c r="H119" s="9"/>
    </row>
    <row r="120" spans="4:8" ht="15.75" customHeight="1" x14ac:dyDescent="0.3">
      <c r="E120" s="9"/>
      <c r="F120" s="9"/>
      <c r="H120" s="9"/>
    </row>
    <row r="121" spans="4:8" ht="15.75" customHeight="1" x14ac:dyDescent="0.3">
      <c r="E121" s="9"/>
      <c r="F121" s="9"/>
      <c r="H121" s="9"/>
    </row>
    <row r="122" spans="4:8" ht="15.75" customHeight="1" x14ac:dyDescent="0.3">
      <c r="E122" s="9"/>
      <c r="F122" s="9"/>
      <c r="H122" s="9"/>
    </row>
    <row r="123" spans="4:8" ht="15.75" customHeight="1" x14ac:dyDescent="0.3">
      <c r="E123" s="9"/>
      <c r="F123" s="9"/>
      <c r="H123" s="9"/>
    </row>
    <row r="124" spans="4:8" ht="15.75" customHeight="1" x14ac:dyDescent="0.3">
      <c r="E124" s="9"/>
      <c r="F124" s="9"/>
      <c r="H124" s="9"/>
    </row>
    <row r="125" spans="4:8" ht="15.75" customHeight="1" x14ac:dyDescent="0.3">
      <c r="E125" s="9"/>
      <c r="F125" s="9"/>
      <c r="H125" s="9"/>
    </row>
    <row r="126" spans="4:8" ht="15.75" customHeight="1" x14ac:dyDescent="0.3">
      <c r="E126" s="9"/>
      <c r="F126" s="9"/>
      <c r="H126" s="9"/>
    </row>
    <row r="127" spans="4:8" ht="15.75" customHeight="1" x14ac:dyDescent="0.3">
      <c r="E127" s="9"/>
      <c r="F127" s="9"/>
      <c r="H127" s="9"/>
    </row>
    <row r="128" spans="4:8" ht="15.75" customHeight="1" x14ac:dyDescent="0.3">
      <c r="E128" s="9"/>
      <c r="F128" s="9"/>
      <c r="H128" s="9"/>
    </row>
    <row r="129" spans="5:8" ht="15.75" customHeight="1" x14ac:dyDescent="0.3">
      <c r="E129" s="9"/>
      <c r="F129" s="9"/>
      <c r="H129" s="9"/>
    </row>
    <row r="130" spans="5:8" ht="15.75" customHeight="1" x14ac:dyDescent="0.3">
      <c r="E130" s="9"/>
      <c r="F130" s="9"/>
      <c r="H130" s="9"/>
    </row>
    <row r="131" spans="5:8" ht="15.75" customHeight="1" x14ac:dyDescent="0.3">
      <c r="E131" s="9"/>
      <c r="F131" s="9"/>
      <c r="H131" s="9"/>
    </row>
    <row r="132" spans="5:8" ht="15.75" customHeight="1" x14ac:dyDescent="0.3">
      <c r="E132" s="9"/>
      <c r="F132" s="9"/>
      <c r="H132" s="9"/>
    </row>
    <row r="133" spans="5:8" ht="15.75" customHeight="1" x14ac:dyDescent="0.3">
      <c r="E133" s="9"/>
      <c r="F133" s="9"/>
      <c r="H133" s="9"/>
    </row>
    <row r="134" spans="5:8" ht="15.75" customHeight="1" x14ac:dyDescent="0.3">
      <c r="E134" s="9"/>
      <c r="F134" s="9"/>
      <c r="H134" s="9"/>
    </row>
    <row r="135" spans="5:8" ht="15.75" customHeight="1" x14ac:dyDescent="0.3">
      <c r="E135" s="9"/>
      <c r="F135" s="9"/>
      <c r="H135" s="9"/>
    </row>
    <row r="136" spans="5:8" ht="15.75" customHeight="1" x14ac:dyDescent="0.3">
      <c r="E136" s="9"/>
      <c r="F136" s="9"/>
      <c r="H136" s="9"/>
    </row>
    <row r="137" spans="5:8" ht="15.75" customHeight="1" x14ac:dyDescent="0.3">
      <c r="E137" s="9"/>
      <c r="F137" s="9"/>
      <c r="H137" s="9"/>
    </row>
    <row r="138" spans="5:8" ht="15.75" customHeight="1" x14ac:dyDescent="0.3">
      <c r="E138" s="9"/>
      <c r="F138" s="9"/>
      <c r="H138" s="9"/>
    </row>
    <row r="139" spans="5:8" ht="15.75" customHeight="1" x14ac:dyDescent="0.3">
      <c r="E139" s="9"/>
      <c r="F139" s="9"/>
      <c r="H139" s="9"/>
    </row>
    <row r="140" spans="5:8" ht="15.75" customHeight="1" x14ac:dyDescent="0.3">
      <c r="E140" s="9"/>
      <c r="F140" s="9"/>
      <c r="H140" s="9"/>
    </row>
    <row r="141" spans="5:8" ht="15.75" customHeight="1" x14ac:dyDescent="0.3">
      <c r="E141" s="9"/>
      <c r="F141" s="9"/>
      <c r="H141" s="9"/>
    </row>
    <row r="142" spans="5:8" ht="15.75" customHeight="1" x14ac:dyDescent="0.3">
      <c r="E142" s="9"/>
      <c r="F142" s="9"/>
      <c r="H142" s="9"/>
    </row>
    <row r="143" spans="5:8" ht="15.75" customHeight="1" x14ac:dyDescent="0.3">
      <c r="E143" s="9"/>
      <c r="F143" s="9"/>
      <c r="H143" s="9"/>
    </row>
    <row r="144" spans="5:8" ht="15.75" customHeight="1" x14ac:dyDescent="0.3">
      <c r="E144" s="9"/>
      <c r="F144" s="9"/>
      <c r="H144" s="9"/>
    </row>
    <row r="145" spans="5:8" ht="15.75" customHeight="1" x14ac:dyDescent="0.3">
      <c r="E145" s="9"/>
      <c r="F145" s="9"/>
      <c r="H145" s="9"/>
    </row>
    <row r="146" spans="5:8" ht="15.75" customHeight="1" x14ac:dyDescent="0.3">
      <c r="E146" s="9"/>
      <c r="F146" s="9"/>
      <c r="H146" s="9"/>
    </row>
    <row r="147" spans="5:8" ht="15.75" customHeight="1" x14ac:dyDescent="0.3">
      <c r="E147" s="9"/>
      <c r="F147" s="9"/>
      <c r="H147" s="9"/>
    </row>
    <row r="148" spans="5:8" ht="15.75" customHeight="1" x14ac:dyDescent="0.3">
      <c r="E148" s="9"/>
      <c r="F148" s="9"/>
      <c r="H148" s="9"/>
    </row>
    <row r="149" spans="5:8" ht="15.75" customHeight="1" x14ac:dyDescent="0.3">
      <c r="E149" s="9"/>
      <c r="F149" s="9"/>
      <c r="H149" s="9"/>
    </row>
    <row r="150" spans="5:8" ht="15.75" customHeight="1" x14ac:dyDescent="0.3">
      <c r="E150" s="9"/>
      <c r="F150" s="9"/>
      <c r="H150" s="9"/>
    </row>
    <row r="151" spans="5:8" ht="15.75" customHeight="1" x14ac:dyDescent="0.3">
      <c r="E151" s="9"/>
      <c r="F151" s="9"/>
      <c r="H151" s="9"/>
    </row>
    <row r="152" spans="5:8" ht="15.75" customHeight="1" x14ac:dyDescent="0.3">
      <c r="E152" s="9"/>
      <c r="F152" s="9"/>
      <c r="H152" s="9"/>
    </row>
    <row r="153" spans="5:8" ht="15.75" customHeight="1" x14ac:dyDescent="0.3">
      <c r="E153" s="9"/>
      <c r="F153" s="9"/>
      <c r="H153" s="9"/>
    </row>
    <row r="154" spans="5:8" ht="15.75" customHeight="1" x14ac:dyDescent="0.3">
      <c r="E154" s="9"/>
      <c r="F154" s="9"/>
      <c r="H154" s="9"/>
    </row>
    <row r="155" spans="5:8" ht="15.75" customHeight="1" x14ac:dyDescent="0.3">
      <c r="E155" s="9"/>
      <c r="F155" s="9"/>
      <c r="H155" s="9"/>
    </row>
    <row r="156" spans="5:8" ht="15.75" customHeight="1" x14ac:dyDescent="0.3">
      <c r="E156" s="9"/>
      <c r="F156" s="9"/>
      <c r="H156" s="9"/>
    </row>
    <row r="157" spans="5:8" ht="15.75" customHeight="1" x14ac:dyDescent="0.3">
      <c r="E157" s="9"/>
      <c r="F157" s="9"/>
      <c r="H157" s="9"/>
    </row>
    <row r="158" spans="5:8" ht="15.75" customHeight="1" x14ac:dyDescent="0.3">
      <c r="E158" s="9"/>
      <c r="F158" s="9"/>
      <c r="H158" s="9"/>
    </row>
    <row r="159" spans="5:8" ht="15.75" customHeight="1" x14ac:dyDescent="0.3">
      <c r="E159" s="9"/>
      <c r="F159" s="9"/>
      <c r="H159" s="9"/>
    </row>
    <row r="160" spans="5:8" ht="15.75" customHeight="1" x14ac:dyDescent="0.3">
      <c r="E160" s="9"/>
      <c r="F160" s="9"/>
      <c r="H160" s="9"/>
    </row>
    <row r="161" spans="5:8" ht="15.75" customHeight="1" x14ac:dyDescent="0.3">
      <c r="E161" s="9"/>
      <c r="F161" s="9"/>
      <c r="H161" s="9"/>
    </row>
    <row r="162" spans="5:8" ht="15.75" customHeight="1" x14ac:dyDescent="0.3">
      <c r="E162" s="9"/>
      <c r="F162" s="9"/>
      <c r="H162" s="9"/>
    </row>
    <row r="163" spans="5:8" ht="15.75" customHeight="1" x14ac:dyDescent="0.3">
      <c r="E163" s="9"/>
      <c r="F163" s="9"/>
      <c r="H163" s="9"/>
    </row>
    <row r="164" spans="5:8" ht="15.75" customHeight="1" x14ac:dyDescent="0.3">
      <c r="E164" s="9"/>
      <c r="F164" s="9"/>
      <c r="H164" s="9"/>
    </row>
    <row r="165" spans="5:8" ht="15.75" customHeight="1" x14ac:dyDescent="0.3">
      <c r="E165" s="9"/>
      <c r="F165" s="9"/>
      <c r="H165" s="9"/>
    </row>
    <row r="166" spans="5:8" ht="15.75" customHeight="1" x14ac:dyDescent="0.3">
      <c r="E166" s="9"/>
      <c r="F166" s="9"/>
      <c r="H166" s="9"/>
    </row>
    <row r="167" spans="5:8" ht="15.75" customHeight="1" x14ac:dyDescent="0.3">
      <c r="E167" s="9"/>
      <c r="F167" s="9"/>
      <c r="H167" s="9"/>
    </row>
    <row r="168" spans="5:8" ht="15.75" customHeight="1" x14ac:dyDescent="0.3">
      <c r="E168" s="9"/>
      <c r="F168" s="9"/>
      <c r="H168" s="9"/>
    </row>
    <row r="169" spans="5:8" ht="15.75" customHeight="1" x14ac:dyDescent="0.3">
      <c r="E169" s="9"/>
      <c r="F169" s="9"/>
      <c r="H169" s="9"/>
    </row>
    <row r="170" spans="5:8" ht="15.75" customHeight="1" x14ac:dyDescent="0.3">
      <c r="E170" s="9"/>
      <c r="F170" s="9"/>
      <c r="H170" s="9"/>
    </row>
    <row r="171" spans="5:8" ht="15.75" customHeight="1" x14ac:dyDescent="0.3">
      <c r="E171" s="9"/>
      <c r="F171" s="9"/>
      <c r="H171" s="9"/>
    </row>
    <row r="172" spans="5:8" ht="15.75" customHeight="1" x14ac:dyDescent="0.3">
      <c r="E172" s="9"/>
      <c r="F172" s="9"/>
      <c r="H172" s="9"/>
    </row>
    <row r="173" spans="5:8" ht="15.75" customHeight="1" x14ac:dyDescent="0.3">
      <c r="E173" s="9"/>
      <c r="F173" s="9"/>
      <c r="H173" s="9"/>
    </row>
    <row r="174" spans="5:8" ht="15.75" customHeight="1" x14ac:dyDescent="0.3">
      <c r="E174" s="9"/>
      <c r="F174" s="9"/>
      <c r="H174" s="9"/>
    </row>
    <row r="175" spans="5:8" ht="15.75" customHeight="1" x14ac:dyDescent="0.3">
      <c r="E175" s="9"/>
      <c r="F175" s="9"/>
      <c r="H175" s="9"/>
    </row>
    <row r="176" spans="5:8" ht="15.75" customHeight="1" x14ac:dyDescent="0.3">
      <c r="E176" s="9"/>
      <c r="F176" s="9"/>
      <c r="H176" s="9"/>
    </row>
    <row r="177" spans="5:8" ht="15.75" customHeight="1" x14ac:dyDescent="0.3">
      <c r="E177" s="9"/>
      <c r="F177" s="9"/>
      <c r="H177" s="9"/>
    </row>
    <row r="178" spans="5:8" ht="15.75" customHeight="1" x14ac:dyDescent="0.3">
      <c r="E178" s="9"/>
      <c r="F178" s="9"/>
      <c r="H178" s="9"/>
    </row>
    <row r="179" spans="5:8" ht="15.75" customHeight="1" x14ac:dyDescent="0.3">
      <c r="E179" s="9"/>
      <c r="F179" s="9"/>
      <c r="H179" s="9"/>
    </row>
    <row r="180" spans="5:8" ht="15.75" customHeight="1" x14ac:dyDescent="0.3">
      <c r="E180" s="9"/>
      <c r="F180" s="9"/>
      <c r="H180" s="9"/>
    </row>
    <row r="181" spans="5:8" ht="15.75" customHeight="1" x14ac:dyDescent="0.3">
      <c r="E181" s="9"/>
      <c r="F181" s="9"/>
      <c r="H181" s="9"/>
    </row>
    <row r="182" spans="5:8" ht="15.75" customHeight="1" x14ac:dyDescent="0.3">
      <c r="E182" s="9"/>
      <c r="F182" s="9"/>
      <c r="H182" s="9"/>
    </row>
    <row r="183" spans="5:8" ht="15.75" customHeight="1" x14ac:dyDescent="0.3">
      <c r="E183" s="9"/>
      <c r="F183" s="9"/>
      <c r="H183" s="9"/>
    </row>
    <row r="184" spans="5:8" ht="15.75" customHeight="1" x14ac:dyDescent="0.3">
      <c r="E184" s="9"/>
      <c r="F184" s="9"/>
      <c r="H184" s="9"/>
    </row>
    <row r="185" spans="5:8" ht="15.75" customHeight="1" x14ac:dyDescent="0.3">
      <c r="E185" s="9"/>
      <c r="F185" s="9"/>
      <c r="H185" s="9"/>
    </row>
    <row r="186" spans="5:8" ht="15.75" customHeight="1" x14ac:dyDescent="0.3">
      <c r="E186" s="9"/>
      <c r="F186" s="9"/>
      <c r="H186" s="9"/>
    </row>
    <row r="187" spans="5:8" ht="15.75" customHeight="1" x14ac:dyDescent="0.3">
      <c r="E187" s="9"/>
      <c r="F187" s="9"/>
      <c r="H187" s="9"/>
    </row>
    <row r="188" spans="5:8" ht="15.75" customHeight="1" x14ac:dyDescent="0.3">
      <c r="E188" s="9"/>
      <c r="F188" s="9"/>
      <c r="H188" s="9"/>
    </row>
    <row r="189" spans="5:8" ht="15.75" customHeight="1" x14ac:dyDescent="0.3">
      <c r="E189" s="9"/>
      <c r="F189" s="9"/>
      <c r="H189" s="9"/>
    </row>
    <row r="190" spans="5:8" ht="15.75" customHeight="1" x14ac:dyDescent="0.3">
      <c r="E190" s="9"/>
      <c r="F190" s="9"/>
      <c r="H190" s="9"/>
    </row>
    <row r="191" spans="5:8" ht="15.75" customHeight="1" x14ac:dyDescent="0.3">
      <c r="E191" s="9"/>
      <c r="F191" s="9"/>
      <c r="H191" s="9"/>
    </row>
    <row r="192" spans="5:8" ht="15.75" customHeight="1" x14ac:dyDescent="0.3">
      <c r="E192" s="9"/>
      <c r="F192" s="9"/>
      <c r="H192" s="9"/>
    </row>
    <row r="193" spans="5:8" ht="15.75" customHeight="1" x14ac:dyDescent="0.3">
      <c r="E193" s="9"/>
      <c r="F193" s="9"/>
      <c r="H193" s="9"/>
    </row>
    <row r="194" spans="5:8" ht="15.75" customHeight="1" x14ac:dyDescent="0.3">
      <c r="E194" s="9"/>
      <c r="F194" s="9"/>
      <c r="H194" s="9"/>
    </row>
    <row r="195" spans="5:8" ht="15.75" customHeight="1" x14ac:dyDescent="0.3">
      <c r="E195" s="9"/>
      <c r="F195" s="9"/>
      <c r="H195" s="9"/>
    </row>
    <row r="196" spans="5:8" ht="15.75" customHeight="1" x14ac:dyDescent="0.3">
      <c r="E196" s="9"/>
      <c r="F196" s="9"/>
      <c r="H196" s="9"/>
    </row>
    <row r="197" spans="5:8" ht="15.75" customHeight="1" x14ac:dyDescent="0.3">
      <c r="E197" s="9"/>
      <c r="F197" s="9"/>
      <c r="H197" s="9"/>
    </row>
    <row r="198" spans="5:8" ht="15.75" customHeight="1" x14ac:dyDescent="0.3">
      <c r="E198" s="9"/>
      <c r="F198" s="9"/>
      <c r="H198" s="9"/>
    </row>
    <row r="199" spans="5:8" ht="15.75" customHeight="1" x14ac:dyDescent="0.3">
      <c r="E199" s="9"/>
      <c r="F199" s="9"/>
      <c r="H199" s="9"/>
    </row>
    <row r="200" spans="5:8" ht="15.75" customHeight="1" x14ac:dyDescent="0.3">
      <c r="E200" s="9"/>
      <c r="F200" s="9"/>
      <c r="H200" s="9"/>
    </row>
    <row r="201" spans="5:8" ht="15.75" customHeight="1" x14ac:dyDescent="0.3">
      <c r="E201" s="9"/>
      <c r="F201" s="9"/>
      <c r="H201" s="9"/>
    </row>
    <row r="202" spans="5:8" ht="15.75" customHeight="1" x14ac:dyDescent="0.3">
      <c r="E202" s="9"/>
      <c r="F202" s="9"/>
      <c r="H202" s="9"/>
    </row>
    <row r="203" spans="5:8" ht="15.75" customHeight="1" x14ac:dyDescent="0.3">
      <c r="E203" s="9"/>
      <c r="F203" s="9"/>
      <c r="H203" s="9"/>
    </row>
    <row r="204" spans="5:8" ht="15.75" customHeight="1" x14ac:dyDescent="0.3">
      <c r="E204" s="9"/>
      <c r="F204" s="9"/>
      <c r="H204" s="9"/>
    </row>
    <row r="205" spans="5:8" ht="15.75" customHeight="1" x14ac:dyDescent="0.3">
      <c r="E205" s="9"/>
      <c r="F205" s="9"/>
      <c r="H205" s="9"/>
    </row>
    <row r="206" spans="5:8" ht="15.75" customHeight="1" x14ac:dyDescent="0.3">
      <c r="E206" s="9"/>
      <c r="F206" s="9"/>
      <c r="H206" s="9"/>
    </row>
    <row r="207" spans="5:8" ht="15.75" customHeight="1" x14ac:dyDescent="0.3">
      <c r="E207" s="9"/>
      <c r="F207" s="9"/>
      <c r="H207" s="9"/>
    </row>
    <row r="208" spans="5:8" ht="15.75" customHeight="1" x14ac:dyDescent="0.3">
      <c r="E208" s="9"/>
      <c r="F208" s="9"/>
      <c r="H208" s="9"/>
    </row>
    <row r="209" spans="5:8" ht="15.75" customHeight="1" x14ac:dyDescent="0.3">
      <c r="E209" s="9"/>
      <c r="F209" s="9"/>
      <c r="H209" s="9"/>
    </row>
    <row r="210" spans="5:8" ht="15.75" customHeight="1" x14ac:dyDescent="0.3">
      <c r="E210" s="9"/>
      <c r="F210" s="9"/>
      <c r="H210" s="9"/>
    </row>
    <row r="211" spans="5:8" ht="15.75" customHeight="1" x14ac:dyDescent="0.3">
      <c r="E211" s="9"/>
      <c r="F211" s="9"/>
      <c r="H211" s="9"/>
    </row>
    <row r="212" spans="5:8" ht="15.75" customHeight="1" x14ac:dyDescent="0.3">
      <c r="E212" s="9"/>
      <c r="F212" s="9"/>
      <c r="H212" s="9"/>
    </row>
    <row r="213" spans="5:8" ht="15.75" customHeight="1" x14ac:dyDescent="0.3">
      <c r="E213" s="9"/>
      <c r="F213" s="9"/>
      <c r="H213" s="9"/>
    </row>
    <row r="214" spans="5:8" ht="15.75" customHeight="1" x14ac:dyDescent="0.3">
      <c r="E214" s="9"/>
      <c r="F214" s="9"/>
      <c r="H214" s="9"/>
    </row>
    <row r="215" spans="5:8" ht="15.75" customHeight="1" x14ac:dyDescent="0.3">
      <c r="E215" s="9"/>
      <c r="F215" s="9"/>
      <c r="H215" s="9"/>
    </row>
    <row r="216" spans="5:8" ht="15.75" customHeight="1" x14ac:dyDescent="0.3">
      <c r="E216" s="9"/>
      <c r="F216" s="9"/>
      <c r="H216" s="9"/>
    </row>
    <row r="217" spans="5:8" ht="15.75" customHeight="1" x14ac:dyDescent="0.3">
      <c r="E217" s="9"/>
      <c r="F217" s="9"/>
      <c r="H217" s="9"/>
    </row>
    <row r="218" spans="5:8" ht="15.75" customHeight="1" x14ac:dyDescent="0.3">
      <c r="E218" s="9"/>
      <c r="F218" s="9"/>
      <c r="H218" s="9"/>
    </row>
    <row r="219" spans="5:8" ht="15.75" customHeight="1" x14ac:dyDescent="0.3">
      <c r="E219" s="9"/>
      <c r="F219" s="9"/>
      <c r="H219" s="9"/>
    </row>
    <row r="220" spans="5:8" ht="15.75" customHeight="1" x14ac:dyDescent="0.3">
      <c r="E220" s="9"/>
      <c r="F220" s="9"/>
      <c r="H220" s="9"/>
    </row>
    <row r="221" spans="5:8" ht="15.75" customHeight="1" x14ac:dyDescent="0.3">
      <c r="E221" s="9"/>
      <c r="F221" s="9"/>
      <c r="H221" s="9"/>
    </row>
    <row r="222" spans="5:8" ht="15.75" customHeight="1" x14ac:dyDescent="0.3">
      <c r="E222" s="9"/>
      <c r="F222" s="9"/>
      <c r="H222" s="9"/>
    </row>
    <row r="223" spans="5:8" ht="15.75" customHeight="1" x14ac:dyDescent="0.3">
      <c r="E223" s="9"/>
      <c r="F223" s="9"/>
      <c r="H223" s="9"/>
    </row>
    <row r="224" spans="5:8" ht="15.75" customHeight="1" x14ac:dyDescent="0.3">
      <c r="E224" s="9"/>
      <c r="F224" s="9"/>
      <c r="H224" s="9"/>
    </row>
    <row r="225" spans="5:8" ht="15.75" customHeight="1" x14ac:dyDescent="0.3">
      <c r="E225" s="9"/>
      <c r="F225" s="9"/>
      <c r="H225" s="9"/>
    </row>
    <row r="226" spans="5:8" ht="15.75" customHeight="1" x14ac:dyDescent="0.3">
      <c r="E226" s="9"/>
      <c r="F226" s="9"/>
      <c r="H226" s="9"/>
    </row>
    <row r="227" spans="5:8" ht="15.75" customHeight="1" x14ac:dyDescent="0.3">
      <c r="E227" s="9"/>
      <c r="F227" s="9"/>
      <c r="H227" s="9"/>
    </row>
    <row r="228" spans="5:8" ht="15.75" customHeight="1" x14ac:dyDescent="0.3">
      <c r="E228" s="9"/>
      <c r="F228" s="9"/>
      <c r="H228" s="9"/>
    </row>
    <row r="229" spans="5:8" ht="15.75" customHeight="1" x14ac:dyDescent="0.3">
      <c r="E229" s="9"/>
      <c r="F229" s="9"/>
      <c r="H229" s="9"/>
    </row>
    <row r="230" spans="5:8" ht="15.75" customHeight="1" x14ac:dyDescent="0.3">
      <c r="E230" s="9"/>
      <c r="F230" s="9"/>
      <c r="H230" s="9"/>
    </row>
    <row r="231" spans="5:8" ht="15.75" customHeight="1" x14ac:dyDescent="0.3">
      <c r="E231" s="9"/>
      <c r="F231" s="9"/>
      <c r="H231" s="9"/>
    </row>
    <row r="232" spans="5:8" ht="15.75" customHeight="1" x14ac:dyDescent="0.3">
      <c r="E232" s="9"/>
      <c r="F232" s="9"/>
      <c r="H232" s="9"/>
    </row>
    <row r="233" spans="5:8" ht="15.75" customHeight="1" x14ac:dyDescent="0.3">
      <c r="E233" s="9"/>
      <c r="F233" s="9"/>
      <c r="H233" s="9"/>
    </row>
    <row r="234" spans="5:8" ht="15.75" customHeight="1" x14ac:dyDescent="0.3">
      <c r="E234" s="9"/>
      <c r="F234" s="9"/>
      <c r="H234" s="9"/>
    </row>
    <row r="235" spans="5:8" ht="15.75" customHeight="1" x14ac:dyDescent="0.3">
      <c r="E235" s="9"/>
      <c r="F235" s="9"/>
      <c r="H235" s="9"/>
    </row>
    <row r="236" spans="5:8" ht="15.75" customHeight="1" x14ac:dyDescent="0.3">
      <c r="E236" s="9"/>
      <c r="F236" s="9"/>
      <c r="H236" s="9"/>
    </row>
    <row r="237" spans="5:8" ht="15.75" customHeight="1" x14ac:dyDescent="0.3">
      <c r="E237" s="9"/>
      <c r="F237" s="9"/>
      <c r="H237" s="9"/>
    </row>
    <row r="238" spans="5:8" ht="15.75" customHeight="1" x14ac:dyDescent="0.3">
      <c r="E238" s="9"/>
      <c r="F238" s="9"/>
      <c r="H238" s="9"/>
    </row>
    <row r="239" spans="5:8" ht="15.75" customHeight="1" x14ac:dyDescent="0.3">
      <c r="E239" s="9"/>
      <c r="F239" s="9"/>
      <c r="H239" s="9"/>
    </row>
    <row r="240" spans="5:8" ht="15.75" customHeight="1" x14ac:dyDescent="0.3">
      <c r="E240" s="9"/>
      <c r="F240" s="9"/>
      <c r="H240" s="9"/>
    </row>
    <row r="241" spans="5:8" ht="15.75" customHeight="1" x14ac:dyDescent="0.3">
      <c r="E241" s="9"/>
      <c r="F241" s="9"/>
      <c r="H241" s="9"/>
    </row>
    <row r="242" spans="5:8" ht="15.75" customHeight="1" x14ac:dyDescent="0.3">
      <c r="E242" s="9"/>
      <c r="F242" s="9"/>
      <c r="H242" s="9"/>
    </row>
    <row r="243" spans="5:8" ht="15.75" customHeight="1" x14ac:dyDescent="0.3">
      <c r="E243" s="9"/>
      <c r="F243" s="9"/>
      <c r="H243" s="9"/>
    </row>
    <row r="244" spans="5:8" ht="15.75" customHeight="1" x14ac:dyDescent="0.3">
      <c r="E244" s="9"/>
      <c r="F244" s="9"/>
      <c r="H244" s="9"/>
    </row>
    <row r="245" spans="5:8" ht="15.75" customHeight="1" x14ac:dyDescent="0.3">
      <c r="E245" s="9"/>
      <c r="F245" s="9"/>
      <c r="H245" s="9"/>
    </row>
    <row r="246" spans="5:8" ht="15.75" customHeight="1" x14ac:dyDescent="0.3">
      <c r="E246" s="9"/>
      <c r="F246" s="9"/>
      <c r="H246" s="9"/>
    </row>
    <row r="247" spans="5:8" ht="15.75" customHeight="1" x14ac:dyDescent="0.3">
      <c r="E247" s="9"/>
      <c r="F247" s="9"/>
      <c r="H247" s="9"/>
    </row>
    <row r="248" spans="5:8" ht="15.75" customHeight="1" x14ac:dyDescent="0.3">
      <c r="E248" s="9"/>
      <c r="F248" s="9"/>
      <c r="H248" s="9"/>
    </row>
    <row r="249" spans="5:8" ht="15.75" customHeight="1" x14ac:dyDescent="0.3">
      <c r="E249" s="9"/>
      <c r="F249" s="9"/>
      <c r="H249" s="9"/>
    </row>
    <row r="250" spans="5:8" ht="15.75" customHeight="1" x14ac:dyDescent="0.3">
      <c r="E250" s="9"/>
      <c r="F250" s="9"/>
      <c r="H250" s="9"/>
    </row>
    <row r="251" spans="5:8" ht="15.75" customHeight="1" x14ac:dyDescent="0.3">
      <c r="E251" s="9"/>
      <c r="F251" s="9"/>
      <c r="H251" s="9"/>
    </row>
    <row r="252" spans="5:8" ht="15.75" customHeight="1" x14ac:dyDescent="0.3">
      <c r="E252" s="9"/>
      <c r="F252" s="9"/>
      <c r="H252" s="9"/>
    </row>
    <row r="253" spans="5:8" ht="15.75" customHeight="1" x14ac:dyDescent="0.3">
      <c r="E253" s="9"/>
      <c r="F253" s="9"/>
      <c r="H253" s="9"/>
    </row>
    <row r="254" spans="5:8" ht="15.75" customHeight="1" x14ac:dyDescent="0.3">
      <c r="E254" s="9"/>
      <c r="F254" s="9"/>
      <c r="H254" s="9"/>
    </row>
    <row r="255" spans="5:8" ht="15.75" customHeight="1" x14ac:dyDescent="0.3">
      <c r="E255" s="9"/>
      <c r="F255" s="9"/>
      <c r="H255" s="9"/>
    </row>
    <row r="256" spans="5:8" ht="15.75" customHeight="1" x14ac:dyDescent="0.3">
      <c r="E256" s="9"/>
      <c r="F256" s="9"/>
      <c r="H256" s="9"/>
    </row>
    <row r="257" spans="5:8" ht="15.75" customHeight="1" x14ac:dyDescent="0.3">
      <c r="E257" s="9"/>
      <c r="F257" s="9"/>
      <c r="H257" s="9"/>
    </row>
    <row r="258" spans="5:8" ht="15.75" customHeight="1" x14ac:dyDescent="0.3">
      <c r="E258" s="9"/>
      <c r="F258" s="9"/>
      <c r="H258" s="9"/>
    </row>
    <row r="259" spans="5:8" ht="15.75" customHeight="1" x14ac:dyDescent="0.3">
      <c r="E259" s="9"/>
      <c r="F259" s="9"/>
      <c r="H259" s="9"/>
    </row>
    <row r="260" spans="5:8" ht="15.75" customHeight="1" x14ac:dyDescent="0.3">
      <c r="E260" s="9"/>
      <c r="F260" s="9"/>
      <c r="H260" s="9"/>
    </row>
    <row r="261" spans="5:8" ht="15.75" customHeight="1" x14ac:dyDescent="0.3">
      <c r="E261" s="9"/>
      <c r="F261" s="9"/>
      <c r="H261" s="9"/>
    </row>
    <row r="262" spans="5:8" ht="15.75" customHeight="1" x14ac:dyDescent="0.3">
      <c r="E262" s="9"/>
      <c r="F262" s="9"/>
      <c r="H262" s="9"/>
    </row>
    <row r="263" spans="5:8" ht="15.75" customHeight="1" x14ac:dyDescent="0.3">
      <c r="E263" s="9"/>
      <c r="F263" s="9"/>
      <c r="H263" s="9"/>
    </row>
    <row r="264" spans="5:8" ht="15.75" customHeight="1" x14ac:dyDescent="0.3">
      <c r="E264" s="9"/>
      <c r="F264" s="9"/>
      <c r="H264" s="9"/>
    </row>
    <row r="265" spans="5:8" ht="15.75" customHeight="1" x14ac:dyDescent="0.3">
      <c r="E265" s="9"/>
      <c r="F265" s="9"/>
      <c r="H265" s="9"/>
    </row>
    <row r="266" spans="5:8" ht="15.75" customHeight="1" x14ac:dyDescent="0.3">
      <c r="E266" s="9"/>
      <c r="F266" s="9"/>
      <c r="H266" s="9"/>
    </row>
    <row r="267" spans="5:8" ht="15.75" customHeight="1" x14ac:dyDescent="0.3">
      <c r="E267" s="9"/>
      <c r="F267" s="9"/>
      <c r="H267" s="9"/>
    </row>
    <row r="268" spans="5:8" ht="15.75" customHeight="1" x14ac:dyDescent="0.3">
      <c r="E268" s="9"/>
      <c r="F268" s="9"/>
      <c r="H268" s="9"/>
    </row>
    <row r="269" spans="5:8" ht="15.75" customHeight="1" x14ac:dyDescent="0.3">
      <c r="E269" s="9"/>
      <c r="F269" s="9"/>
      <c r="H269" s="9"/>
    </row>
    <row r="270" spans="5:8" ht="15.75" customHeight="1" x14ac:dyDescent="0.3">
      <c r="E270" s="9"/>
      <c r="F270" s="9"/>
      <c r="H270" s="9"/>
    </row>
    <row r="271" spans="5:8" ht="15.75" customHeight="1" x14ac:dyDescent="0.3">
      <c r="E271" s="9"/>
      <c r="F271" s="9"/>
      <c r="H271" s="9"/>
    </row>
    <row r="272" spans="5:8" ht="15.75" customHeight="1" x14ac:dyDescent="0.3">
      <c r="E272" s="9"/>
      <c r="F272" s="9"/>
      <c r="H272" s="9"/>
    </row>
    <row r="273" spans="5:8" ht="15.75" customHeight="1" x14ac:dyDescent="0.3">
      <c r="E273" s="9"/>
      <c r="F273" s="9"/>
      <c r="H273" s="9"/>
    </row>
    <row r="274" spans="5:8" ht="15.75" customHeight="1" x14ac:dyDescent="0.3">
      <c r="E274" s="9"/>
      <c r="F274" s="9"/>
      <c r="H274" s="9"/>
    </row>
    <row r="275" spans="5:8" ht="15.75" customHeight="1" x14ac:dyDescent="0.3">
      <c r="E275" s="9"/>
      <c r="F275" s="9"/>
      <c r="H275" s="9"/>
    </row>
    <row r="276" spans="5:8" ht="15.75" customHeight="1" x14ac:dyDescent="0.3">
      <c r="E276" s="9"/>
      <c r="F276" s="9"/>
      <c r="H276" s="9"/>
    </row>
    <row r="277" spans="5:8" ht="15.75" customHeight="1" x14ac:dyDescent="0.3">
      <c r="E277" s="9"/>
      <c r="F277" s="9"/>
      <c r="H277" s="9"/>
    </row>
    <row r="278" spans="5:8" ht="15.75" customHeight="1" x14ac:dyDescent="0.3">
      <c r="E278" s="9"/>
      <c r="F278" s="9"/>
      <c r="H278" s="9"/>
    </row>
    <row r="279" spans="5:8" ht="15.75" customHeight="1" x14ac:dyDescent="0.3">
      <c r="E279" s="9"/>
      <c r="F279" s="9"/>
      <c r="H279" s="9"/>
    </row>
    <row r="280" spans="5:8" ht="15.75" customHeight="1" x14ac:dyDescent="0.3">
      <c r="E280" s="9"/>
      <c r="F280" s="9"/>
      <c r="H280" s="9"/>
    </row>
    <row r="281" spans="5:8" ht="15.75" customHeight="1" x14ac:dyDescent="0.3">
      <c r="E281" s="9"/>
      <c r="F281" s="9"/>
      <c r="H281" s="9"/>
    </row>
    <row r="282" spans="5:8" ht="15.75" customHeight="1" x14ac:dyDescent="0.3">
      <c r="E282" s="9"/>
      <c r="F282" s="9"/>
      <c r="H282" s="9"/>
    </row>
    <row r="283" spans="5:8" ht="15.75" customHeight="1" x14ac:dyDescent="0.3">
      <c r="E283" s="9"/>
      <c r="F283" s="9"/>
      <c r="H283" s="9"/>
    </row>
    <row r="284" spans="5:8" ht="15.75" customHeight="1" x14ac:dyDescent="0.3">
      <c r="E284" s="9"/>
      <c r="F284" s="9"/>
      <c r="H284" s="9"/>
    </row>
    <row r="285" spans="5:8" ht="15.75" customHeight="1" x14ac:dyDescent="0.3">
      <c r="E285" s="9"/>
      <c r="F285" s="9"/>
      <c r="H285" s="9"/>
    </row>
    <row r="286" spans="5:8" ht="15.75" customHeight="1" x14ac:dyDescent="0.3">
      <c r="E286" s="9"/>
      <c r="F286" s="9"/>
      <c r="H286" s="9"/>
    </row>
    <row r="287" spans="5:8" ht="15.75" customHeight="1" x14ac:dyDescent="0.3">
      <c r="E287" s="9"/>
      <c r="F287" s="9"/>
      <c r="H287" s="9"/>
    </row>
    <row r="288" spans="5:8" ht="15.75" customHeight="1" x14ac:dyDescent="0.3">
      <c r="E288" s="9"/>
      <c r="F288" s="9"/>
      <c r="H288" s="9"/>
    </row>
    <row r="289" spans="5:8" ht="15.75" customHeight="1" x14ac:dyDescent="0.3">
      <c r="E289" s="9"/>
      <c r="F289" s="9"/>
      <c r="H289" s="9"/>
    </row>
    <row r="290" spans="5:8" ht="15.75" customHeight="1" x14ac:dyDescent="0.3">
      <c r="E290" s="9"/>
      <c r="F290" s="9"/>
      <c r="H290" s="9"/>
    </row>
    <row r="291" spans="5:8" ht="15.75" customHeight="1" x14ac:dyDescent="0.3">
      <c r="E291" s="9"/>
      <c r="F291" s="9"/>
      <c r="H291" s="9"/>
    </row>
    <row r="292" spans="5:8" ht="15.75" customHeight="1" x14ac:dyDescent="0.3">
      <c r="E292" s="9"/>
      <c r="F292" s="9"/>
      <c r="H292" s="9"/>
    </row>
    <row r="293" spans="5:8" ht="15.75" customHeight="1" x14ac:dyDescent="0.3">
      <c r="E293" s="9"/>
      <c r="F293" s="9"/>
      <c r="H293" s="9"/>
    </row>
    <row r="294" spans="5:8" ht="15.75" customHeight="1" x14ac:dyDescent="0.3">
      <c r="E294" s="9"/>
      <c r="F294" s="9"/>
      <c r="H294" s="9"/>
    </row>
    <row r="295" spans="5:8" ht="15.75" customHeight="1" x14ac:dyDescent="0.3">
      <c r="E295" s="9"/>
      <c r="F295" s="9"/>
      <c r="H295" s="9"/>
    </row>
    <row r="296" spans="5:8" ht="15.75" customHeight="1" x14ac:dyDescent="0.3">
      <c r="E296" s="9"/>
      <c r="F296" s="9"/>
      <c r="H296" s="9"/>
    </row>
    <row r="297" spans="5:8" ht="15.75" customHeight="1" x14ac:dyDescent="0.3">
      <c r="E297" s="9"/>
      <c r="F297" s="9"/>
      <c r="H297" s="9"/>
    </row>
    <row r="298" spans="5:8" ht="15.75" customHeight="1" x14ac:dyDescent="0.3">
      <c r="E298" s="9"/>
      <c r="F298" s="9"/>
      <c r="H298" s="9"/>
    </row>
    <row r="299" spans="5:8" ht="15.75" customHeight="1" x14ac:dyDescent="0.3">
      <c r="E299" s="9"/>
      <c r="F299" s="9"/>
      <c r="H299" s="9"/>
    </row>
    <row r="300" spans="5:8" ht="15.75" customHeight="1" x14ac:dyDescent="0.3">
      <c r="E300" s="9"/>
      <c r="F300" s="9"/>
      <c r="H300" s="9"/>
    </row>
    <row r="301" spans="5:8" ht="15.75" customHeight="1" x14ac:dyDescent="0.3">
      <c r="E301" s="9"/>
      <c r="F301" s="9"/>
      <c r="H301" s="9"/>
    </row>
    <row r="302" spans="5:8" ht="15.75" customHeight="1" x14ac:dyDescent="0.3">
      <c r="E302" s="9"/>
      <c r="F302" s="9"/>
      <c r="H302" s="9"/>
    </row>
    <row r="303" spans="5:8" ht="15.75" customHeight="1" x14ac:dyDescent="0.3">
      <c r="E303" s="9"/>
      <c r="F303" s="9"/>
      <c r="H303" s="9"/>
    </row>
    <row r="304" spans="5:8" ht="15.75" customHeight="1" x14ac:dyDescent="0.3">
      <c r="E304" s="9"/>
      <c r="F304" s="9"/>
      <c r="H304" s="9"/>
    </row>
    <row r="305" spans="5:8" ht="15.75" customHeight="1" x14ac:dyDescent="0.3">
      <c r="E305" s="9"/>
      <c r="F305" s="9"/>
      <c r="H305" s="9"/>
    </row>
    <row r="306" spans="5:8" ht="15.75" customHeight="1" x14ac:dyDescent="0.3">
      <c r="E306" s="9"/>
      <c r="F306" s="9"/>
      <c r="H306" s="9"/>
    </row>
    <row r="307" spans="5:8" ht="15.75" customHeight="1" x14ac:dyDescent="0.3">
      <c r="E307" s="9"/>
      <c r="F307" s="9"/>
      <c r="H307" s="9"/>
    </row>
    <row r="308" spans="5:8" ht="15.75" customHeight="1" x14ac:dyDescent="0.3">
      <c r="E308" s="9"/>
      <c r="F308" s="9"/>
      <c r="H308" s="9"/>
    </row>
    <row r="309" spans="5:8" ht="15.75" customHeight="1" x14ac:dyDescent="0.3">
      <c r="E309" s="9"/>
      <c r="F309" s="9"/>
      <c r="H309" s="9"/>
    </row>
    <row r="310" spans="5:8" ht="15.75" customHeight="1" x14ac:dyDescent="0.3">
      <c r="E310" s="9"/>
      <c r="F310" s="9"/>
      <c r="H310" s="9"/>
    </row>
    <row r="311" spans="5:8" ht="15.75" customHeight="1" x14ac:dyDescent="0.3">
      <c r="E311" s="9"/>
      <c r="F311" s="9"/>
      <c r="H311" s="9"/>
    </row>
    <row r="312" spans="5:8" ht="15.75" customHeight="1" x14ac:dyDescent="0.3">
      <c r="E312" s="9"/>
      <c r="F312" s="9"/>
      <c r="H312" s="9"/>
    </row>
    <row r="313" spans="5:8" ht="15.75" customHeight="1" x14ac:dyDescent="0.3">
      <c r="E313" s="9"/>
      <c r="F313" s="9"/>
      <c r="H313" s="9"/>
    </row>
    <row r="314" spans="5:8" ht="15.75" customHeight="1" x14ac:dyDescent="0.3">
      <c r="E314" s="9"/>
      <c r="F314" s="9"/>
      <c r="H314" s="9"/>
    </row>
    <row r="315" spans="5:8" ht="15.75" customHeight="1" x14ac:dyDescent="0.3">
      <c r="E315" s="9"/>
      <c r="F315" s="9"/>
      <c r="H315" s="9"/>
    </row>
    <row r="316" spans="5:8" ht="15.75" customHeight="1" x14ac:dyDescent="0.3">
      <c r="E316" s="9"/>
      <c r="F316" s="9"/>
      <c r="H316" s="9"/>
    </row>
    <row r="317" spans="5:8" ht="15.75" customHeight="1" x14ac:dyDescent="0.3">
      <c r="E317" s="9"/>
      <c r="F317" s="9"/>
      <c r="H317" s="9"/>
    </row>
    <row r="318" spans="5:8" ht="15.75" customHeight="1" x14ac:dyDescent="0.3">
      <c r="E318" s="9"/>
      <c r="F318" s="9"/>
      <c r="H318" s="9"/>
    </row>
    <row r="319" spans="5:8" ht="15.75" customHeight="1" x14ac:dyDescent="0.3">
      <c r="E319" s="9"/>
      <c r="F319" s="9"/>
      <c r="H319" s="9"/>
    </row>
    <row r="320" spans="5:8" ht="15.75" customHeight="1" x14ac:dyDescent="0.3">
      <c r="E320" s="9"/>
      <c r="F320" s="9"/>
      <c r="H320" s="9"/>
    </row>
    <row r="321" spans="5:8" ht="15.75" customHeight="1" x14ac:dyDescent="0.3">
      <c r="E321" s="9"/>
      <c r="F321" s="9"/>
      <c r="H321" s="9"/>
    </row>
    <row r="322" spans="5:8" ht="15.75" customHeight="1" x14ac:dyDescent="0.3">
      <c r="E322" s="9"/>
      <c r="F322" s="9"/>
      <c r="H322" s="9"/>
    </row>
    <row r="323" spans="5:8" ht="15.75" customHeight="1" x14ac:dyDescent="0.3">
      <c r="E323" s="9"/>
      <c r="F323" s="9"/>
      <c r="H323" s="9"/>
    </row>
    <row r="324" spans="5:8" ht="15.75" customHeight="1" x14ac:dyDescent="0.3">
      <c r="E324" s="9"/>
      <c r="F324" s="9"/>
      <c r="H324" s="9"/>
    </row>
    <row r="325" spans="5:8" ht="15.75" customHeight="1" x14ac:dyDescent="0.3">
      <c r="E325" s="9"/>
      <c r="F325" s="9"/>
      <c r="H325" s="9"/>
    </row>
    <row r="326" spans="5:8" ht="15.75" customHeight="1" x14ac:dyDescent="0.3">
      <c r="E326" s="9"/>
      <c r="F326" s="9"/>
      <c r="H326" s="9"/>
    </row>
    <row r="327" spans="5:8" ht="15.75" customHeight="1" x14ac:dyDescent="0.3">
      <c r="E327" s="9"/>
      <c r="F327" s="9"/>
      <c r="H327" s="9"/>
    </row>
    <row r="328" spans="5:8" ht="15.75" customHeight="1" x14ac:dyDescent="0.3">
      <c r="E328" s="9"/>
      <c r="F328" s="9"/>
      <c r="H328" s="9"/>
    </row>
    <row r="329" spans="5:8" ht="15.75" customHeight="1" x14ac:dyDescent="0.3">
      <c r="E329" s="9"/>
      <c r="F329" s="9"/>
      <c r="H329" s="9"/>
    </row>
    <row r="330" spans="5:8" ht="15.75" customHeight="1" x14ac:dyDescent="0.3">
      <c r="E330" s="9"/>
      <c r="F330" s="9"/>
      <c r="H330" s="9"/>
    </row>
    <row r="331" spans="5:8" ht="15.75" customHeight="1" x14ac:dyDescent="0.3">
      <c r="E331" s="9"/>
      <c r="F331" s="9"/>
      <c r="H331" s="9"/>
    </row>
    <row r="332" spans="5:8" ht="15.75" customHeight="1" x14ac:dyDescent="0.3">
      <c r="E332" s="9"/>
      <c r="F332" s="9"/>
      <c r="H332" s="9"/>
    </row>
    <row r="333" spans="5:8" ht="15.75" customHeight="1" x14ac:dyDescent="0.3">
      <c r="E333" s="9"/>
      <c r="F333" s="9"/>
      <c r="H333" s="9"/>
    </row>
    <row r="334" spans="5:8" ht="15.75" customHeight="1" x14ac:dyDescent="0.3">
      <c r="E334" s="9"/>
      <c r="F334" s="9"/>
      <c r="H334" s="9"/>
    </row>
    <row r="335" spans="5:8" ht="15.75" customHeight="1" x14ac:dyDescent="0.3">
      <c r="E335" s="9"/>
      <c r="F335" s="9"/>
      <c r="H335" s="9"/>
    </row>
    <row r="336" spans="5:8" ht="15.75" customHeight="1" x14ac:dyDescent="0.3">
      <c r="E336" s="9"/>
      <c r="F336" s="9"/>
      <c r="H336" s="9"/>
    </row>
    <row r="337" spans="5:8" ht="15.75" customHeight="1" x14ac:dyDescent="0.3">
      <c r="E337" s="9"/>
      <c r="F337" s="9"/>
      <c r="H337" s="9"/>
    </row>
    <row r="338" spans="5:8" ht="15.75" customHeight="1" x14ac:dyDescent="0.3">
      <c r="E338" s="9"/>
      <c r="F338" s="9"/>
      <c r="H338" s="9"/>
    </row>
    <row r="339" spans="5:8" ht="15.75" customHeight="1" x14ac:dyDescent="0.3">
      <c r="E339" s="9"/>
      <c r="F339" s="9"/>
      <c r="H339" s="9"/>
    </row>
    <row r="340" spans="5:8" ht="15.75" customHeight="1" x14ac:dyDescent="0.3">
      <c r="E340" s="9"/>
      <c r="F340" s="9"/>
      <c r="H340" s="9"/>
    </row>
    <row r="341" spans="5:8" ht="15.75" customHeight="1" x14ac:dyDescent="0.3">
      <c r="E341" s="9"/>
      <c r="F341" s="9"/>
      <c r="H341" s="9"/>
    </row>
    <row r="342" spans="5:8" ht="15.75" customHeight="1" x14ac:dyDescent="0.3">
      <c r="E342" s="9"/>
      <c r="F342" s="9"/>
      <c r="H342" s="9"/>
    </row>
    <row r="343" spans="5:8" ht="15.75" customHeight="1" x14ac:dyDescent="0.3">
      <c r="E343" s="9"/>
      <c r="F343" s="9"/>
      <c r="H343" s="9"/>
    </row>
    <row r="344" spans="5:8" ht="15.75" customHeight="1" x14ac:dyDescent="0.3">
      <c r="E344" s="9"/>
      <c r="F344" s="9"/>
      <c r="H344" s="9"/>
    </row>
    <row r="345" spans="5:8" ht="15.75" customHeight="1" x14ac:dyDescent="0.3">
      <c r="E345" s="9"/>
      <c r="F345" s="9"/>
      <c r="H345" s="9"/>
    </row>
    <row r="346" spans="5:8" ht="15.75" customHeight="1" x14ac:dyDescent="0.3">
      <c r="E346" s="9"/>
      <c r="F346" s="9"/>
      <c r="H346" s="9"/>
    </row>
    <row r="347" spans="5:8" ht="15.75" customHeight="1" x14ac:dyDescent="0.3">
      <c r="E347" s="9"/>
      <c r="F347" s="9"/>
      <c r="H347" s="9"/>
    </row>
    <row r="348" spans="5:8" ht="15.75" customHeight="1" x14ac:dyDescent="0.3">
      <c r="E348" s="9"/>
      <c r="F348" s="9"/>
      <c r="H348" s="9"/>
    </row>
    <row r="349" spans="5:8" ht="15.75" customHeight="1" x14ac:dyDescent="0.3">
      <c r="E349" s="9"/>
      <c r="F349" s="9"/>
      <c r="H349" s="9"/>
    </row>
    <row r="350" spans="5:8" ht="15.75" customHeight="1" x14ac:dyDescent="0.3">
      <c r="E350" s="9"/>
      <c r="F350" s="9"/>
      <c r="H350" s="9"/>
    </row>
    <row r="351" spans="5:8" ht="15.75" customHeight="1" x14ac:dyDescent="0.3">
      <c r="E351" s="9"/>
      <c r="F351" s="9"/>
      <c r="H351" s="9"/>
    </row>
    <row r="352" spans="5:8" ht="15.75" customHeight="1" x14ac:dyDescent="0.3">
      <c r="E352" s="9"/>
      <c r="F352" s="9"/>
      <c r="H352" s="9"/>
    </row>
    <row r="353" spans="5:8" ht="15.75" customHeight="1" x14ac:dyDescent="0.3">
      <c r="E353" s="9"/>
      <c r="F353" s="9"/>
      <c r="H353" s="9"/>
    </row>
    <row r="354" spans="5:8" ht="15.75" customHeight="1" x14ac:dyDescent="0.3">
      <c r="E354" s="9"/>
      <c r="F354" s="9"/>
      <c r="H354" s="9"/>
    </row>
    <row r="355" spans="5:8" ht="15.75" customHeight="1" x14ac:dyDescent="0.3">
      <c r="E355" s="9"/>
      <c r="F355" s="9"/>
      <c r="H355" s="9"/>
    </row>
    <row r="356" spans="5:8" ht="15.75" customHeight="1" x14ac:dyDescent="0.3">
      <c r="E356" s="9"/>
      <c r="F356" s="9"/>
      <c r="H356" s="9"/>
    </row>
    <row r="357" spans="5:8" ht="15.75" customHeight="1" x14ac:dyDescent="0.3">
      <c r="E357" s="9"/>
      <c r="F357" s="9"/>
      <c r="H357" s="9"/>
    </row>
    <row r="358" spans="5:8" ht="15.75" customHeight="1" x14ac:dyDescent="0.3">
      <c r="E358" s="9"/>
      <c r="F358" s="9"/>
      <c r="H358" s="9"/>
    </row>
    <row r="359" spans="5:8" ht="15.75" customHeight="1" x14ac:dyDescent="0.3">
      <c r="E359" s="9"/>
      <c r="F359" s="9"/>
      <c r="H359" s="9"/>
    </row>
    <row r="360" spans="5:8" ht="15.75" customHeight="1" x14ac:dyDescent="0.3">
      <c r="E360" s="9"/>
      <c r="F360" s="9"/>
      <c r="H360" s="9"/>
    </row>
    <row r="361" spans="5:8" ht="15.75" customHeight="1" x14ac:dyDescent="0.3">
      <c r="E361" s="9"/>
      <c r="F361" s="9"/>
      <c r="H361" s="9"/>
    </row>
    <row r="362" spans="5:8" ht="15.75" customHeight="1" x14ac:dyDescent="0.3">
      <c r="E362" s="9"/>
      <c r="F362" s="9"/>
      <c r="H362" s="9"/>
    </row>
    <row r="363" spans="5:8" ht="15.75" customHeight="1" x14ac:dyDescent="0.3">
      <c r="E363" s="9"/>
      <c r="F363" s="9"/>
      <c r="H363" s="9"/>
    </row>
    <row r="364" spans="5:8" ht="15.75" customHeight="1" x14ac:dyDescent="0.3">
      <c r="E364" s="9"/>
      <c r="F364" s="9"/>
      <c r="H364" s="9"/>
    </row>
    <row r="365" spans="5:8" ht="15.75" customHeight="1" x14ac:dyDescent="0.3">
      <c r="E365" s="9"/>
      <c r="F365" s="9"/>
      <c r="H365" s="9"/>
    </row>
    <row r="366" spans="5:8" ht="15.75" customHeight="1" x14ac:dyDescent="0.3">
      <c r="E366" s="9"/>
      <c r="F366" s="9"/>
      <c r="H366" s="9"/>
    </row>
    <row r="367" spans="5:8" ht="15.75" customHeight="1" x14ac:dyDescent="0.3">
      <c r="E367" s="9"/>
      <c r="F367" s="9"/>
      <c r="H367" s="9"/>
    </row>
    <row r="368" spans="5:8" ht="15.75" customHeight="1" x14ac:dyDescent="0.3">
      <c r="E368" s="9"/>
      <c r="F368" s="9"/>
      <c r="H368" s="9"/>
    </row>
    <row r="369" spans="5:8" ht="15.75" customHeight="1" x14ac:dyDescent="0.3">
      <c r="E369" s="9"/>
      <c r="F369" s="9"/>
      <c r="H369" s="9"/>
    </row>
    <row r="370" spans="5:8" ht="15.75" customHeight="1" x14ac:dyDescent="0.3">
      <c r="E370" s="9"/>
      <c r="F370" s="9"/>
      <c r="H370" s="9"/>
    </row>
    <row r="371" spans="5:8" ht="15.75" customHeight="1" x14ac:dyDescent="0.3">
      <c r="E371" s="9"/>
      <c r="F371" s="9"/>
      <c r="H371" s="9"/>
    </row>
    <row r="372" spans="5:8" ht="15.75" customHeight="1" x14ac:dyDescent="0.3">
      <c r="E372" s="9"/>
      <c r="F372" s="9"/>
      <c r="H372" s="9"/>
    </row>
    <row r="373" spans="5:8" ht="15.75" customHeight="1" x14ac:dyDescent="0.3">
      <c r="E373" s="9"/>
      <c r="F373" s="9"/>
      <c r="H373" s="9"/>
    </row>
    <row r="374" spans="5:8" ht="15.75" customHeight="1" x14ac:dyDescent="0.3">
      <c r="E374" s="9"/>
      <c r="F374" s="9"/>
      <c r="H374" s="9"/>
    </row>
    <row r="375" spans="5:8" ht="15.75" customHeight="1" x14ac:dyDescent="0.3">
      <c r="E375" s="9"/>
      <c r="F375" s="9"/>
      <c r="H375" s="9"/>
    </row>
    <row r="376" spans="5:8" ht="15.75" customHeight="1" x14ac:dyDescent="0.3">
      <c r="E376" s="9"/>
      <c r="F376" s="9"/>
      <c r="H376" s="9"/>
    </row>
    <row r="377" spans="5:8" ht="15.75" customHeight="1" x14ac:dyDescent="0.3">
      <c r="E377" s="9"/>
      <c r="F377" s="9"/>
      <c r="H377" s="9"/>
    </row>
    <row r="378" spans="5:8" ht="15.75" customHeight="1" x14ac:dyDescent="0.3">
      <c r="E378" s="9"/>
      <c r="F378" s="9"/>
      <c r="H378" s="9"/>
    </row>
    <row r="379" spans="5:8" ht="15.75" customHeight="1" x14ac:dyDescent="0.3">
      <c r="E379" s="9"/>
      <c r="F379" s="9"/>
      <c r="H379" s="9"/>
    </row>
    <row r="380" spans="5:8" ht="15.75" customHeight="1" x14ac:dyDescent="0.3">
      <c r="E380" s="9"/>
      <c r="F380" s="9"/>
      <c r="H380" s="9"/>
    </row>
    <row r="381" spans="5:8" ht="15.75" customHeight="1" x14ac:dyDescent="0.3">
      <c r="E381" s="9"/>
      <c r="F381" s="9"/>
      <c r="H381" s="9"/>
    </row>
    <row r="382" spans="5:8" ht="15.75" customHeight="1" x14ac:dyDescent="0.3">
      <c r="E382" s="9"/>
      <c r="F382" s="9"/>
      <c r="H382" s="9"/>
    </row>
    <row r="383" spans="5:8" ht="15.75" customHeight="1" x14ac:dyDescent="0.3">
      <c r="E383" s="9"/>
      <c r="F383" s="9"/>
      <c r="H383" s="9"/>
    </row>
    <row r="384" spans="5:8" ht="15.75" customHeight="1" x14ac:dyDescent="0.3">
      <c r="E384" s="9"/>
      <c r="F384" s="9"/>
      <c r="H384" s="9"/>
    </row>
    <row r="385" spans="5:8" ht="15.75" customHeight="1" x14ac:dyDescent="0.3">
      <c r="E385" s="9"/>
      <c r="F385" s="9"/>
      <c r="H385" s="9"/>
    </row>
    <row r="386" spans="5:8" ht="15.75" customHeight="1" x14ac:dyDescent="0.3">
      <c r="E386" s="9"/>
      <c r="F386" s="9"/>
      <c r="H386" s="9"/>
    </row>
    <row r="387" spans="5:8" ht="15.75" customHeight="1" x14ac:dyDescent="0.3">
      <c r="E387" s="9"/>
      <c r="F387" s="9"/>
      <c r="H387" s="9"/>
    </row>
    <row r="388" spans="5:8" ht="15.75" customHeight="1" x14ac:dyDescent="0.3">
      <c r="E388" s="9"/>
      <c r="F388" s="9"/>
      <c r="H388" s="9"/>
    </row>
    <row r="389" spans="5:8" ht="15.75" customHeight="1" x14ac:dyDescent="0.3">
      <c r="E389" s="9"/>
      <c r="F389" s="9"/>
      <c r="H389" s="9"/>
    </row>
    <row r="390" spans="5:8" ht="15.75" customHeight="1" x14ac:dyDescent="0.3">
      <c r="E390" s="9"/>
      <c r="F390" s="9"/>
      <c r="H390" s="9"/>
    </row>
    <row r="391" spans="5:8" ht="15.75" customHeight="1" x14ac:dyDescent="0.3">
      <c r="E391" s="9"/>
      <c r="F391" s="9"/>
      <c r="H391" s="9"/>
    </row>
    <row r="392" spans="5:8" ht="15.75" customHeight="1" x14ac:dyDescent="0.3">
      <c r="E392" s="9"/>
      <c r="F392" s="9"/>
      <c r="H392" s="9"/>
    </row>
    <row r="393" spans="5:8" ht="15.75" customHeight="1" x14ac:dyDescent="0.3">
      <c r="E393" s="9"/>
      <c r="F393" s="9"/>
      <c r="H393" s="9"/>
    </row>
    <row r="394" spans="5:8" ht="15.75" customHeight="1" x14ac:dyDescent="0.3">
      <c r="E394" s="9"/>
      <c r="F394" s="9"/>
      <c r="H394" s="9"/>
    </row>
    <row r="395" spans="5:8" ht="15.75" customHeight="1" x14ac:dyDescent="0.3">
      <c r="E395" s="9"/>
      <c r="F395" s="9"/>
      <c r="H395" s="9"/>
    </row>
    <row r="396" spans="5:8" ht="15.75" customHeight="1" x14ac:dyDescent="0.3">
      <c r="E396" s="9"/>
      <c r="F396" s="9"/>
      <c r="H396" s="9"/>
    </row>
    <row r="397" spans="5:8" ht="15.75" customHeight="1" x14ac:dyDescent="0.3">
      <c r="E397" s="9"/>
      <c r="F397" s="9"/>
      <c r="H397" s="9"/>
    </row>
    <row r="398" spans="5:8" ht="15.75" customHeight="1" x14ac:dyDescent="0.3">
      <c r="E398" s="9"/>
      <c r="F398" s="9"/>
      <c r="H398" s="9"/>
    </row>
    <row r="399" spans="5:8" ht="15.75" customHeight="1" x14ac:dyDescent="0.3">
      <c r="E399" s="9"/>
      <c r="F399" s="9"/>
      <c r="H399" s="9"/>
    </row>
    <row r="400" spans="5:8" ht="15.75" customHeight="1" x14ac:dyDescent="0.3">
      <c r="E400" s="9"/>
      <c r="F400" s="9"/>
      <c r="H400" s="9"/>
    </row>
    <row r="401" spans="5:8" ht="15.75" customHeight="1" x14ac:dyDescent="0.3">
      <c r="E401" s="9"/>
      <c r="F401" s="9"/>
      <c r="H401" s="9"/>
    </row>
    <row r="402" spans="5:8" ht="15.75" customHeight="1" x14ac:dyDescent="0.3">
      <c r="E402" s="9"/>
      <c r="F402" s="9"/>
      <c r="H402" s="9"/>
    </row>
    <row r="403" spans="5:8" ht="15.75" customHeight="1" x14ac:dyDescent="0.3">
      <c r="E403" s="9"/>
      <c r="F403" s="9"/>
      <c r="H403" s="9"/>
    </row>
    <row r="404" spans="5:8" ht="15.75" customHeight="1" x14ac:dyDescent="0.3">
      <c r="E404" s="9"/>
      <c r="F404" s="9"/>
      <c r="H404" s="9"/>
    </row>
    <row r="405" spans="5:8" ht="15.75" customHeight="1" x14ac:dyDescent="0.3">
      <c r="E405" s="9"/>
      <c r="F405" s="9"/>
      <c r="H405" s="9"/>
    </row>
    <row r="406" spans="5:8" ht="15.75" customHeight="1" x14ac:dyDescent="0.3">
      <c r="E406" s="9"/>
      <c r="F406" s="9"/>
      <c r="H406" s="9"/>
    </row>
    <row r="407" spans="5:8" ht="15.75" customHeight="1" x14ac:dyDescent="0.3">
      <c r="E407" s="9"/>
      <c r="F407" s="9"/>
      <c r="H407" s="9"/>
    </row>
    <row r="408" spans="5:8" ht="15.75" customHeight="1" x14ac:dyDescent="0.3">
      <c r="E408" s="9"/>
      <c r="F408" s="9"/>
      <c r="H408" s="9"/>
    </row>
    <row r="409" spans="5:8" ht="15.75" customHeight="1" x14ac:dyDescent="0.3">
      <c r="E409" s="9"/>
      <c r="F409" s="9"/>
      <c r="H409" s="9"/>
    </row>
    <row r="410" spans="5:8" ht="15.75" customHeight="1" x14ac:dyDescent="0.3">
      <c r="E410" s="9"/>
      <c r="F410" s="9"/>
      <c r="H410" s="9"/>
    </row>
    <row r="411" spans="5:8" ht="15.75" customHeight="1" x14ac:dyDescent="0.3">
      <c r="E411" s="9"/>
      <c r="F411" s="9"/>
      <c r="H411" s="9"/>
    </row>
    <row r="412" spans="5:8" ht="15.75" customHeight="1" x14ac:dyDescent="0.3">
      <c r="E412" s="9"/>
      <c r="F412" s="9"/>
      <c r="H412" s="9"/>
    </row>
    <row r="413" spans="5:8" ht="15.75" customHeight="1" x14ac:dyDescent="0.3">
      <c r="E413" s="9"/>
      <c r="F413" s="9"/>
      <c r="H413" s="9"/>
    </row>
    <row r="414" spans="5:8" ht="15.75" customHeight="1" x14ac:dyDescent="0.3">
      <c r="E414" s="9"/>
      <c r="F414" s="9"/>
      <c r="H414" s="9"/>
    </row>
    <row r="415" spans="5:8" ht="15.75" customHeight="1" x14ac:dyDescent="0.3">
      <c r="E415" s="9"/>
      <c r="F415" s="9"/>
      <c r="H415" s="9"/>
    </row>
    <row r="416" spans="5:8" ht="15.75" customHeight="1" x14ac:dyDescent="0.3">
      <c r="E416" s="9"/>
      <c r="F416" s="9"/>
      <c r="H416" s="9"/>
    </row>
    <row r="417" spans="5:8" ht="15.75" customHeight="1" x14ac:dyDescent="0.3">
      <c r="E417" s="9"/>
      <c r="F417" s="9"/>
      <c r="H417" s="9"/>
    </row>
    <row r="418" spans="5:8" ht="15.75" customHeight="1" x14ac:dyDescent="0.3">
      <c r="E418" s="9"/>
      <c r="F418" s="9"/>
      <c r="H418" s="9"/>
    </row>
    <row r="419" spans="5:8" ht="15.75" customHeight="1" x14ac:dyDescent="0.3">
      <c r="E419" s="9"/>
      <c r="F419" s="9"/>
      <c r="H419" s="9"/>
    </row>
    <row r="420" spans="5:8" ht="15.75" customHeight="1" x14ac:dyDescent="0.3">
      <c r="E420" s="9"/>
      <c r="F420" s="9"/>
      <c r="H420" s="9"/>
    </row>
    <row r="421" spans="5:8" ht="15.75" customHeight="1" x14ac:dyDescent="0.3">
      <c r="E421" s="9"/>
      <c r="F421" s="9"/>
      <c r="H421" s="9"/>
    </row>
    <row r="422" spans="5:8" ht="15.75" customHeight="1" x14ac:dyDescent="0.3">
      <c r="E422" s="9"/>
      <c r="F422" s="9"/>
      <c r="H422" s="9"/>
    </row>
    <row r="423" spans="5:8" ht="15.75" customHeight="1" x14ac:dyDescent="0.3">
      <c r="E423" s="9"/>
      <c r="F423" s="9"/>
      <c r="H423" s="9"/>
    </row>
    <row r="424" spans="5:8" ht="15.75" customHeight="1" x14ac:dyDescent="0.3">
      <c r="E424" s="9"/>
      <c r="F424" s="9"/>
      <c r="H424" s="9"/>
    </row>
    <row r="425" spans="5:8" ht="15.75" customHeight="1" x14ac:dyDescent="0.3">
      <c r="E425" s="9"/>
      <c r="F425" s="9"/>
      <c r="H425" s="9"/>
    </row>
    <row r="426" spans="5:8" ht="15.75" customHeight="1" x14ac:dyDescent="0.3">
      <c r="E426" s="9"/>
      <c r="F426" s="9"/>
      <c r="H426" s="9"/>
    </row>
    <row r="427" spans="5:8" ht="15.75" customHeight="1" x14ac:dyDescent="0.3">
      <c r="E427" s="9"/>
      <c r="F427" s="9"/>
      <c r="H427" s="9"/>
    </row>
    <row r="428" spans="5:8" ht="15.75" customHeight="1" x14ac:dyDescent="0.3">
      <c r="E428" s="9"/>
      <c r="F428" s="9"/>
      <c r="H428" s="9"/>
    </row>
    <row r="429" spans="5:8" ht="15.75" customHeight="1" x14ac:dyDescent="0.3">
      <c r="E429" s="9"/>
      <c r="F429" s="9"/>
      <c r="H429" s="9"/>
    </row>
    <row r="430" spans="5:8" ht="15.75" customHeight="1" x14ac:dyDescent="0.3">
      <c r="E430" s="9"/>
      <c r="F430" s="9"/>
      <c r="H430" s="9"/>
    </row>
    <row r="431" spans="5:8" ht="15.75" customHeight="1" x14ac:dyDescent="0.3">
      <c r="E431" s="9"/>
      <c r="F431" s="9"/>
      <c r="H431" s="9"/>
    </row>
    <row r="432" spans="5:8" ht="15.75" customHeight="1" x14ac:dyDescent="0.3">
      <c r="E432" s="9"/>
      <c r="F432" s="9"/>
      <c r="H432" s="9"/>
    </row>
    <row r="433" spans="5:8" ht="15.75" customHeight="1" x14ac:dyDescent="0.3">
      <c r="E433" s="9"/>
      <c r="F433" s="9"/>
      <c r="H433" s="9"/>
    </row>
    <row r="434" spans="5:8" ht="15.75" customHeight="1" x14ac:dyDescent="0.3">
      <c r="E434" s="9"/>
      <c r="F434" s="9"/>
      <c r="H434" s="9"/>
    </row>
    <row r="435" spans="5:8" ht="15.75" customHeight="1" x14ac:dyDescent="0.3">
      <c r="E435" s="9"/>
      <c r="F435" s="9"/>
      <c r="H435" s="9"/>
    </row>
    <row r="436" spans="5:8" ht="15.75" customHeight="1" x14ac:dyDescent="0.3">
      <c r="E436" s="9"/>
      <c r="F436" s="9"/>
      <c r="H436" s="9"/>
    </row>
    <row r="437" spans="5:8" ht="15.75" customHeight="1" x14ac:dyDescent="0.3">
      <c r="E437" s="9"/>
      <c r="F437" s="9"/>
      <c r="H437" s="9"/>
    </row>
    <row r="438" spans="5:8" ht="15.75" customHeight="1" x14ac:dyDescent="0.3">
      <c r="E438" s="9"/>
      <c r="F438" s="9"/>
      <c r="H438" s="9"/>
    </row>
    <row r="439" spans="5:8" ht="15.75" customHeight="1" x14ac:dyDescent="0.3">
      <c r="E439" s="9"/>
      <c r="F439" s="9"/>
      <c r="H439" s="9"/>
    </row>
    <row r="440" spans="5:8" ht="15.75" customHeight="1" x14ac:dyDescent="0.3">
      <c r="E440" s="9"/>
      <c r="F440" s="9"/>
      <c r="H440" s="9"/>
    </row>
    <row r="441" spans="5:8" ht="15.75" customHeight="1" x14ac:dyDescent="0.3">
      <c r="E441" s="9"/>
      <c r="F441" s="9"/>
      <c r="H441" s="9"/>
    </row>
    <row r="442" spans="5:8" ht="15.75" customHeight="1" x14ac:dyDescent="0.3">
      <c r="E442" s="9"/>
      <c r="F442" s="9"/>
      <c r="H442" s="9"/>
    </row>
    <row r="443" spans="5:8" ht="15.75" customHeight="1" x14ac:dyDescent="0.3">
      <c r="E443" s="9"/>
      <c r="F443" s="9"/>
      <c r="H443" s="9"/>
    </row>
    <row r="444" spans="5:8" ht="15.75" customHeight="1" x14ac:dyDescent="0.3">
      <c r="E444" s="9"/>
      <c r="F444" s="9"/>
      <c r="H444" s="9"/>
    </row>
    <row r="445" spans="5:8" ht="15.75" customHeight="1" x14ac:dyDescent="0.3">
      <c r="E445" s="9"/>
      <c r="F445" s="9"/>
      <c r="H445" s="9"/>
    </row>
    <row r="446" spans="5:8" ht="15.75" customHeight="1" x14ac:dyDescent="0.3">
      <c r="E446" s="9"/>
      <c r="F446" s="9"/>
      <c r="H446" s="9"/>
    </row>
    <row r="447" spans="5:8" ht="15.75" customHeight="1" x14ac:dyDescent="0.3">
      <c r="E447" s="9"/>
      <c r="F447" s="9"/>
      <c r="H447" s="9"/>
    </row>
    <row r="448" spans="5:8" ht="15.75" customHeight="1" x14ac:dyDescent="0.3">
      <c r="E448" s="9"/>
      <c r="F448" s="9"/>
      <c r="H448" s="9"/>
    </row>
    <row r="449" spans="5:8" ht="15.75" customHeight="1" x14ac:dyDescent="0.3">
      <c r="E449" s="9"/>
      <c r="F449" s="9"/>
      <c r="H449" s="9"/>
    </row>
    <row r="450" spans="5:8" ht="15.75" customHeight="1" x14ac:dyDescent="0.3">
      <c r="E450" s="9"/>
      <c r="F450" s="9"/>
      <c r="H450" s="9"/>
    </row>
    <row r="451" spans="5:8" ht="15.75" customHeight="1" x14ac:dyDescent="0.3">
      <c r="E451" s="9"/>
      <c r="F451" s="9"/>
      <c r="H451" s="9"/>
    </row>
    <row r="452" spans="5:8" ht="15.75" customHeight="1" x14ac:dyDescent="0.3">
      <c r="E452" s="9"/>
      <c r="F452" s="9"/>
      <c r="H452" s="9"/>
    </row>
    <row r="453" spans="5:8" ht="15.75" customHeight="1" x14ac:dyDescent="0.3">
      <c r="E453" s="9"/>
      <c r="F453" s="9"/>
      <c r="H453" s="9"/>
    </row>
    <row r="454" spans="5:8" ht="15.75" customHeight="1" x14ac:dyDescent="0.3">
      <c r="E454" s="9"/>
      <c r="F454" s="9"/>
      <c r="H454" s="9"/>
    </row>
    <row r="455" spans="5:8" ht="15.75" customHeight="1" x14ac:dyDescent="0.3">
      <c r="E455" s="9"/>
      <c r="F455" s="9"/>
      <c r="H455" s="9"/>
    </row>
    <row r="456" spans="5:8" ht="15.75" customHeight="1" x14ac:dyDescent="0.3">
      <c r="E456" s="9"/>
      <c r="F456" s="9"/>
      <c r="H456" s="9"/>
    </row>
    <row r="457" spans="5:8" ht="15.75" customHeight="1" x14ac:dyDescent="0.3">
      <c r="E457" s="9"/>
      <c r="F457" s="9"/>
      <c r="H457" s="9"/>
    </row>
    <row r="458" spans="5:8" ht="15.75" customHeight="1" x14ac:dyDescent="0.3">
      <c r="E458" s="9"/>
      <c r="F458" s="9"/>
      <c r="H458" s="9"/>
    </row>
    <row r="459" spans="5:8" ht="15.75" customHeight="1" x14ac:dyDescent="0.3">
      <c r="E459" s="9"/>
      <c r="F459" s="9"/>
      <c r="H459" s="9"/>
    </row>
    <row r="460" spans="5:8" ht="15.75" customHeight="1" x14ac:dyDescent="0.3">
      <c r="E460" s="9"/>
      <c r="F460" s="9"/>
      <c r="H460" s="9"/>
    </row>
    <row r="461" spans="5:8" ht="15.75" customHeight="1" x14ac:dyDescent="0.3">
      <c r="E461" s="9"/>
      <c r="F461" s="9"/>
      <c r="H461" s="9"/>
    </row>
    <row r="462" spans="5:8" ht="15.75" customHeight="1" x14ac:dyDescent="0.3">
      <c r="E462" s="9"/>
      <c r="F462" s="9"/>
      <c r="H462" s="9"/>
    </row>
    <row r="463" spans="5:8" ht="15.75" customHeight="1" x14ac:dyDescent="0.3">
      <c r="E463" s="9"/>
      <c r="F463" s="9"/>
      <c r="H463" s="9"/>
    </row>
    <row r="464" spans="5:8" ht="15.75" customHeight="1" x14ac:dyDescent="0.3">
      <c r="E464" s="9"/>
      <c r="F464" s="9"/>
      <c r="H464" s="9"/>
    </row>
    <row r="465" spans="5:8" ht="15.75" customHeight="1" x14ac:dyDescent="0.3">
      <c r="E465" s="9"/>
      <c r="F465" s="9"/>
      <c r="H465" s="9"/>
    </row>
    <row r="466" spans="5:8" ht="15.75" customHeight="1" x14ac:dyDescent="0.3">
      <c r="E466" s="9"/>
      <c r="F466" s="9"/>
      <c r="H466" s="9"/>
    </row>
    <row r="467" spans="5:8" ht="15.75" customHeight="1" x14ac:dyDescent="0.3">
      <c r="E467" s="9"/>
      <c r="F467" s="9"/>
      <c r="H467" s="9"/>
    </row>
    <row r="468" spans="5:8" ht="15.75" customHeight="1" x14ac:dyDescent="0.3">
      <c r="E468" s="9"/>
      <c r="F468" s="9"/>
      <c r="H468" s="9"/>
    </row>
    <row r="469" spans="5:8" ht="15.75" customHeight="1" x14ac:dyDescent="0.3">
      <c r="E469" s="9"/>
      <c r="F469" s="9"/>
      <c r="H469" s="9"/>
    </row>
    <row r="470" spans="5:8" ht="15.75" customHeight="1" x14ac:dyDescent="0.3">
      <c r="E470" s="9"/>
      <c r="F470" s="9"/>
      <c r="H470" s="9"/>
    </row>
    <row r="471" spans="5:8" ht="15.75" customHeight="1" x14ac:dyDescent="0.3">
      <c r="E471" s="9"/>
      <c r="F471" s="9"/>
      <c r="H471" s="9"/>
    </row>
    <row r="472" spans="5:8" ht="15.75" customHeight="1" x14ac:dyDescent="0.3">
      <c r="E472" s="9"/>
      <c r="F472" s="9"/>
      <c r="H472" s="9"/>
    </row>
    <row r="473" spans="5:8" ht="15.75" customHeight="1" x14ac:dyDescent="0.3">
      <c r="E473" s="9"/>
      <c r="F473" s="9"/>
      <c r="H473" s="9"/>
    </row>
    <row r="474" spans="5:8" ht="15.75" customHeight="1" x14ac:dyDescent="0.3">
      <c r="E474" s="9"/>
      <c r="F474" s="9"/>
      <c r="H474" s="9"/>
    </row>
    <row r="475" spans="5:8" ht="15.75" customHeight="1" x14ac:dyDescent="0.3">
      <c r="E475" s="9"/>
      <c r="F475" s="9"/>
      <c r="H475" s="9"/>
    </row>
    <row r="476" spans="5:8" ht="15.75" customHeight="1" x14ac:dyDescent="0.3">
      <c r="E476" s="9"/>
      <c r="F476" s="9"/>
      <c r="H476" s="9"/>
    </row>
    <row r="477" spans="5:8" ht="15.75" customHeight="1" x14ac:dyDescent="0.3">
      <c r="E477" s="9"/>
      <c r="F477" s="9"/>
      <c r="H477" s="9"/>
    </row>
    <row r="478" spans="5:8" ht="15.75" customHeight="1" x14ac:dyDescent="0.3">
      <c r="E478" s="9"/>
      <c r="F478" s="9"/>
      <c r="H478" s="9"/>
    </row>
    <row r="479" spans="5:8" ht="15.75" customHeight="1" x14ac:dyDescent="0.3">
      <c r="E479" s="9"/>
      <c r="F479" s="9"/>
      <c r="H479" s="9"/>
    </row>
    <row r="480" spans="5:8" ht="15.75" customHeight="1" x14ac:dyDescent="0.3">
      <c r="E480" s="9"/>
      <c r="F480" s="9"/>
      <c r="H480" s="9"/>
    </row>
    <row r="481" spans="5:8" ht="15.75" customHeight="1" x14ac:dyDescent="0.3">
      <c r="E481" s="9"/>
      <c r="F481" s="9"/>
      <c r="H481" s="9"/>
    </row>
    <row r="482" spans="5:8" ht="15.75" customHeight="1" x14ac:dyDescent="0.3">
      <c r="E482" s="9"/>
      <c r="F482" s="9"/>
      <c r="H482" s="9"/>
    </row>
    <row r="483" spans="5:8" ht="15.75" customHeight="1" x14ac:dyDescent="0.3">
      <c r="E483" s="9"/>
      <c r="F483" s="9"/>
      <c r="H483" s="9"/>
    </row>
    <row r="484" spans="5:8" ht="15.75" customHeight="1" x14ac:dyDescent="0.3">
      <c r="E484" s="9"/>
      <c r="F484" s="9"/>
      <c r="H484" s="9"/>
    </row>
    <row r="485" spans="5:8" ht="15.75" customHeight="1" x14ac:dyDescent="0.3">
      <c r="E485" s="9"/>
      <c r="F485" s="9"/>
      <c r="H485" s="9"/>
    </row>
    <row r="486" spans="5:8" ht="15.75" customHeight="1" x14ac:dyDescent="0.3">
      <c r="E486" s="9"/>
      <c r="F486" s="9"/>
      <c r="H486" s="9"/>
    </row>
    <row r="487" spans="5:8" ht="15.75" customHeight="1" x14ac:dyDescent="0.3">
      <c r="E487" s="9"/>
      <c r="F487" s="9"/>
      <c r="H487" s="9"/>
    </row>
    <row r="488" spans="5:8" ht="15.75" customHeight="1" x14ac:dyDescent="0.3">
      <c r="E488" s="9"/>
      <c r="F488" s="9"/>
      <c r="H488" s="9"/>
    </row>
    <row r="489" spans="5:8" ht="15.75" customHeight="1" x14ac:dyDescent="0.3">
      <c r="E489" s="9"/>
      <c r="F489" s="9"/>
      <c r="H489" s="9"/>
    </row>
    <row r="490" spans="5:8" ht="15.75" customHeight="1" x14ac:dyDescent="0.3">
      <c r="E490" s="9"/>
      <c r="F490" s="9"/>
      <c r="H490" s="9"/>
    </row>
    <row r="491" spans="5:8" ht="15.75" customHeight="1" x14ac:dyDescent="0.3">
      <c r="E491" s="9"/>
      <c r="F491" s="9"/>
      <c r="H491" s="9"/>
    </row>
    <row r="492" spans="5:8" ht="15.75" customHeight="1" x14ac:dyDescent="0.3">
      <c r="E492" s="9"/>
      <c r="F492" s="9"/>
      <c r="H492" s="9"/>
    </row>
    <row r="493" spans="5:8" ht="15.75" customHeight="1" x14ac:dyDescent="0.3">
      <c r="E493" s="9"/>
      <c r="F493" s="9"/>
      <c r="H493" s="9"/>
    </row>
    <row r="494" spans="5:8" ht="15.75" customHeight="1" x14ac:dyDescent="0.3">
      <c r="E494" s="9"/>
      <c r="F494" s="9"/>
      <c r="H494" s="9"/>
    </row>
    <row r="495" spans="5:8" ht="15.75" customHeight="1" x14ac:dyDescent="0.3">
      <c r="E495" s="9"/>
      <c r="F495" s="9"/>
      <c r="H495" s="9"/>
    </row>
    <row r="496" spans="5:8" ht="15.75" customHeight="1" x14ac:dyDescent="0.3">
      <c r="E496" s="9"/>
      <c r="F496" s="9"/>
      <c r="H496" s="9"/>
    </row>
    <row r="497" spans="5:8" ht="15.75" customHeight="1" x14ac:dyDescent="0.3">
      <c r="E497" s="9"/>
      <c r="F497" s="9"/>
      <c r="H497" s="9"/>
    </row>
    <row r="498" spans="5:8" ht="15.75" customHeight="1" x14ac:dyDescent="0.3">
      <c r="E498" s="9"/>
      <c r="F498" s="9"/>
      <c r="H498" s="9"/>
    </row>
    <row r="499" spans="5:8" ht="15.75" customHeight="1" x14ac:dyDescent="0.3">
      <c r="E499" s="9"/>
      <c r="F499" s="9"/>
      <c r="H499" s="9"/>
    </row>
    <row r="500" spans="5:8" ht="15.75" customHeight="1" x14ac:dyDescent="0.3">
      <c r="E500" s="9"/>
      <c r="F500" s="9"/>
      <c r="H500" s="9"/>
    </row>
    <row r="501" spans="5:8" ht="15.75" customHeight="1" x14ac:dyDescent="0.3">
      <c r="E501" s="9"/>
      <c r="F501" s="9"/>
      <c r="H501" s="9"/>
    </row>
    <row r="502" spans="5:8" ht="15.75" customHeight="1" x14ac:dyDescent="0.3">
      <c r="E502" s="9"/>
      <c r="F502" s="9"/>
      <c r="H502" s="9"/>
    </row>
    <row r="503" spans="5:8" ht="15.75" customHeight="1" x14ac:dyDescent="0.3">
      <c r="E503" s="9"/>
      <c r="F503" s="9"/>
      <c r="H503" s="9"/>
    </row>
    <row r="504" spans="5:8" ht="15.75" customHeight="1" x14ac:dyDescent="0.3">
      <c r="E504" s="9"/>
      <c r="F504" s="9"/>
      <c r="H504" s="9"/>
    </row>
    <row r="505" spans="5:8" ht="15.75" customHeight="1" x14ac:dyDescent="0.3">
      <c r="E505" s="9"/>
      <c r="F505" s="9"/>
      <c r="H505" s="9"/>
    </row>
    <row r="506" spans="5:8" ht="15.75" customHeight="1" x14ac:dyDescent="0.3">
      <c r="E506" s="9"/>
      <c r="F506" s="9"/>
      <c r="H506" s="9"/>
    </row>
    <row r="507" spans="5:8" ht="15.75" customHeight="1" x14ac:dyDescent="0.3">
      <c r="E507" s="9"/>
      <c r="F507" s="9"/>
      <c r="H507" s="9"/>
    </row>
    <row r="508" spans="5:8" ht="15.75" customHeight="1" x14ac:dyDescent="0.3">
      <c r="E508" s="9"/>
      <c r="F508" s="9"/>
      <c r="H508" s="9"/>
    </row>
    <row r="509" spans="5:8" ht="15.75" customHeight="1" x14ac:dyDescent="0.3">
      <c r="E509" s="9"/>
      <c r="F509" s="9"/>
      <c r="H509" s="9"/>
    </row>
    <row r="510" spans="5:8" ht="15.75" customHeight="1" x14ac:dyDescent="0.3">
      <c r="E510" s="9"/>
      <c r="F510" s="9"/>
      <c r="H510" s="9"/>
    </row>
    <row r="511" spans="5:8" ht="15.75" customHeight="1" x14ac:dyDescent="0.3">
      <c r="E511" s="9"/>
      <c r="F511" s="9"/>
      <c r="H511" s="9"/>
    </row>
    <row r="512" spans="5:8" ht="15.75" customHeight="1" x14ac:dyDescent="0.3">
      <c r="E512" s="9"/>
      <c r="F512" s="9"/>
      <c r="H512" s="9"/>
    </row>
    <row r="513" spans="5:8" ht="15.75" customHeight="1" x14ac:dyDescent="0.3">
      <c r="E513" s="9"/>
      <c r="F513" s="9"/>
      <c r="H513" s="9"/>
    </row>
    <row r="514" spans="5:8" ht="15.75" customHeight="1" x14ac:dyDescent="0.3">
      <c r="E514" s="9"/>
      <c r="F514" s="9"/>
      <c r="H514" s="9"/>
    </row>
    <row r="515" spans="5:8" ht="15.75" customHeight="1" x14ac:dyDescent="0.3">
      <c r="E515" s="9"/>
      <c r="F515" s="9"/>
      <c r="H515" s="9"/>
    </row>
    <row r="516" spans="5:8" ht="15.75" customHeight="1" x14ac:dyDescent="0.3">
      <c r="E516" s="9"/>
      <c r="F516" s="9"/>
      <c r="H516" s="9"/>
    </row>
    <row r="517" spans="5:8" ht="15.75" customHeight="1" x14ac:dyDescent="0.3">
      <c r="E517" s="9"/>
      <c r="F517" s="9"/>
      <c r="H517" s="9"/>
    </row>
    <row r="518" spans="5:8" ht="15.75" customHeight="1" x14ac:dyDescent="0.3">
      <c r="E518" s="9"/>
      <c r="F518" s="9"/>
      <c r="H518" s="9"/>
    </row>
    <row r="519" spans="5:8" ht="15.75" customHeight="1" x14ac:dyDescent="0.3">
      <c r="E519" s="9"/>
      <c r="F519" s="9"/>
      <c r="H519" s="9"/>
    </row>
    <row r="520" spans="5:8" ht="15.75" customHeight="1" x14ac:dyDescent="0.3">
      <c r="E520" s="9"/>
      <c r="F520" s="9"/>
      <c r="H520" s="9"/>
    </row>
    <row r="521" spans="5:8" ht="15.75" customHeight="1" x14ac:dyDescent="0.3">
      <c r="E521" s="9"/>
      <c r="F521" s="9"/>
      <c r="H521" s="9"/>
    </row>
    <row r="522" spans="5:8" ht="15.75" customHeight="1" x14ac:dyDescent="0.3">
      <c r="E522" s="9"/>
      <c r="F522" s="9"/>
      <c r="H522" s="9"/>
    </row>
    <row r="523" spans="5:8" ht="15.75" customHeight="1" x14ac:dyDescent="0.3">
      <c r="E523" s="9"/>
      <c r="F523" s="9"/>
      <c r="H523" s="9"/>
    </row>
    <row r="524" spans="5:8" ht="15.75" customHeight="1" x14ac:dyDescent="0.3">
      <c r="E524" s="9"/>
      <c r="F524" s="9"/>
      <c r="H524" s="9"/>
    </row>
    <row r="525" spans="5:8" ht="15.75" customHeight="1" x14ac:dyDescent="0.3">
      <c r="E525" s="9"/>
      <c r="F525" s="9"/>
      <c r="H525" s="9"/>
    </row>
    <row r="526" spans="5:8" ht="15.75" customHeight="1" x14ac:dyDescent="0.3">
      <c r="E526" s="9"/>
      <c r="F526" s="9"/>
      <c r="H526" s="9"/>
    </row>
    <row r="527" spans="5:8" ht="15.75" customHeight="1" x14ac:dyDescent="0.3">
      <c r="E527" s="9"/>
      <c r="F527" s="9"/>
      <c r="H527" s="9"/>
    </row>
    <row r="528" spans="5:8" ht="15.75" customHeight="1" x14ac:dyDescent="0.3">
      <c r="E528" s="9"/>
      <c r="F528" s="9"/>
      <c r="H528" s="9"/>
    </row>
    <row r="529" spans="5:8" ht="15.75" customHeight="1" x14ac:dyDescent="0.3">
      <c r="E529" s="9"/>
      <c r="F529" s="9"/>
      <c r="H529" s="9"/>
    </row>
    <row r="530" spans="5:8" ht="15.75" customHeight="1" x14ac:dyDescent="0.3">
      <c r="E530" s="9"/>
      <c r="F530" s="9"/>
      <c r="H530" s="9"/>
    </row>
    <row r="531" spans="5:8" ht="15.75" customHeight="1" x14ac:dyDescent="0.3">
      <c r="E531" s="9"/>
      <c r="F531" s="9"/>
      <c r="H531" s="9"/>
    </row>
    <row r="532" spans="5:8" ht="15.75" customHeight="1" x14ac:dyDescent="0.3">
      <c r="E532" s="9"/>
      <c r="F532" s="9"/>
      <c r="H532" s="9"/>
    </row>
    <row r="533" spans="5:8" ht="15.75" customHeight="1" x14ac:dyDescent="0.3">
      <c r="E533" s="9"/>
      <c r="F533" s="9"/>
      <c r="H533" s="9"/>
    </row>
    <row r="534" spans="5:8" ht="15.75" customHeight="1" x14ac:dyDescent="0.3">
      <c r="E534" s="9"/>
      <c r="F534" s="9"/>
      <c r="H534" s="9"/>
    </row>
    <row r="535" spans="5:8" ht="15.75" customHeight="1" x14ac:dyDescent="0.3">
      <c r="E535" s="9"/>
      <c r="F535" s="9"/>
      <c r="H535" s="9"/>
    </row>
    <row r="536" spans="5:8" ht="15.75" customHeight="1" x14ac:dyDescent="0.3">
      <c r="E536" s="9"/>
      <c r="F536" s="9"/>
      <c r="H536" s="9"/>
    </row>
    <row r="537" spans="5:8" ht="15.75" customHeight="1" x14ac:dyDescent="0.3">
      <c r="E537" s="9"/>
      <c r="F537" s="9"/>
      <c r="H537" s="9"/>
    </row>
    <row r="538" spans="5:8" ht="15.75" customHeight="1" x14ac:dyDescent="0.3">
      <c r="E538" s="9"/>
      <c r="F538" s="9"/>
      <c r="H538" s="9"/>
    </row>
    <row r="539" spans="5:8" ht="15.75" customHeight="1" x14ac:dyDescent="0.3">
      <c r="E539" s="9"/>
      <c r="F539" s="9"/>
      <c r="H539" s="9"/>
    </row>
    <row r="540" spans="5:8" ht="15.75" customHeight="1" x14ac:dyDescent="0.3">
      <c r="E540" s="9"/>
      <c r="F540" s="9"/>
      <c r="H540" s="9"/>
    </row>
    <row r="541" spans="5:8" ht="15.75" customHeight="1" x14ac:dyDescent="0.3">
      <c r="E541" s="9"/>
      <c r="F541" s="9"/>
      <c r="H541" s="9"/>
    </row>
    <row r="542" spans="5:8" ht="15.75" customHeight="1" x14ac:dyDescent="0.3">
      <c r="E542" s="9"/>
      <c r="F542" s="9"/>
      <c r="H542" s="9"/>
    </row>
    <row r="543" spans="5:8" ht="15.75" customHeight="1" x14ac:dyDescent="0.3">
      <c r="E543" s="9"/>
      <c r="F543" s="9"/>
      <c r="H543" s="9"/>
    </row>
    <row r="544" spans="5:8" ht="15.75" customHeight="1" x14ac:dyDescent="0.3">
      <c r="E544" s="9"/>
      <c r="F544" s="9"/>
      <c r="H544" s="9"/>
    </row>
    <row r="545" spans="5:8" ht="15.75" customHeight="1" x14ac:dyDescent="0.3">
      <c r="E545" s="9"/>
      <c r="F545" s="9"/>
      <c r="H545" s="9"/>
    </row>
    <row r="546" spans="5:8" ht="15.75" customHeight="1" x14ac:dyDescent="0.3">
      <c r="E546" s="9"/>
      <c r="F546" s="9"/>
      <c r="H546" s="9"/>
    </row>
    <row r="547" spans="5:8" ht="15.75" customHeight="1" x14ac:dyDescent="0.3">
      <c r="E547" s="9"/>
      <c r="F547" s="9"/>
      <c r="H547" s="9"/>
    </row>
    <row r="548" spans="5:8" ht="15.75" customHeight="1" x14ac:dyDescent="0.3">
      <c r="E548" s="9"/>
      <c r="F548" s="9"/>
      <c r="H548" s="9"/>
    </row>
    <row r="549" spans="5:8" ht="15.75" customHeight="1" x14ac:dyDescent="0.3">
      <c r="E549" s="9"/>
      <c r="F549" s="9"/>
      <c r="H549" s="9"/>
    </row>
    <row r="550" spans="5:8" ht="15.75" customHeight="1" x14ac:dyDescent="0.3">
      <c r="E550" s="9"/>
      <c r="F550" s="9"/>
      <c r="H550" s="9"/>
    </row>
    <row r="551" spans="5:8" ht="15.75" customHeight="1" x14ac:dyDescent="0.3">
      <c r="E551" s="9"/>
      <c r="F551" s="9"/>
      <c r="H551" s="9"/>
    </row>
    <row r="552" spans="5:8" ht="15.75" customHeight="1" x14ac:dyDescent="0.3">
      <c r="E552" s="9"/>
      <c r="F552" s="9"/>
      <c r="H552" s="9"/>
    </row>
    <row r="553" spans="5:8" ht="15.75" customHeight="1" x14ac:dyDescent="0.3">
      <c r="E553" s="9"/>
      <c r="F553" s="9"/>
      <c r="H553" s="9"/>
    </row>
    <row r="554" spans="5:8" ht="15.75" customHeight="1" x14ac:dyDescent="0.3">
      <c r="E554" s="9"/>
      <c r="F554" s="9"/>
      <c r="H554" s="9"/>
    </row>
    <row r="555" spans="5:8" ht="15.75" customHeight="1" x14ac:dyDescent="0.3">
      <c r="E555" s="9"/>
      <c r="F555" s="9"/>
      <c r="H555" s="9"/>
    </row>
    <row r="556" spans="5:8" ht="15.75" customHeight="1" x14ac:dyDescent="0.3">
      <c r="E556" s="9"/>
      <c r="F556" s="9"/>
      <c r="H556" s="9"/>
    </row>
    <row r="557" spans="5:8" ht="15.75" customHeight="1" x14ac:dyDescent="0.3">
      <c r="E557" s="9"/>
      <c r="F557" s="9"/>
      <c r="H557" s="9"/>
    </row>
    <row r="558" spans="5:8" ht="15.75" customHeight="1" x14ac:dyDescent="0.3">
      <c r="E558" s="9"/>
      <c r="F558" s="9"/>
      <c r="H558" s="9"/>
    </row>
    <row r="559" spans="5:8" ht="15.75" customHeight="1" x14ac:dyDescent="0.3">
      <c r="E559" s="9"/>
      <c r="F559" s="9"/>
      <c r="H559" s="9"/>
    </row>
    <row r="560" spans="5:8" ht="15.75" customHeight="1" x14ac:dyDescent="0.3">
      <c r="E560" s="9"/>
      <c r="F560" s="9"/>
      <c r="H560" s="9"/>
    </row>
    <row r="561" spans="5:8" ht="15.75" customHeight="1" x14ac:dyDescent="0.3">
      <c r="E561" s="9"/>
      <c r="F561" s="9"/>
      <c r="H561" s="9"/>
    </row>
    <row r="562" spans="5:8" ht="15.75" customHeight="1" x14ac:dyDescent="0.3">
      <c r="E562" s="9"/>
      <c r="F562" s="9"/>
      <c r="H562" s="9"/>
    </row>
    <row r="563" spans="5:8" ht="15.75" customHeight="1" x14ac:dyDescent="0.3">
      <c r="E563" s="9"/>
      <c r="F563" s="9"/>
      <c r="H563" s="9"/>
    </row>
    <row r="564" spans="5:8" ht="15.75" customHeight="1" x14ac:dyDescent="0.3">
      <c r="E564" s="9"/>
      <c r="F564" s="9"/>
      <c r="H564" s="9"/>
    </row>
    <row r="565" spans="5:8" ht="15.75" customHeight="1" x14ac:dyDescent="0.3">
      <c r="E565" s="9"/>
      <c r="F565" s="9"/>
      <c r="H565" s="9"/>
    </row>
    <row r="566" spans="5:8" ht="15.75" customHeight="1" x14ac:dyDescent="0.3">
      <c r="E566" s="9"/>
      <c r="F566" s="9"/>
      <c r="H566" s="9"/>
    </row>
    <row r="567" spans="5:8" ht="15.75" customHeight="1" x14ac:dyDescent="0.3">
      <c r="E567" s="9"/>
      <c r="F567" s="9"/>
      <c r="H567" s="9"/>
    </row>
    <row r="568" spans="5:8" ht="15.75" customHeight="1" x14ac:dyDescent="0.3">
      <c r="E568" s="9"/>
      <c r="F568" s="9"/>
      <c r="H568" s="9"/>
    </row>
    <row r="569" spans="5:8" ht="15.75" customHeight="1" x14ac:dyDescent="0.3">
      <c r="E569" s="9"/>
      <c r="F569" s="9"/>
      <c r="H569" s="9"/>
    </row>
    <row r="570" spans="5:8" ht="15.75" customHeight="1" x14ac:dyDescent="0.3">
      <c r="E570" s="9"/>
      <c r="F570" s="9"/>
      <c r="H570" s="9"/>
    </row>
    <row r="571" spans="5:8" ht="15.75" customHeight="1" x14ac:dyDescent="0.3">
      <c r="E571" s="9"/>
      <c r="F571" s="9"/>
      <c r="H571" s="9"/>
    </row>
    <row r="572" spans="5:8" ht="15.75" customHeight="1" x14ac:dyDescent="0.3">
      <c r="E572" s="9"/>
      <c r="F572" s="9"/>
      <c r="H572" s="9"/>
    </row>
    <row r="573" spans="5:8" ht="15.75" customHeight="1" x14ac:dyDescent="0.3">
      <c r="E573" s="9"/>
      <c r="F573" s="9"/>
      <c r="H573" s="9"/>
    </row>
    <row r="574" spans="5:8" ht="15.75" customHeight="1" x14ac:dyDescent="0.3">
      <c r="E574" s="9"/>
      <c r="F574" s="9"/>
      <c r="H574" s="9"/>
    </row>
    <row r="575" spans="5:8" ht="15.75" customHeight="1" x14ac:dyDescent="0.3">
      <c r="E575" s="9"/>
      <c r="F575" s="9"/>
      <c r="H575" s="9"/>
    </row>
    <row r="576" spans="5:8" ht="15.75" customHeight="1" x14ac:dyDescent="0.3">
      <c r="E576" s="9"/>
      <c r="F576" s="9"/>
      <c r="H576" s="9"/>
    </row>
    <row r="577" spans="5:8" ht="15.75" customHeight="1" x14ac:dyDescent="0.3">
      <c r="E577" s="9"/>
      <c r="F577" s="9"/>
      <c r="H577" s="9"/>
    </row>
    <row r="578" spans="5:8" ht="15.75" customHeight="1" x14ac:dyDescent="0.3">
      <c r="E578" s="9"/>
      <c r="F578" s="9"/>
      <c r="H578" s="9"/>
    </row>
    <row r="579" spans="5:8" ht="15.75" customHeight="1" x14ac:dyDescent="0.3">
      <c r="E579" s="9"/>
      <c r="F579" s="9"/>
      <c r="H579" s="9"/>
    </row>
    <row r="580" spans="5:8" ht="15.75" customHeight="1" x14ac:dyDescent="0.3">
      <c r="E580" s="9"/>
      <c r="F580" s="9"/>
      <c r="H580" s="9"/>
    </row>
    <row r="581" spans="5:8" ht="15.75" customHeight="1" x14ac:dyDescent="0.3">
      <c r="E581" s="9"/>
      <c r="F581" s="9"/>
      <c r="H581" s="9"/>
    </row>
    <row r="582" spans="5:8" ht="15.75" customHeight="1" x14ac:dyDescent="0.3">
      <c r="E582" s="9"/>
      <c r="F582" s="9"/>
      <c r="H582" s="9"/>
    </row>
    <row r="583" spans="5:8" ht="15.75" customHeight="1" x14ac:dyDescent="0.3">
      <c r="E583" s="9"/>
      <c r="F583" s="9"/>
      <c r="H583" s="9"/>
    </row>
    <row r="584" spans="5:8" ht="15.75" customHeight="1" x14ac:dyDescent="0.3">
      <c r="E584" s="9"/>
      <c r="F584" s="9"/>
      <c r="H584" s="9"/>
    </row>
    <row r="585" spans="5:8" ht="15.75" customHeight="1" x14ac:dyDescent="0.3">
      <c r="E585" s="9"/>
      <c r="F585" s="9"/>
      <c r="H585" s="9"/>
    </row>
    <row r="586" spans="5:8" ht="15.75" customHeight="1" x14ac:dyDescent="0.3">
      <c r="E586" s="9"/>
      <c r="F586" s="9"/>
      <c r="H586" s="9"/>
    </row>
    <row r="587" spans="5:8" ht="15.75" customHeight="1" x14ac:dyDescent="0.3">
      <c r="E587" s="9"/>
      <c r="F587" s="9"/>
      <c r="H587" s="9"/>
    </row>
    <row r="588" spans="5:8" ht="15.75" customHeight="1" x14ac:dyDescent="0.3">
      <c r="E588" s="9"/>
      <c r="F588" s="9"/>
      <c r="H588" s="9"/>
    </row>
    <row r="589" spans="5:8" ht="15.75" customHeight="1" x14ac:dyDescent="0.3">
      <c r="E589" s="9"/>
      <c r="F589" s="9"/>
      <c r="H589" s="9"/>
    </row>
    <row r="590" spans="5:8" ht="15.75" customHeight="1" x14ac:dyDescent="0.3">
      <c r="E590" s="9"/>
      <c r="F590" s="9"/>
      <c r="H590" s="9"/>
    </row>
    <row r="591" spans="5:8" ht="15.75" customHeight="1" x14ac:dyDescent="0.3">
      <c r="E591" s="9"/>
      <c r="F591" s="9"/>
      <c r="H591" s="9"/>
    </row>
    <row r="592" spans="5:8" ht="15.75" customHeight="1" x14ac:dyDescent="0.3">
      <c r="E592" s="9"/>
      <c r="F592" s="9"/>
      <c r="H592" s="9"/>
    </row>
    <row r="593" spans="5:8" ht="15.75" customHeight="1" x14ac:dyDescent="0.3">
      <c r="E593" s="9"/>
      <c r="F593" s="9"/>
      <c r="H593" s="9"/>
    </row>
    <row r="594" spans="5:8" ht="15.75" customHeight="1" x14ac:dyDescent="0.3">
      <c r="E594" s="9"/>
      <c r="F594" s="9"/>
      <c r="H594" s="9"/>
    </row>
    <row r="595" spans="5:8" ht="15.75" customHeight="1" x14ac:dyDescent="0.3">
      <c r="E595" s="9"/>
      <c r="F595" s="9"/>
      <c r="H595" s="9"/>
    </row>
    <row r="596" spans="5:8" ht="15.75" customHeight="1" x14ac:dyDescent="0.3">
      <c r="E596" s="9"/>
      <c r="F596" s="9"/>
      <c r="H596" s="9"/>
    </row>
    <row r="597" spans="5:8" ht="15.75" customHeight="1" x14ac:dyDescent="0.3">
      <c r="E597" s="9"/>
      <c r="F597" s="9"/>
      <c r="H597" s="9"/>
    </row>
    <row r="598" spans="5:8" ht="15.75" customHeight="1" x14ac:dyDescent="0.3">
      <c r="E598" s="9"/>
      <c r="F598" s="9"/>
      <c r="H598" s="9"/>
    </row>
    <row r="599" spans="5:8" ht="15.75" customHeight="1" x14ac:dyDescent="0.3">
      <c r="E599" s="9"/>
      <c r="F599" s="9"/>
      <c r="H599" s="9"/>
    </row>
    <row r="600" spans="5:8" ht="15.75" customHeight="1" x14ac:dyDescent="0.3">
      <c r="E600" s="9"/>
      <c r="F600" s="9"/>
      <c r="H600" s="9"/>
    </row>
    <row r="601" spans="5:8" ht="15.75" customHeight="1" x14ac:dyDescent="0.3">
      <c r="E601" s="9"/>
      <c r="F601" s="9"/>
      <c r="H601" s="9"/>
    </row>
    <row r="602" spans="5:8" ht="15.75" customHeight="1" x14ac:dyDescent="0.3">
      <c r="E602" s="9"/>
      <c r="F602" s="9"/>
      <c r="H602" s="9"/>
    </row>
    <row r="603" spans="5:8" ht="15.75" customHeight="1" x14ac:dyDescent="0.3">
      <c r="E603" s="9"/>
      <c r="F603" s="9"/>
      <c r="H603" s="9"/>
    </row>
    <row r="604" spans="5:8" ht="15.75" customHeight="1" x14ac:dyDescent="0.3">
      <c r="E604" s="9"/>
      <c r="F604" s="9"/>
      <c r="H604" s="9"/>
    </row>
    <row r="605" spans="5:8" ht="15.75" customHeight="1" x14ac:dyDescent="0.3">
      <c r="E605" s="9"/>
      <c r="F605" s="9"/>
      <c r="H605" s="9"/>
    </row>
    <row r="606" spans="5:8" ht="15.75" customHeight="1" x14ac:dyDescent="0.3">
      <c r="E606" s="9"/>
      <c r="F606" s="9"/>
      <c r="H606" s="9"/>
    </row>
    <row r="607" spans="5:8" ht="15.75" customHeight="1" x14ac:dyDescent="0.3">
      <c r="E607" s="9"/>
      <c r="F607" s="9"/>
      <c r="H607" s="9"/>
    </row>
    <row r="608" spans="5:8" ht="15.75" customHeight="1" x14ac:dyDescent="0.3">
      <c r="E608" s="9"/>
      <c r="F608" s="9"/>
      <c r="H608" s="9"/>
    </row>
    <row r="609" spans="5:8" ht="15.75" customHeight="1" x14ac:dyDescent="0.3">
      <c r="E609" s="9"/>
      <c r="F609" s="9"/>
      <c r="H609" s="9"/>
    </row>
    <row r="610" spans="5:8" ht="15.75" customHeight="1" x14ac:dyDescent="0.3">
      <c r="E610" s="9"/>
      <c r="F610" s="9"/>
      <c r="H610" s="9"/>
    </row>
    <row r="611" spans="5:8" ht="15.75" customHeight="1" x14ac:dyDescent="0.3">
      <c r="E611" s="9"/>
      <c r="F611" s="9"/>
      <c r="H611" s="9"/>
    </row>
    <row r="612" spans="5:8" ht="15.75" customHeight="1" x14ac:dyDescent="0.3">
      <c r="E612" s="9"/>
      <c r="F612" s="9"/>
      <c r="H612" s="9"/>
    </row>
    <row r="613" spans="5:8" ht="15.75" customHeight="1" x14ac:dyDescent="0.3">
      <c r="E613" s="9"/>
      <c r="F613" s="9"/>
      <c r="H613" s="9"/>
    </row>
    <row r="614" spans="5:8" ht="15.75" customHeight="1" x14ac:dyDescent="0.3">
      <c r="E614" s="9"/>
      <c r="F614" s="9"/>
      <c r="H614" s="9"/>
    </row>
    <row r="615" spans="5:8" ht="15.75" customHeight="1" x14ac:dyDescent="0.3">
      <c r="E615" s="9"/>
      <c r="F615" s="9"/>
      <c r="H615" s="9"/>
    </row>
    <row r="616" spans="5:8" ht="15.75" customHeight="1" x14ac:dyDescent="0.3">
      <c r="E616" s="9"/>
      <c r="F616" s="9"/>
      <c r="H616" s="9"/>
    </row>
    <row r="617" spans="5:8" ht="15.75" customHeight="1" x14ac:dyDescent="0.3">
      <c r="E617" s="9"/>
      <c r="F617" s="9"/>
      <c r="H617" s="9"/>
    </row>
    <row r="618" spans="5:8" ht="15.75" customHeight="1" x14ac:dyDescent="0.3">
      <c r="E618" s="9"/>
      <c r="F618" s="9"/>
      <c r="H618" s="9"/>
    </row>
    <row r="619" spans="5:8" ht="15.75" customHeight="1" x14ac:dyDescent="0.3">
      <c r="E619" s="9"/>
      <c r="F619" s="9"/>
      <c r="H619" s="9"/>
    </row>
    <row r="620" spans="5:8" ht="15.75" customHeight="1" x14ac:dyDescent="0.3">
      <c r="E620" s="9"/>
      <c r="F620" s="9"/>
      <c r="H620" s="9"/>
    </row>
    <row r="621" spans="5:8" ht="15.75" customHeight="1" x14ac:dyDescent="0.3">
      <c r="E621" s="9"/>
      <c r="F621" s="9"/>
      <c r="H621" s="9"/>
    </row>
    <row r="622" spans="5:8" ht="15.75" customHeight="1" x14ac:dyDescent="0.3">
      <c r="E622" s="9"/>
      <c r="F622" s="9"/>
      <c r="H622" s="9"/>
    </row>
    <row r="623" spans="5:8" ht="15.75" customHeight="1" x14ac:dyDescent="0.3">
      <c r="E623" s="9"/>
      <c r="F623" s="9"/>
      <c r="H623" s="9"/>
    </row>
    <row r="624" spans="5:8" ht="15.75" customHeight="1" x14ac:dyDescent="0.3">
      <c r="E624" s="9"/>
      <c r="F624" s="9"/>
      <c r="H624" s="9"/>
    </row>
    <row r="625" spans="5:8" ht="15.75" customHeight="1" x14ac:dyDescent="0.3">
      <c r="E625" s="9"/>
      <c r="F625" s="9"/>
      <c r="H625" s="9"/>
    </row>
    <row r="626" spans="5:8" ht="15.75" customHeight="1" x14ac:dyDescent="0.3">
      <c r="E626" s="9"/>
      <c r="F626" s="9"/>
      <c r="H626" s="9"/>
    </row>
    <row r="627" spans="5:8" ht="15.75" customHeight="1" x14ac:dyDescent="0.3">
      <c r="E627" s="9"/>
      <c r="F627" s="9"/>
      <c r="H627" s="9"/>
    </row>
    <row r="628" spans="5:8" ht="15.75" customHeight="1" x14ac:dyDescent="0.3">
      <c r="E628" s="9"/>
      <c r="F628" s="9"/>
      <c r="H628" s="9"/>
    </row>
    <row r="629" spans="5:8" ht="15.75" customHeight="1" x14ac:dyDescent="0.3">
      <c r="E629" s="9"/>
      <c r="F629" s="9"/>
      <c r="H629" s="9"/>
    </row>
    <row r="630" spans="5:8" ht="15.75" customHeight="1" x14ac:dyDescent="0.3">
      <c r="E630" s="9"/>
      <c r="F630" s="9"/>
      <c r="H630" s="9"/>
    </row>
    <row r="631" spans="5:8" ht="15.75" customHeight="1" x14ac:dyDescent="0.3">
      <c r="E631" s="9"/>
      <c r="F631" s="9"/>
      <c r="H631" s="9"/>
    </row>
    <row r="632" spans="5:8" ht="15.75" customHeight="1" x14ac:dyDescent="0.3">
      <c r="E632" s="9"/>
      <c r="F632" s="9"/>
      <c r="H632" s="9"/>
    </row>
    <row r="633" spans="5:8" ht="15.75" customHeight="1" x14ac:dyDescent="0.3">
      <c r="E633" s="9"/>
      <c r="F633" s="9"/>
      <c r="H633" s="9"/>
    </row>
    <row r="634" spans="5:8" ht="15.75" customHeight="1" x14ac:dyDescent="0.3">
      <c r="E634" s="9"/>
      <c r="F634" s="9"/>
      <c r="H634" s="9"/>
    </row>
    <row r="635" spans="5:8" ht="15.75" customHeight="1" x14ac:dyDescent="0.3">
      <c r="E635" s="9"/>
      <c r="F635" s="9"/>
      <c r="H635" s="9"/>
    </row>
    <row r="636" spans="5:8" ht="15.75" customHeight="1" x14ac:dyDescent="0.3">
      <c r="E636" s="9"/>
      <c r="F636" s="9"/>
      <c r="H636" s="9"/>
    </row>
    <row r="637" spans="5:8" ht="15.75" customHeight="1" x14ac:dyDescent="0.3">
      <c r="E637" s="9"/>
      <c r="F637" s="9"/>
      <c r="H637" s="9"/>
    </row>
    <row r="638" spans="5:8" ht="15.75" customHeight="1" x14ac:dyDescent="0.3">
      <c r="E638" s="9"/>
      <c r="F638" s="9"/>
      <c r="H638" s="9"/>
    </row>
    <row r="639" spans="5:8" ht="15.75" customHeight="1" x14ac:dyDescent="0.3">
      <c r="E639" s="9"/>
      <c r="F639" s="9"/>
      <c r="H639" s="9"/>
    </row>
    <row r="640" spans="5:8" ht="15.75" customHeight="1" x14ac:dyDescent="0.3">
      <c r="E640" s="9"/>
      <c r="F640" s="9"/>
      <c r="H640" s="9"/>
    </row>
    <row r="641" spans="5:8" ht="15.75" customHeight="1" x14ac:dyDescent="0.3">
      <c r="E641" s="9"/>
      <c r="F641" s="9"/>
      <c r="H641" s="9"/>
    </row>
    <row r="642" spans="5:8" ht="15.75" customHeight="1" x14ac:dyDescent="0.3">
      <c r="E642" s="9"/>
      <c r="F642" s="9"/>
      <c r="H642" s="9"/>
    </row>
    <row r="643" spans="5:8" ht="15.75" customHeight="1" x14ac:dyDescent="0.3">
      <c r="E643" s="9"/>
      <c r="F643" s="9"/>
      <c r="H643" s="9"/>
    </row>
    <row r="644" spans="5:8" ht="15.75" customHeight="1" x14ac:dyDescent="0.3">
      <c r="E644" s="9"/>
      <c r="F644" s="9"/>
      <c r="H644" s="9"/>
    </row>
    <row r="645" spans="5:8" ht="15.75" customHeight="1" x14ac:dyDescent="0.3">
      <c r="E645" s="9"/>
      <c r="F645" s="9"/>
      <c r="H645" s="9"/>
    </row>
    <row r="646" spans="5:8" ht="15.75" customHeight="1" x14ac:dyDescent="0.3">
      <c r="E646" s="9"/>
      <c r="F646" s="9"/>
      <c r="H646" s="9"/>
    </row>
    <row r="647" spans="5:8" ht="15.75" customHeight="1" x14ac:dyDescent="0.3">
      <c r="E647" s="9"/>
      <c r="F647" s="9"/>
      <c r="H647" s="9"/>
    </row>
    <row r="648" spans="5:8" ht="15.75" customHeight="1" x14ac:dyDescent="0.3">
      <c r="E648" s="9"/>
      <c r="F648" s="9"/>
      <c r="H648" s="9"/>
    </row>
    <row r="649" spans="5:8" ht="15.75" customHeight="1" x14ac:dyDescent="0.3">
      <c r="E649" s="9"/>
      <c r="F649" s="9"/>
      <c r="H649" s="9"/>
    </row>
    <row r="650" spans="5:8" ht="15.75" customHeight="1" x14ac:dyDescent="0.3">
      <c r="E650" s="9"/>
      <c r="F650" s="9"/>
      <c r="H650" s="9"/>
    </row>
    <row r="651" spans="5:8" ht="15.75" customHeight="1" x14ac:dyDescent="0.3">
      <c r="E651" s="9"/>
      <c r="F651" s="9"/>
      <c r="H651" s="9"/>
    </row>
    <row r="652" spans="5:8" ht="15.75" customHeight="1" x14ac:dyDescent="0.3">
      <c r="E652" s="9"/>
      <c r="F652" s="9"/>
      <c r="H652" s="9"/>
    </row>
    <row r="653" spans="5:8" ht="15.75" customHeight="1" x14ac:dyDescent="0.3">
      <c r="E653" s="9"/>
      <c r="F653" s="9"/>
      <c r="H653" s="9"/>
    </row>
    <row r="654" spans="5:8" ht="15.75" customHeight="1" x14ac:dyDescent="0.3">
      <c r="E654" s="9"/>
      <c r="F654" s="9"/>
      <c r="H654" s="9"/>
    </row>
    <row r="655" spans="5:8" ht="15.75" customHeight="1" x14ac:dyDescent="0.3">
      <c r="E655" s="9"/>
      <c r="F655" s="9"/>
      <c r="H655" s="9"/>
    </row>
    <row r="656" spans="5:8" ht="15.75" customHeight="1" x14ac:dyDescent="0.3">
      <c r="E656" s="9"/>
      <c r="F656" s="9"/>
      <c r="H656" s="9"/>
    </row>
    <row r="657" spans="5:8" ht="15.75" customHeight="1" x14ac:dyDescent="0.3">
      <c r="E657" s="9"/>
      <c r="F657" s="9"/>
      <c r="H657" s="9"/>
    </row>
    <row r="658" spans="5:8" ht="15.75" customHeight="1" x14ac:dyDescent="0.3">
      <c r="E658" s="9"/>
      <c r="F658" s="9"/>
      <c r="H658" s="9"/>
    </row>
    <row r="659" spans="5:8" ht="15.75" customHeight="1" x14ac:dyDescent="0.3">
      <c r="E659" s="9"/>
      <c r="F659" s="9"/>
      <c r="H659" s="9"/>
    </row>
    <row r="660" spans="5:8" ht="15.75" customHeight="1" x14ac:dyDescent="0.3">
      <c r="E660" s="9"/>
      <c r="F660" s="9"/>
      <c r="H660" s="9"/>
    </row>
    <row r="661" spans="5:8" ht="15.75" customHeight="1" x14ac:dyDescent="0.3">
      <c r="E661" s="9"/>
      <c r="F661" s="9"/>
      <c r="H661" s="9"/>
    </row>
    <row r="662" spans="5:8" ht="15.75" customHeight="1" x14ac:dyDescent="0.3">
      <c r="E662" s="9"/>
      <c r="F662" s="9"/>
      <c r="H662" s="9"/>
    </row>
    <row r="663" spans="5:8" ht="15.75" customHeight="1" x14ac:dyDescent="0.3">
      <c r="E663" s="9"/>
      <c r="F663" s="9"/>
      <c r="H663" s="9"/>
    </row>
    <row r="664" spans="5:8" ht="15.75" customHeight="1" x14ac:dyDescent="0.3">
      <c r="E664" s="9"/>
      <c r="F664" s="9"/>
      <c r="H664" s="9"/>
    </row>
    <row r="665" spans="5:8" ht="15.75" customHeight="1" x14ac:dyDescent="0.3">
      <c r="E665" s="9"/>
      <c r="F665" s="9"/>
      <c r="H665" s="9"/>
    </row>
    <row r="666" spans="5:8" ht="15.75" customHeight="1" x14ac:dyDescent="0.3">
      <c r="E666" s="9"/>
      <c r="F666" s="9"/>
      <c r="H666" s="9"/>
    </row>
    <row r="667" spans="5:8" ht="15.75" customHeight="1" x14ac:dyDescent="0.3">
      <c r="E667" s="9"/>
      <c r="F667" s="9"/>
      <c r="H667" s="9"/>
    </row>
    <row r="668" spans="5:8" ht="15.75" customHeight="1" x14ac:dyDescent="0.3">
      <c r="E668" s="9"/>
      <c r="F668" s="9"/>
      <c r="H668" s="9"/>
    </row>
    <row r="669" spans="5:8" ht="15.75" customHeight="1" x14ac:dyDescent="0.3">
      <c r="E669" s="9"/>
      <c r="F669" s="9"/>
      <c r="H669" s="9"/>
    </row>
    <row r="670" spans="5:8" ht="15.75" customHeight="1" x14ac:dyDescent="0.3">
      <c r="E670" s="9"/>
      <c r="F670" s="9"/>
      <c r="H670" s="9"/>
    </row>
    <row r="671" spans="5:8" ht="15.75" customHeight="1" x14ac:dyDescent="0.3">
      <c r="E671" s="9"/>
      <c r="F671" s="9"/>
      <c r="H671" s="9"/>
    </row>
    <row r="672" spans="5:8" ht="15.75" customHeight="1" x14ac:dyDescent="0.3">
      <c r="E672" s="9"/>
      <c r="F672" s="9"/>
      <c r="H672" s="9"/>
    </row>
    <row r="673" spans="5:8" ht="15.75" customHeight="1" x14ac:dyDescent="0.3">
      <c r="E673" s="9"/>
      <c r="F673" s="9"/>
      <c r="H673" s="9"/>
    </row>
    <row r="674" spans="5:8" ht="15.75" customHeight="1" x14ac:dyDescent="0.3">
      <c r="E674" s="9"/>
      <c r="F674" s="9"/>
      <c r="H674" s="9"/>
    </row>
    <row r="675" spans="5:8" ht="15.75" customHeight="1" x14ac:dyDescent="0.3">
      <c r="E675" s="9"/>
      <c r="F675" s="9"/>
      <c r="H675" s="9"/>
    </row>
    <row r="676" spans="5:8" ht="15.75" customHeight="1" x14ac:dyDescent="0.3">
      <c r="E676" s="9"/>
      <c r="F676" s="9"/>
      <c r="H676" s="9"/>
    </row>
    <row r="677" spans="5:8" ht="15.75" customHeight="1" x14ac:dyDescent="0.3">
      <c r="E677" s="9"/>
      <c r="F677" s="9"/>
      <c r="H677" s="9"/>
    </row>
    <row r="678" spans="5:8" ht="15.75" customHeight="1" x14ac:dyDescent="0.3">
      <c r="E678" s="9"/>
      <c r="F678" s="9"/>
      <c r="H678" s="9"/>
    </row>
    <row r="679" spans="5:8" ht="15.75" customHeight="1" x14ac:dyDescent="0.3">
      <c r="E679" s="9"/>
      <c r="F679" s="9"/>
      <c r="H679" s="9"/>
    </row>
    <row r="680" spans="5:8" ht="15.75" customHeight="1" x14ac:dyDescent="0.3">
      <c r="E680" s="9"/>
      <c r="F680" s="9"/>
      <c r="H680" s="9"/>
    </row>
    <row r="681" spans="5:8" ht="15.75" customHeight="1" x14ac:dyDescent="0.3">
      <c r="E681" s="9"/>
      <c r="F681" s="9"/>
      <c r="H681" s="9"/>
    </row>
    <row r="682" spans="5:8" ht="15.75" customHeight="1" x14ac:dyDescent="0.3">
      <c r="E682" s="9"/>
      <c r="F682" s="9"/>
      <c r="H682" s="9"/>
    </row>
    <row r="683" spans="5:8" ht="15.75" customHeight="1" x14ac:dyDescent="0.3">
      <c r="E683" s="9"/>
      <c r="F683" s="9"/>
      <c r="H683" s="9"/>
    </row>
    <row r="684" spans="5:8" ht="15.75" customHeight="1" x14ac:dyDescent="0.3">
      <c r="E684" s="9"/>
      <c r="F684" s="9"/>
      <c r="H684" s="9"/>
    </row>
    <row r="685" spans="5:8" ht="15.75" customHeight="1" x14ac:dyDescent="0.3">
      <c r="E685" s="9"/>
      <c r="F685" s="9"/>
      <c r="H685" s="9"/>
    </row>
    <row r="686" spans="5:8" ht="15.75" customHeight="1" x14ac:dyDescent="0.3">
      <c r="E686" s="9"/>
      <c r="F686" s="9"/>
      <c r="H686" s="9"/>
    </row>
    <row r="687" spans="5:8" ht="15.75" customHeight="1" x14ac:dyDescent="0.3">
      <c r="E687" s="9"/>
      <c r="F687" s="9"/>
      <c r="H687" s="9"/>
    </row>
    <row r="688" spans="5:8" ht="15.75" customHeight="1" x14ac:dyDescent="0.3">
      <c r="E688" s="9"/>
      <c r="F688" s="9"/>
      <c r="H688" s="9"/>
    </row>
    <row r="689" spans="5:8" ht="15.75" customHeight="1" x14ac:dyDescent="0.3">
      <c r="E689" s="9"/>
      <c r="F689" s="9"/>
      <c r="H689" s="9"/>
    </row>
    <row r="690" spans="5:8" ht="15.75" customHeight="1" x14ac:dyDescent="0.3">
      <c r="E690" s="9"/>
      <c r="F690" s="9"/>
      <c r="H690" s="9"/>
    </row>
    <row r="691" spans="5:8" ht="15.75" customHeight="1" x14ac:dyDescent="0.3">
      <c r="E691" s="9"/>
      <c r="F691" s="9"/>
      <c r="H691" s="9"/>
    </row>
    <row r="692" spans="5:8" ht="15.75" customHeight="1" x14ac:dyDescent="0.3">
      <c r="E692" s="9"/>
      <c r="F692" s="9"/>
      <c r="H692" s="9"/>
    </row>
    <row r="693" spans="5:8" ht="15.75" customHeight="1" x14ac:dyDescent="0.3">
      <c r="E693" s="9"/>
      <c r="F693" s="9"/>
      <c r="H693" s="9"/>
    </row>
    <row r="694" spans="5:8" ht="15.75" customHeight="1" x14ac:dyDescent="0.3">
      <c r="E694" s="9"/>
      <c r="F694" s="9"/>
      <c r="H694" s="9"/>
    </row>
    <row r="695" spans="5:8" ht="15.75" customHeight="1" x14ac:dyDescent="0.3">
      <c r="E695" s="9"/>
      <c r="F695" s="9"/>
      <c r="H695" s="9"/>
    </row>
    <row r="696" spans="5:8" ht="15.75" customHeight="1" x14ac:dyDescent="0.3">
      <c r="E696" s="9"/>
      <c r="F696" s="9"/>
      <c r="H696" s="9"/>
    </row>
    <row r="697" spans="5:8" ht="15.75" customHeight="1" x14ac:dyDescent="0.3">
      <c r="E697" s="9"/>
      <c r="F697" s="9"/>
      <c r="H697" s="9"/>
    </row>
    <row r="698" spans="5:8" ht="15.75" customHeight="1" x14ac:dyDescent="0.3">
      <c r="E698" s="9"/>
      <c r="F698" s="9"/>
      <c r="H698" s="9"/>
    </row>
    <row r="699" spans="5:8" ht="15.75" customHeight="1" x14ac:dyDescent="0.3">
      <c r="E699" s="9"/>
      <c r="F699" s="9"/>
      <c r="H699" s="9"/>
    </row>
    <row r="700" spans="5:8" ht="15.75" customHeight="1" x14ac:dyDescent="0.3">
      <c r="E700" s="9"/>
      <c r="F700" s="9"/>
      <c r="H700" s="9"/>
    </row>
    <row r="701" spans="5:8" ht="15.75" customHeight="1" x14ac:dyDescent="0.3">
      <c r="E701" s="9"/>
      <c r="F701" s="9"/>
      <c r="H701" s="9"/>
    </row>
    <row r="702" spans="5:8" ht="15.75" customHeight="1" x14ac:dyDescent="0.3">
      <c r="E702" s="9"/>
      <c r="F702" s="9"/>
      <c r="H702" s="9"/>
    </row>
    <row r="703" spans="5:8" ht="15.75" customHeight="1" x14ac:dyDescent="0.3">
      <c r="E703" s="9"/>
      <c r="F703" s="9"/>
      <c r="H703" s="9"/>
    </row>
    <row r="704" spans="5:8" ht="15.75" customHeight="1" x14ac:dyDescent="0.3">
      <c r="E704" s="9"/>
      <c r="F704" s="9"/>
      <c r="H704" s="9"/>
    </row>
    <row r="705" spans="5:8" ht="15.75" customHeight="1" x14ac:dyDescent="0.3">
      <c r="E705" s="9"/>
      <c r="F705" s="9"/>
      <c r="H705" s="9"/>
    </row>
    <row r="706" spans="5:8" ht="15.75" customHeight="1" x14ac:dyDescent="0.3">
      <c r="E706" s="9"/>
      <c r="F706" s="9"/>
      <c r="H706" s="9"/>
    </row>
    <row r="707" spans="5:8" ht="15.75" customHeight="1" x14ac:dyDescent="0.3">
      <c r="E707" s="9"/>
      <c r="F707" s="9"/>
      <c r="H707" s="9"/>
    </row>
    <row r="708" spans="5:8" ht="15.75" customHeight="1" x14ac:dyDescent="0.3">
      <c r="E708" s="9"/>
      <c r="F708" s="9"/>
      <c r="H708" s="9"/>
    </row>
    <row r="709" spans="5:8" ht="15.75" customHeight="1" x14ac:dyDescent="0.3">
      <c r="E709" s="9"/>
      <c r="F709" s="9"/>
      <c r="H709" s="9"/>
    </row>
    <row r="710" spans="5:8" ht="15.75" customHeight="1" x14ac:dyDescent="0.3">
      <c r="E710" s="9"/>
      <c r="F710" s="9"/>
      <c r="H710" s="9"/>
    </row>
    <row r="711" spans="5:8" ht="15.75" customHeight="1" x14ac:dyDescent="0.3">
      <c r="E711" s="9"/>
      <c r="F711" s="9"/>
      <c r="H711" s="9"/>
    </row>
    <row r="712" spans="5:8" ht="15.75" customHeight="1" x14ac:dyDescent="0.3">
      <c r="E712" s="9"/>
      <c r="F712" s="9"/>
      <c r="H712" s="9"/>
    </row>
    <row r="713" spans="5:8" ht="15.75" customHeight="1" x14ac:dyDescent="0.3">
      <c r="E713" s="9"/>
      <c r="F713" s="9"/>
      <c r="H713" s="9"/>
    </row>
    <row r="714" spans="5:8" ht="15.75" customHeight="1" x14ac:dyDescent="0.3">
      <c r="E714" s="9"/>
      <c r="F714" s="9"/>
      <c r="H714" s="9"/>
    </row>
    <row r="715" spans="5:8" ht="15.75" customHeight="1" x14ac:dyDescent="0.3">
      <c r="E715" s="9"/>
      <c r="F715" s="9"/>
      <c r="H715" s="9"/>
    </row>
    <row r="716" spans="5:8" ht="15.75" customHeight="1" x14ac:dyDescent="0.3">
      <c r="E716" s="9"/>
      <c r="F716" s="9"/>
      <c r="H716" s="9"/>
    </row>
    <row r="717" spans="5:8" ht="15.75" customHeight="1" x14ac:dyDescent="0.3">
      <c r="E717" s="9"/>
      <c r="F717" s="9"/>
      <c r="H717" s="9"/>
    </row>
    <row r="718" spans="5:8" ht="15.75" customHeight="1" x14ac:dyDescent="0.3">
      <c r="E718" s="9"/>
      <c r="F718" s="9"/>
      <c r="H718" s="9"/>
    </row>
    <row r="719" spans="5:8" ht="15.75" customHeight="1" x14ac:dyDescent="0.3">
      <c r="E719" s="9"/>
      <c r="F719" s="9"/>
      <c r="H719" s="9"/>
    </row>
    <row r="720" spans="5:8" ht="15.75" customHeight="1" x14ac:dyDescent="0.3">
      <c r="E720" s="9"/>
      <c r="F720" s="9"/>
      <c r="H720" s="9"/>
    </row>
    <row r="721" spans="5:8" ht="15.75" customHeight="1" x14ac:dyDescent="0.3">
      <c r="E721" s="9"/>
      <c r="F721" s="9"/>
      <c r="H721" s="9"/>
    </row>
    <row r="722" spans="5:8" ht="15.75" customHeight="1" x14ac:dyDescent="0.3">
      <c r="E722" s="9"/>
      <c r="F722" s="9"/>
      <c r="H722" s="9"/>
    </row>
    <row r="723" spans="5:8" ht="15.75" customHeight="1" x14ac:dyDescent="0.3">
      <c r="E723" s="9"/>
      <c r="F723" s="9"/>
      <c r="H723" s="9"/>
    </row>
    <row r="724" spans="5:8" ht="15.75" customHeight="1" x14ac:dyDescent="0.3">
      <c r="E724" s="9"/>
      <c r="F724" s="9"/>
      <c r="H724" s="9"/>
    </row>
    <row r="725" spans="5:8" ht="15.75" customHeight="1" x14ac:dyDescent="0.3">
      <c r="E725" s="9"/>
      <c r="F725" s="9"/>
      <c r="H725" s="9"/>
    </row>
    <row r="726" spans="5:8" ht="15.75" customHeight="1" x14ac:dyDescent="0.3">
      <c r="E726" s="9"/>
      <c r="F726" s="9"/>
      <c r="H726" s="9"/>
    </row>
    <row r="727" spans="5:8" ht="15.75" customHeight="1" x14ac:dyDescent="0.3">
      <c r="E727" s="9"/>
      <c r="F727" s="9"/>
      <c r="H727" s="9"/>
    </row>
    <row r="728" spans="5:8" ht="15.75" customHeight="1" x14ac:dyDescent="0.3">
      <c r="E728" s="9"/>
      <c r="F728" s="9"/>
      <c r="H728" s="9"/>
    </row>
    <row r="729" spans="5:8" ht="15.75" customHeight="1" x14ac:dyDescent="0.3">
      <c r="E729" s="9"/>
      <c r="F729" s="9"/>
      <c r="H729" s="9"/>
    </row>
    <row r="730" spans="5:8" ht="15.75" customHeight="1" x14ac:dyDescent="0.3">
      <c r="E730" s="9"/>
      <c r="F730" s="9"/>
      <c r="H730" s="9"/>
    </row>
    <row r="731" spans="5:8" ht="15.75" customHeight="1" x14ac:dyDescent="0.3">
      <c r="E731" s="9"/>
      <c r="F731" s="9"/>
      <c r="H731" s="9"/>
    </row>
    <row r="732" spans="5:8" ht="15.75" customHeight="1" x14ac:dyDescent="0.3">
      <c r="E732" s="9"/>
      <c r="F732" s="9"/>
      <c r="H732" s="9"/>
    </row>
    <row r="733" spans="5:8" ht="15.75" customHeight="1" x14ac:dyDescent="0.3">
      <c r="E733" s="9"/>
      <c r="F733" s="9"/>
      <c r="H733" s="9"/>
    </row>
    <row r="734" spans="5:8" ht="15.75" customHeight="1" x14ac:dyDescent="0.3">
      <c r="E734" s="9"/>
      <c r="F734" s="9"/>
      <c r="H734" s="9"/>
    </row>
    <row r="735" spans="5:8" ht="15.75" customHeight="1" x14ac:dyDescent="0.3">
      <c r="E735" s="9"/>
      <c r="F735" s="9"/>
      <c r="H735" s="9"/>
    </row>
    <row r="736" spans="5:8" ht="15.75" customHeight="1" x14ac:dyDescent="0.3">
      <c r="E736" s="9"/>
      <c r="F736" s="9"/>
      <c r="H736" s="9"/>
    </row>
    <row r="737" spans="5:8" ht="15.75" customHeight="1" x14ac:dyDescent="0.3">
      <c r="E737" s="9"/>
      <c r="F737" s="9"/>
      <c r="H737" s="9"/>
    </row>
    <row r="738" spans="5:8" ht="15.75" customHeight="1" x14ac:dyDescent="0.3">
      <c r="E738" s="9"/>
      <c r="F738" s="9"/>
      <c r="H738" s="9"/>
    </row>
    <row r="739" spans="5:8" ht="15.75" customHeight="1" x14ac:dyDescent="0.3">
      <c r="E739" s="9"/>
      <c r="F739" s="9"/>
      <c r="H739" s="9"/>
    </row>
    <row r="740" spans="5:8" ht="15.75" customHeight="1" x14ac:dyDescent="0.3">
      <c r="E740" s="9"/>
      <c r="F740" s="9"/>
      <c r="H740" s="9"/>
    </row>
    <row r="741" spans="5:8" ht="15.75" customHeight="1" x14ac:dyDescent="0.3">
      <c r="E741" s="9"/>
      <c r="F741" s="9"/>
      <c r="H741" s="9"/>
    </row>
    <row r="742" spans="5:8" ht="15.75" customHeight="1" x14ac:dyDescent="0.3">
      <c r="E742" s="9"/>
      <c r="F742" s="9"/>
      <c r="H742" s="9"/>
    </row>
    <row r="743" spans="5:8" ht="15.75" customHeight="1" x14ac:dyDescent="0.3">
      <c r="E743" s="9"/>
      <c r="F743" s="9"/>
      <c r="H743" s="9"/>
    </row>
    <row r="744" spans="5:8" ht="15.75" customHeight="1" x14ac:dyDescent="0.3">
      <c r="E744" s="9"/>
      <c r="F744" s="9"/>
      <c r="H744" s="9"/>
    </row>
    <row r="745" spans="5:8" ht="15.75" customHeight="1" x14ac:dyDescent="0.3">
      <c r="E745" s="9"/>
      <c r="F745" s="9"/>
      <c r="H745" s="9"/>
    </row>
    <row r="746" spans="5:8" ht="15.75" customHeight="1" x14ac:dyDescent="0.3">
      <c r="E746" s="9"/>
      <c r="F746" s="9"/>
      <c r="H746" s="9"/>
    </row>
    <row r="747" spans="5:8" ht="15.75" customHeight="1" x14ac:dyDescent="0.3">
      <c r="E747" s="9"/>
      <c r="F747" s="9"/>
      <c r="H747" s="9"/>
    </row>
    <row r="748" spans="5:8" ht="15.75" customHeight="1" x14ac:dyDescent="0.3">
      <c r="E748" s="9"/>
      <c r="F748" s="9"/>
      <c r="H748" s="9"/>
    </row>
    <row r="749" spans="5:8" ht="15.75" customHeight="1" x14ac:dyDescent="0.3">
      <c r="E749" s="9"/>
      <c r="F749" s="9"/>
      <c r="H749" s="9"/>
    </row>
    <row r="750" spans="5:8" ht="15.75" customHeight="1" x14ac:dyDescent="0.3">
      <c r="E750" s="9"/>
      <c r="F750" s="9"/>
      <c r="H750" s="9"/>
    </row>
    <row r="751" spans="5:8" ht="15.75" customHeight="1" x14ac:dyDescent="0.3">
      <c r="E751" s="9"/>
      <c r="F751" s="9"/>
      <c r="H751" s="9"/>
    </row>
    <row r="752" spans="5:8" ht="15.75" customHeight="1" x14ac:dyDescent="0.3">
      <c r="E752" s="9"/>
      <c r="F752" s="9"/>
      <c r="H752" s="9"/>
    </row>
    <row r="753" spans="5:8" ht="15.75" customHeight="1" x14ac:dyDescent="0.3">
      <c r="E753" s="9"/>
      <c r="F753" s="9"/>
      <c r="H753" s="9"/>
    </row>
    <row r="754" spans="5:8" ht="15.75" customHeight="1" x14ac:dyDescent="0.3">
      <c r="E754" s="9"/>
      <c r="F754" s="9"/>
      <c r="H754" s="9"/>
    </row>
    <row r="755" spans="5:8" ht="15.75" customHeight="1" x14ac:dyDescent="0.3">
      <c r="E755" s="9"/>
      <c r="F755" s="9"/>
      <c r="H755" s="9"/>
    </row>
    <row r="756" spans="5:8" ht="15.75" customHeight="1" x14ac:dyDescent="0.3">
      <c r="E756" s="9"/>
      <c r="F756" s="9"/>
      <c r="H756" s="9"/>
    </row>
    <row r="757" spans="5:8" ht="15.75" customHeight="1" x14ac:dyDescent="0.3">
      <c r="E757" s="9"/>
      <c r="F757" s="9"/>
      <c r="H757" s="9"/>
    </row>
    <row r="758" spans="5:8" ht="15.75" customHeight="1" x14ac:dyDescent="0.3">
      <c r="E758" s="9"/>
      <c r="F758" s="9"/>
      <c r="H758" s="9"/>
    </row>
    <row r="759" spans="5:8" ht="15.75" customHeight="1" x14ac:dyDescent="0.3">
      <c r="E759" s="9"/>
      <c r="F759" s="9"/>
      <c r="H759" s="9"/>
    </row>
    <row r="760" spans="5:8" ht="15.75" customHeight="1" x14ac:dyDescent="0.3">
      <c r="E760" s="9"/>
      <c r="F760" s="9"/>
      <c r="H760" s="9"/>
    </row>
    <row r="761" spans="5:8" ht="15.75" customHeight="1" x14ac:dyDescent="0.3">
      <c r="E761" s="9"/>
      <c r="F761" s="9"/>
      <c r="H761" s="9"/>
    </row>
    <row r="762" spans="5:8" ht="15.75" customHeight="1" x14ac:dyDescent="0.3">
      <c r="E762" s="9"/>
      <c r="F762" s="9"/>
      <c r="H762" s="9"/>
    </row>
    <row r="763" spans="5:8" ht="15.75" customHeight="1" x14ac:dyDescent="0.3">
      <c r="E763" s="9"/>
      <c r="F763" s="9"/>
      <c r="H763" s="9"/>
    </row>
    <row r="764" spans="5:8" ht="15.75" customHeight="1" x14ac:dyDescent="0.3">
      <c r="E764" s="9"/>
      <c r="F764" s="9"/>
      <c r="H764" s="9"/>
    </row>
    <row r="765" spans="5:8" ht="15.75" customHeight="1" x14ac:dyDescent="0.3">
      <c r="E765" s="9"/>
      <c r="F765" s="9"/>
      <c r="H765" s="9"/>
    </row>
    <row r="766" spans="5:8" ht="15.75" customHeight="1" x14ac:dyDescent="0.3">
      <c r="E766" s="9"/>
      <c r="F766" s="9"/>
      <c r="H766" s="9"/>
    </row>
    <row r="767" spans="5:8" ht="15.75" customHeight="1" x14ac:dyDescent="0.3">
      <c r="E767" s="9"/>
      <c r="F767" s="9"/>
      <c r="H767" s="9"/>
    </row>
    <row r="768" spans="5:8" ht="15.75" customHeight="1" x14ac:dyDescent="0.3">
      <c r="E768" s="9"/>
      <c r="F768" s="9"/>
      <c r="H768" s="9"/>
    </row>
    <row r="769" spans="5:8" ht="15.75" customHeight="1" x14ac:dyDescent="0.3">
      <c r="E769" s="9"/>
      <c r="F769" s="9"/>
      <c r="H769" s="9"/>
    </row>
    <row r="770" spans="5:8" ht="15.75" customHeight="1" x14ac:dyDescent="0.3">
      <c r="E770" s="9"/>
      <c r="F770" s="9"/>
      <c r="H770" s="9"/>
    </row>
    <row r="771" spans="5:8" ht="15.75" customHeight="1" x14ac:dyDescent="0.3">
      <c r="E771" s="9"/>
      <c r="F771" s="9"/>
      <c r="H771" s="9"/>
    </row>
    <row r="772" spans="5:8" ht="15.75" customHeight="1" x14ac:dyDescent="0.3">
      <c r="E772" s="9"/>
      <c r="F772" s="9"/>
      <c r="H772" s="9"/>
    </row>
    <row r="773" spans="5:8" ht="15.75" customHeight="1" x14ac:dyDescent="0.3">
      <c r="E773" s="9"/>
      <c r="F773" s="9"/>
      <c r="H773" s="9"/>
    </row>
    <row r="774" spans="5:8" ht="15.75" customHeight="1" x14ac:dyDescent="0.3">
      <c r="E774" s="9"/>
      <c r="F774" s="9"/>
      <c r="H774" s="9"/>
    </row>
    <row r="775" spans="5:8" ht="15.75" customHeight="1" x14ac:dyDescent="0.3">
      <c r="E775" s="9"/>
      <c r="F775" s="9"/>
      <c r="H775" s="9"/>
    </row>
    <row r="776" spans="5:8" ht="15.75" customHeight="1" x14ac:dyDescent="0.3">
      <c r="E776" s="9"/>
      <c r="F776" s="9"/>
      <c r="H776" s="9"/>
    </row>
    <row r="777" spans="5:8" ht="15.75" customHeight="1" x14ac:dyDescent="0.3">
      <c r="E777" s="9"/>
      <c r="F777" s="9"/>
      <c r="H777" s="9"/>
    </row>
    <row r="778" spans="5:8" ht="15.75" customHeight="1" x14ac:dyDescent="0.3">
      <c r="E778" s="9"/>
      <c r="F778" s="9"/>
      <c r="H778" s="9"/>
    </row>
    <row r="779" spans="5:8" ht="15.75" customHeight="1" x14ac:dyDescent="0.3">
      <c r="E779" s="9"/>
      <c r="F779" s="9"/>
      <c r="H779" s="9"/>
    </row>
    <row r="780" spans="5:8" ht="15.75" customHeight="1" x14ac:dyDescent="0.3">
      <c r="E780" s="9"/>
      <c r="F780" s="9"/>
      <c r="H780" s="9"/>
    </row>
    <row r="781" spans="5:8" ht="15.75" customHeight="1" x14ac:dyDescent="0.3">
      <c r="E781" s="9"/>
      <c r="F781" s="9"/>
      <c r="H781" s="9"/>
    </row>
    <row r="782" spans="5:8" ht="15.75" customHeight="1" x14ac:dyDescent="0.3">
      <c r="E782" s="9"/>
      <c r="F782" s="9"/>
      <c r="H782" s="9"/>
    </row>
    <row r="783" spans="5:8" ht="15.75" customHeight="1" x14ac:dyDescent="0.3">
      <c r="E783" s="9"/>
      <c r="F783" s="9"/>
      <c r="H783" s="9"/>
    </row>
    <row r="784" spans="5:8" ht="15.75" customHeight="1" x14ac:dyDescent="0.3">
      <c r="E784" s="9"/>
      <c r="F784" s="9"/>
      <c r="H784" s="9"/>
    </row>
    <row r="785" spans="5:8" ht="15.75" customHeight="1" x14ac:dyDescent="0.3">
      <c r="E785" s="9"/>
      <c r="F785" s="9"/>
      <c r="H785" s="9"/>
    </row>
    <row r="786" spans="5:8" ht="15.75" customHeight="1" x14ac:dyDescent="0.3">
      <c r="E786" s="9"/>
      <c r="F786" s="9"/>
      <c r="H786" s="9"/>
    </row>
    <row r="787" spans="5:8" ht="15.75" customHeight="1" x14ac:dyDescent="0.3">
      <c r="E787" s="9"/>
      <c r="F787" s="9"/>
      <c r="H787" s="9"/>
    </row>
    <row r="788" spans="5:8" ht="15.75" customHeight="1" x14ac:dyDescent="0.3">
      <c r="E788" s="9"/>
      <c r="F788" s="9"/>
      <c r="H788" s="9"/>
    </row>
    <row r="789" spans="5:8" ht="15.75" customHeight="1" x14ac:dyDescent="0.3">
      <c r="E789" s="9"/>
      <c r="F789" s="9"/>
      <c r="H789" s="9"/>
    </row>
    <row r="790" spans="5:8" ht="15.75" customHeight="1" x14ac:dyDescent="0.3">
      <c r="E790" s="9"/>
      <c r="F790" s="9"/>
      <c r="H790" s="9"/>
    </row>
    <row r="791" spans="5:8" ht="15.75" customHeight="1" x14ac:dyDescent="0.3">
      <c r="E791" s="9"/>
      <c r="F791" s="9"/>
      <c r="H791" s="9"/>
    </row>
    <row r="792" spans="5:8" ht="15.75" customHeight="1" x14ac:dyDescent="0.3">
      <c r="E792" s="9"/>
      <c r="F792" s="9"/>
      <c r="H792" s="9"/>
    </row>
    <row r="793" spans="5:8" ht="15.75" customHeight="1" x14ac:dyDescent="0.3">
      <c r="E793" s="9"/>
      <c r="F793" s="9"/>
      <c r="H793" s="9"/>
    </row>
    <row r="794" spans="5:8" ht="15.75" customHeight="1" x14ac:dyDescent="0.3">
      <c r="E794" s="9"/>
      <c r="F794" s="9"/>
      <c r="H794" s="9"/>
    </row>
    <row r="795" spans="5:8" ht="15.75" customHeight="1" x14ac:dyDescent="0.3">
      <c r="E795" s="9"/>
      <c r="F795" s="9"/>
      <c r="H795" s="9"/>
    </row>
    <row r="796" spans="5:8" ht="15.75" customHeight="1" x14ac:dyDescent="0.3">
      <c r="E796" s="9"/>
      <c r="F796" s="9"/>
      <c r="H796" s="9"/>
    </row>
    <row r="797" spans="5:8" ht="15.75" customHeight="1" x14ac:dyDescent="0.3">
      <c r="E797" s="9"/>
      <c r="F797" s="9"/>
      <c r="H797" s="9"/>
    </row>
    <row r="798" spans="5:8" ht="15.75" customHeight="1" x14ac:dyDescent="0.3">
      <c r="E798" s="9"/>
      <c r="F798" s="9"/>
      <c r="H798" s="9"/>
    </row>
    <row r="799" spans="5:8" ht="15.75" customHeight="1" x14ac:dyDescent="0.3">
      <c r="E799" s="9"/>
      <c r="F799" s="9"/>
      <c r="H799" s="9"/>
    </row>
    <row r="800" spans="5:8" ht="15.75" customHeight="1" x14ac:dyDescent="0.3">
      <c r="E800" s="9"/>
      <c r="F800" s="9"/>
      <c r="H800" s="9"/>
    </row>
    <row r="801" spans="5:8" ht="15.75" customHeight="1" x14ac:dyDescent="0.3">
      <c r="E801" s="9"/>
      <c r="F801" s="9"/>
      <c r="H801" s="9"/>
    </row>
    <row r="802" spans="5:8" ht="15.75" customHeight="1" x14ac:dyDescent="0.3">
      <c r="E802" s="9"/>
      <c r="F802" s="9"/>
      <c r="H802" s="9"/>
    </row>
    <row r="803" spans="5:8" ht="15.75" customHeight="1" x14ac:dyDescent="0.3">
      <c r="E803" s="9"/>
      <c r="F803" s="9"/>
      <c r="H803" s="9"/>
    </row>
    <row r="804" spans="5:8" ht="15.75" customHeight="1" x14ac:dyDescent="0.3">
      <c r="E804" s="9"/>
      <c r="F804" s="9"/>
      <c r="H804" s="9"/>
    </row>
    <row r="805" spans="5:8" ht="15.75" customHeight="1" x14ac:dyDescent="0.3">
      <c r="E805" s="9"/>
      <c r="F805" s="9"/>
      <c r="H805" s="9"/>
    </row>
    <row r="806" spans="5:8" ht="15.75" customHeight="1" x14ac:dyDescent="0.3">
      <c r="E806" s="9"/>
      <c r="F806" s="9"/>
      <c r="H806" s="9"/>
    </row>
    <row r="807" spans="5:8" ht="15.75" customHeight="1" x14ac:dyDescent="0.3">
      <c r="E807" s="9"/>
      <c r="F807" s="9"/>
      <c r="H807" s="9"/>
    </row>
    <row r="808" spans="5:8" ht="15.75" customHeight="1" x14ac:dyDescent="0.3">
      <c r="E808" s="9"/>
      <c r="F808" s="9"/>
      <c r="H808" s="9"/>
    </row>
    <row r="809" spans="5:8" ht="15.75" customHeight="1" x14ac:dyDescent="0.3">
      <c r="E809" s="9"/>
      <c r="F809" s="9"/>
      <c r="H809" s="9"/>
    </row>
    <row r="810" spans="5:8" ht="15.75" customHeight="1" x14ac:dyDescent="0.3">
      <c r="E810" s="9"/>
      <c r="F810" s="9"/>
      <c r="H810" s="9"/>
    </row>
    <row r="811" spans="5:8" ht="15.75" customHeight="1" x14ac:dyDescent="0.3">
      <c r="E811" s="9"/>
      <c r="F811" s="9"/>
      <c r="H811" s="9"/>
    </row>
    <row r="812" spans="5:8" ht="15.75" customHeight="1" x14ac:dyDescent="0.3">
      <c r="E812" s="9"/>
      <c r="F812" s="9"/>
      <c r="H812" s="9"/>
    </row>
    <row r="813" spans="5:8" ht="15.75" customHeight="1" x14ac:dyDescent="0.3">
      <c r="E813" s="9"/>
      <c r="F813" s="9"/>
      <c r="H813" s="9"/>
    </row>
    <row r="814" spans="5:8" ht="15.75" customHeight="1" x14ac:dyDescent="0.3">
      <c r="E814" s="9"/>
      <c r="F814" s="9"/>
      <c r="H814" s="9"/>
    </row>
    <row r="815" spans="5:8" ht="15.75" customHeight="1" x14ac:dyDescent="0.3">
      <c r="E815" s="9"/>
      <c r="F815" s="9"/>
      <c r="H815" s="9"/>
    </row>
    <row r="816" spans="5:8" ht="15.75" customHeight="1" x14ac:dyDescent="0.3">
      <c r="E816" s="9"/>
      <c r="F816" s="9"/>
      <c r="H816" s="9"/>
    </row>
    <row r="817" spans="5:8" ht="15.75" customHeight="1" x14ac:dyDescent="0.3">
      <c r="E817" s="9"/>
      <c r="F817" s="9"/>
      <c r="H817" s="9"/>
    </row>
    <row r="818" spans="5:8" ht="15.75" customHeight="1" x14ac:dyDescent="0.3">
      <c r="E818" s="9"/>
      <c r="F818" s="9"/>
      <c r="H818" s="9"/>
    </row>
    <row r="819" spans="5:8" ht="15.75" customHeight="1" x14ac:dyDescent="0.3">
      <c r="E819" s="9"/>
      <c r="F819" s="9"/>
      <c r="H819" s="9"/>
    </row>
    <row r="820" spans="5:8" ht="15.75" customHeight="1" x14ac:dyDescent="0.3">
      <c r="E820" s="9"/>
      <c r="F820" s="9"/>
      <c r="H820" s="9"/>
    </row>
    <row r="821" spans="5:8" ht="15.75" customHeight="1" x14ac:dyDescent="0.3">
      <c r="E821" s="9"/>
      <c r="F821" s="9"/>
      <c r="H821" s="9"/>
    </row>
    <row r="822" spans="5:8" ht="15.75" customHeight="1" x14ac:dyDescent="0.3">
      <c r="E822" s="9"/>
      <c r="F822" s="9"/>
      <c r="H822" s="9"/>
    </row>
    <row r="823" spans="5:8" ht="15.75" customHeight="1" x14ac:dyDescent="0.3">
      <c r="E823" s="9"/>
      <c r="F823" s="9"/>
      <c r="H823" s="9"/>
    </row>
    <row r="824" spans="5:8" ht="15.75" customHeight="1" x14ac:dyDescent="0.3">
      <c r="E824" s="9"/>
      <c r="F824" s="9"/>
      <c r="H824" s="9"/>
    </row>
    <row r="825" spans="5:8" ht="15.75" customHeight="1" x14ac:dyDescent="0.3">
      <c r="E825" s="9"/>
      <c r="F825" s="9"/>
      <c r="H825" s="9"/>
    </row>
    <row r="826" spans="5:8" ht="15.75" customHeight="1" x14ac:dyDescent="0.3">
      <c r="E826" s="9"/>
      <c r="F826" s="9"/>
      <c r="H826" s="9"/>
    </row>
    <row r="827" spans="5:8" ht="15.75" customHeight="1" x14ac:dyDescent="0.3">
      <c r="E827" s="9"/>
      <c r="F827" s="9"/>
      <c r="H827" s="9"/>
    </row>
    <row r="828" spans="5:8" ht="15.75" customHeight="1" x14ac:dyDescent="0.3">
      <c r="E828" s="9"/>
      <c r="F828" s="9"/>
      <c r="H828" s="9"/>
    </row>
    <row r="829" spans="5:8" ht="15.75" customHeight="1" x14ac:dyDescent="0.3">
      <c r="E829" s="9"/>
      <c r="F829" s="9"/>
      <c r="H829" s="9"/>
    </row>
    <row r="830" spans="5:8" ht="15.75" customHeight="1" x14ac:dyDescent="0.3">
      <c r="E830" s="9"/>
      <c r="F830" s="9"/>
      <c r="H830" s="9"/>
    </row>
    <row r="831" spans="5:8" ht="15.75" customHeight="1" x14ac:dyDescent="0.3">
      <c r="E831" s="9"/>
      <c r="F831" s="9"/>
      <c r="H831" s="9"/>
    </row>
    <row r="832" spans="5:8" ht="15.75" customHeight="1" x14ac:dyDescent="0.3">
      <c r="E832" s="9"/>
      <c r="F832" s="9"/>
      <c r="H832" s="9"/>
    </row>
    <row r="833" spans="5:8" ht="15.75" customHeight="1" x14ac:dyDescent="0.3">
      <c r="E833" s="9"/>
      <c r="F833" s="9"/>
      <c r="H833" s="9"/>
    </row>
    <row r="834" spans="5:8" ht="15.75" customHeight="1" x14ac:dyDescent="0.3">
      <c r="E834" s="9"/>
      <c r="F834" s="9"/>
      <c r="H834" s="9"/>
    </row>
    <row r="835" spans="5:8" ht="15.75" customHeight="1" x14ac:dyDescent="0.3">
      <c r="E835" s="9"/>
      <c r="F835" s="9"/>
      <c r="H835" s="9"/>
    </row>
    <row r="836" spans="5:8" ht="15.75" customHeight="1" x14ac:dyDescent="0.3">
      <c r="E836" s="9"/>
      <c r="F836" s="9"/>
      <c r="H836" s="9"/>
    </row>
    <row r="837" spans="5:8" ht="15.75" customHeight="1" x14ac:dyDescent="0.3">
      <c r="E837" s="9"/>
      <c r="F837" s="9"/>
      <c r="H837" s="9"/>
    </row>
    <row r="838" spans="5:8" ht="15.75" customHeight="1" x14ac:dyDescent="0.3">
      <c r="E838" s="9"/>
      <c r="F838" s="9"/>
      <c r="H838" s="9"/>
    </row>
    <row r="839" spans="5:8" ht="15.75" customHeight="1" x14ac:dyDescent="0.3">
      <c r="E839" s="9"/>
      <c r="F839" s="9"/>
      <c r="H839" s="9"/>
    </row>
    <row r="840" spans="5:8" ht="15.75" customHeight="1" x14ac:dyDescent="0.3">
      <c r="E840" s="9"/>
      <c r="F840" s="9"/>
      <c r="H840" s="9"/>
    </row>
    <row r="841" spans="5:8" ht="15.75" customHeight="1" x14ac:dyDescent="0.3">
      <c r="E841" s="9"/>
      <c r="F841" s="9"/>
      <c r="H841" s="9"/>
    </row>
    <row r="842" spans="5:8" ht="15.75" customHeight="1" x14ac:dyDescent="0.3">
      <c r="E842" s="9"/>
      <c r="F842" s="9"/>
      <c r="H842" s="9"/>
    </row>
    <row r="843" spans="5:8" ht="15.75" customHeight="1" x14ac:dyDescent="0.3">
      <c r="E843" s="9"/>
      <c r="F843" s="9"/>
      <c r="H843" s="9"/>
    </row>
    <row r="844" spans="5:8" ht="15.75" customHeight="1" x14ac:dyDescent="0.3">
      <c r="E844" s="9"/>
      <c r="F844" s="9"/>
      <c r="H844" s="9"/>
    </row>
    <row r="845" spans="5:8" ht="15.75" customHeight="1" x14ac:dyDescent="0.3">
      <c r="E845" s="9"/>
      <c r="F845" s="9"/>
      <c r="H845" s="9"/>
    </row>
    <row r="846" spans="5:8" ht="15.75" customHeight="1" x14ac:dyDescent="0.3">
      <c r="E846" s="9"/>
      <c r="F846" s="9"/>
      <c r="H846" s="9"/>
    </row>
    <row r="847" spans="5:8" ht="15.75" customHeight="1" x14ac:dyDescent="0.3">
      <c r="E847" s="9"/>
      <c r="F847" s="9"/>
      <c r="H847" s="9"/>
    </row>
    <row r="848" spans="5:8" ht="15.75" customHeight="1" x14ac:dyDescent="0.3">
      <c r="E848" s="9"/>
      <c r="F848" s="9"/>
      <c r="H848" s="9"/>
    </row>
    <row r="849" spans="5:8" ht="15.75" customHeight="1" x14ac:dyDescent="0.3">
      <c r="E849" s="9"/>
      <c r="F849" s="9"/>
      <c r="H849" s="9"/>
    </row>
    <row r="850" spans="5:8" ht="15.75" customHeight="1" x14ac:dyDescent="0.3">
      <c r="E850" s="9"/>
      <c r="F850" s="9"/>
      <c r="H850" s="9"/>
    </row>
    <row r="851" spans="5:8" ht="15.75" customHeight="1" x14ac:dyDescent="0.3">
      <c r="E851" s="9"/>
      <c r="F851" s="9"/>
      <c r="H851" s="9"/>
    </row>
    <row r="852" spans="5:8" ht="15.75" customHeight="1" x14ac:dyDescent="0.3">
      <c r="E852" s="9"/>
      <c r="F852" s="9"/>
      <c r="H852" s="9"/>
    </row>
    <row r="853" spans="5:8" ht="15.75" customHeight="1" x14ac:dyDescent="0.3">
      <c r="E853" s="9"/>
      <c r="F853" s="9"/>
      <c r="H853" s="9"/>
    </row>
    <row r="854" spans="5:8" ht="15.75" customHeight="1" x14ac:dyDescent="0.3">
      <c r="E854" s="9"/>
      <c r="F854" s="9"/>
      <c r="H854" s="9"/>
    </row>
    <row r="855" spans="5:8" ht="15.75" customHeight="1" x14ac:dyDescent="0.3">
      <c r="E855" s="9"/>
      <c r="F855" s="9"/>
      <c r="H855" s="9"/>
    </row>
    <row r="856" spans="5:8" ht="15.75" customHeight="1" x14ac:dyDescent="0.3">
      <c r="E856" s="9"/>
      <c r="F856" s="9"/>
      <c r="H856" s="9"/>
    </row>
    <row r="857" spans="5:8" ht="15.75" customHeight="1" x14ac:dyDescent="0.3">
      <c r="E857" s="9"/>
      <c r="F857" s="9"/>
      <c r="H857" s="9"/>
    </row>
    <row r="858" spans="5:8" ht="15.75" customHeight="1" x14ac:dyDescent="0.3">
      <c r="E858" s="9"/>
      <c r="F858" s="9"/>
      <c r="H858" s="9"/>
    </row>
    <row r="859" spans="5:8" ht="15.75" customHeight="1" x14ac:dyDescent="0.3">
      <c r="E859" s="9"/>
      <c r="F859" s="9"/>
      <c r="H859" s="9"/>
    </row>
    <row r="860" spans="5:8" ht="15.75" customHeight="1" x14ac:dyDescent="0.3">
      <c r="E860" s="9"/>
      <c r="F860" s="9"/>
      <c r="H860" s="9"/>
    </row>
    <row r="861" spans="5:8" ht="15.75" customHeight="1" x14ac:dyDescent="0.3">
      <c r="E861" s="9"/>
      <c r="F861" s="9"/>
      <c r="H861" s="9"/>
    </row>
    <row r="862" spans="5:8" ht="15.75" customHeight="1" x14ac:dyDescent="0.3">
      <c r="E862" s="9"/>
      <c r="F862" s="9"/>
      <c r="H862" s="9"/>
    </row>
    <row r="863" spans="5:8" ht="15.75" customHeight="1" x14ac:dyDescent="0.3">
      <c r="E863" s="9"/>
      <c r="F863" s="9"/>
      <c r="H863" s="9"/>
    </row>
    <row r="864" spans="5:8" ht="15.75" customHeight="1" x14ac:dyDescent="0.3">
      <c r="E864" s="9"/>
      <c r="F864" s="9"/>
      <c r="H864" s="9"/>
    </row>
    <row r="865" spans="5:8" ht="15.75" customHeight="1" x14ac:dyDescent="0.3">
      <c r="E865" s="9"/>
      <c r="F865" s="9"/>
      <c r="H865" s="9"/>
    </row>
    <row r="866" spans="5:8" ht="15.75" customHeight="1" x14ac:dyDescent="0.3">
      <c r="E866" s="9"/>
      <c r="F866" s="9"/>
      <c r="H866" s="9"/>
    </row>
    <row r="867" spans="5:8" ht="15.75" customHeight="1" x14ac:dyDescent="0.3">
      <c r="E867" s="9"/>
      <c r="F867" s="9"/>
      <c r="H867" s="9"/>
    </row>
    <row r="868" spans="5:8" ht="15.75" customHeight="1" x14ac:dyDescent="0.3">
      <c r="E868" s="9"/>
      <c r="F868" s="9"/>
      <c r="H868" s="9"/>
    </row>
    <row r="869" spans="5:8" ht="15.75" customHeight="1" x14ac:dyDescent="0.3">
      <c r="E869" s="9"/>
      <c r="F869" s="9"/>
      <c r="H869" s="9"/>
    </row>
    <row r="870" spans="5:8" ht="15.75" customHeight="1" x14ac:dyDescent="0.3">
      <c r="E870" s="9"/>
      <c r="F870" s="9"/>
      <c r="H870" s="9"/>
    </row>
    <row r="871" spans="5:8" ht="15.75" customHeight="1" x14ac:dyDescent="0.3">
      <c r="E871" s="9"/>
      <c r="F871" s="9"/>
      <c r="H871" s="9"/>
    </row>
    <row r="872" spans="5:8" ht="15.75" customHeight="1" x14ac:dyDescent="0.3">
      <c r="E872" s="9"/>
      <c r="F872" s="9"/>
      <c r="H872" s="9"/>
    </row>
    <row r="873" spans="5:8" ht="15.75" customHeight="1" x14ac:dyDescent="0.3">
      <c r="E873" s="9"/>
      <c r="F873" s="9"/>
      <c r="H873" s="9"/>
    </row>
    <row r="874" spans="5:8" ht="15.75" customHeight="1" x14ac:dyDescent="0.3">
      <c r="E874" s="9"/>
      <c r="F874" s="9"/>
      <c r="H874" s="9"/>
    </row>
    <row r="875" spans="5:8" ht="15.75" customHeight="1" x14ac:dyDescent="0.3">
      <c r="E875" s="9"/>
      <c r="F875" s="9"/>
      <c r="H875" s="9"/>
    </row>
    <row r="876" spans="5:8" ht="15.75" customHeight="1" x14ac:dyDescent="0.3">
      <c r="E876" s="9"/>
      <c r="F876" s="9"/>
      <c r="H876" s="9"/>
    </row>
    <row r="877" spans="5:8" ht="15.75" customHeight="1" x14ac:dyDescent="0.3">
      <c r="E877" s="9"/>
      <c r="F877" s="9"/>
      <c r="H877" s="9"/>
    </row>
    <row r="878" spans="5:8" ht="15.75" customHeight="1" x14ac:dyDescent="0.3">
      <c r="E878" s="9"/>
      <c r="F878" s="9"/>
      <c r="H878" s="9"/>
    </row>
    <row r="879" spans="5:8" ht="15.75" customHeight="1" x14ac:dyDescent="0.3">
      <c r="E879" s="9"/>
      <c r="F879" s="9"/>
      <c r="H879" s="9"/>
    </row>
    <row r="880" spans="5:8" ht="15.75" customHeight="1" x14ac:dyDescent="0.3">
      <c r="E880" s="9"/>
      <c r="F880" s="9"/>
      <c r="H880" s="9"/>
    </row>
    <row r="881" spans="5:8" ht="15.75" customHeight="1" x14ac:dyDescent="0.3">
      <c r="E881" s="9"/>
      <c r="F881" s="9"/>
      <c r="H881" s="9"/>
    </row>
    <row r="882" spans="5:8" ht="15.75" customHeight="1" x14ac:dyDescent="0.3">
      <c r="E882" s="9"/>
      <c r="F882" s="9"/>
      <c r="H882" s="9"/>
    </row>
    <row r="883" spans="5:8" ht="15.75" customHeight="1" x14ac:dyDescent="0.3">
      <c r="E883" s="9"/>
      <c r="F883" s="9"/>
      <c r="H883" s="9"/>
    </row>
    <row r="884" spans="5:8" ht="15.75" customHeight="1" x14ac:dyDescent="0.3">
      <c r="E884" s="9"/>
      <c r="F884" s="9"/>
      <c r="H884" s="9"/>
    </row>
    <row r="885" spans="5:8" ht="15.75" customHeight="1" x14ac:dyDescent="0.3">
      <c r="E885" s="9"/>
      <c r="F885" s="9"/>
      <c r="H885" s="9"/>
    </row>
    <row r="886" spans="5:8" ht="15.75" customHeight="1" x14ac:dyDescent="0.3">
      <c r="E886" s="9"/>
      <c r="F886" s="9"/>
      <c r="H886" s="9"/>
    </row>
    <row r="887" spans="5:8" ht="15.75" customHeight="1" x14ac:dyDescent="0.3">
      <c r="E887" s="9"/>
      <c r="F887" s="9"/>
      <c r="H887" s="9"/>
    </row>
    <row r="888" spans="5:8" ht="15.75" customHeight="1" x14ac:dyDescent="0.3">
      <c r="E888" s="9"/>
      <c r="F888" s="9"/>
      <c r="H888" s="9"/>
    </row>
    <row r="889" spans="5:8" ht="15.75" customHeight="1" x14ac:dyDescent="0.3">
      <c r="E889" s="9"/>
      <c r="F889" s="9"/>
      <c r="H889" s="9"/>
    </row>
    <row r="890" spans="5:8" ht="15.75" customHeight="1" x14ac:dyDescent="0.3">
      <c r="E890" s="9"/>
      <c r="F890" s="9"/>
      <c r="H890" s="9"/>
    </row>
    <row r="891" spans="5:8" ht="15.75" customHeight="1" x14ac:dyDescent="0.3">
      <c r="E891" s="9"/>
      <c r="F891" s="9"/>
      <c r="H891" s="9"/>
    </row>
    <row r="892" spans="5:8" ht="15.75" customHeight="1" x14ac:dyDescent="0.3">
      <c r="E892" s="9"/>
      <c r="F892" s="9"/>
      <c r="H892" s="9"/>
    </row>
    <row r="893" spans="5:8" ht="15.75" customHeight="1" x14ac:dyDescent="0.3">
      <c r="E893" s="9"/>
      <c r="F893" s="9"/>
      <c r="H893" s="9"/>
    </row>
    <row r="894" spans="5:8" ht="15.75" customHeight="1" x14ac:dyDescent="0.3">
      <c r="E894" s="9"/>
      <c r="F894" s="9"/>
      <c r="H894" s="9"/>
    </row>
    <row r="895" spans="5:8" ht="15.75" customHeight="1" x14ac:dyDescent="0.3">
      <c r="E895" s="9"/>
      <c r="F895" s="9"/>
      <c r="H895" s="9"/>
    </row>
    <row r="896" spans="5:8" ht="15.75" customHeight="1" x14ac:dyDescent="0.3">
      <c r="E896" s="9"/>
      <c r="F896" s="9"/>
      <c r="H896" s="9"/>
    </row>
    <row r="897" spans="5:8" ht="15.75" customHeight="1" x14ac:dyDescent="0.3">
      <c r="E897" s="9"/>
      <c r="F897" s="9"/>
      <c r="H897" s="9"/>
    </row>
    <row r="898" spans="5:8" ht="15.75" customHeight="1" x14ac:dyDescent="0.3">
      <c r="E898" s="9"/>
      <c r="F898" s="9"/>
      <c r="H898" s="9"/>
    </row>
    <row r="899" spans="5:8" ht="15.75" customHeight="1" x14ac:dyDescent="0.3">
      <c r="E899" s="9"/>
      <c r="F899" s="9"/>
      <c r="H899" s="9"/>
    </row>
    <row r="900" spans="5:8" ht="15.75" customHeight="1" x14ac:dyDescent="0.3">
      <c r="E900" s="9"/>
      <c r="F900" s="9"/>
      <c r="H900" s="9"/>
    </row>
    <row r="901" spans="5:8" ht="15.75" customHeight="1" x14ac:dyDescent="0.3">
      <c r="E901" s="9"/>
      <c r="F901" s="9"/>
      <c r="H901" s="9"/>
    </row>
    <row r="902" spans="5:8" ht="15.75" customHeight="1" x14ac:dyDescent="0.3">
      <c r="E902" s="9"/>
      <c r="F902" s="9"/>
      <c r="H902" s="9"/>
    </row>
    <row r="903" spans="5:8" ht="15.75" customHeight="1" x14ac:dyDescent="0.3">
      <c r="E903" s="9"/>
      <c r="F903" s="9"/>
      <c r="H903" s="9"/>
    </row>
    <row r="904" spans="5:8" ht="15.75" customHeight="1" x14ac:dyDescent="0.3">
      <c r="E904" s="9"/>
      <c r="F904" s="9"/>
      <c r="H904" s="9"/>
    </row>
    <row r="905" spans="5:8" ht="15.75" customHeight="1" x14ac:dyDescent="0.3">
      <c r="E905" s="9"/>
      <c r="F905" s="9"/>
      <c r="H905" s="9"/>
    </row>
    <row r="906" spans="5:8" ht="15.75" customHeight="1" x14ac:dyDescent="0.3">
      <c r="E906" s="9"/>
      <c r="F906" s="9"/>
      <c r="H906" s="9"/>
    </row>
    <row r="907" spans="5:8" ht="15.75" customHeight="1" x14ac:dyDescent="0.3">
      <c r="E907" s="9"/>
      <c r="F907" s="9"/>
      <c r="H907" s="9"/>
    </row>
    <row r="908" spans="5:8" ht="15.75" customHeight="1" x14ac:dyDescent="0.3">
      <c r="E908" s="9"/>
      <c r="F908" s="9"/>
      <c r="H908" s="9"/>
    </row>
    <row r="909" spans="5:8" ht="15.75" customHeight="1" x14ac:dyDescent="0.3">
      <c r="E909" s="9"/>
      <c r="F909" s="9"/>
      <c r="H909" s="9"/>
    </row>
    <row r="910" spans="5:8" ht="15.75" customHeight="1" x14ac:dyDescent="0.3">
      <c r="E910" s="9"/>
      <c r="F910" s="9"/>
      <c r="H910" s="9"/>
    </row>
    <row r="911" spans="5:8" ht="15.75" customHeight="1" x14ac:dyDescent="0.3">
      <c r="E911" s="9"/>
      <c r="F911" s="9"/>
      <c r="H911" s="9"/>
    </row>
    <row r="912" spans="5:8" ht="15.75" customHeight="1" x14ac:dyDescent="0.3">
      <c r="E912" s="9"/>
      <c r="F912" s="9"/>
      <c r="H912" s="9"/>
    </row>
    <row r="913" spans="5:8" ht="15.75" customHeight="1" x14ac:dyDescent="0.3">
      <c r="E913" s="9"/>
      <c r="F913" s="9"/>
      <c r="H913" s="9"/>
    </row>
    <row r="914" spans="5:8" ht="15.75" customHeight="1" x14ac:dyDescent="0.3">
      <c r="E914" s="9"/>
      <c r="F914" s="9"/>
      <c r="H914" s="9"/>
    </row>
    <row r="915" spans="5:8" ht="15.75" customHeight="1" x14ac:dyDescent="0.3">
      <c r="E915" s="9"/>
      <c r="F915" s="9"/>
      <c r="H915" s="9"/>
    </row>
    <row r="916" spans="5:8" ht="15.75" customHeight="1" x14ac:dyDescent="0.3">
      <c r="E916" s="9"/>
      <c r="F916" s="9"/>
      <c r="H916" s="9"/>
    </row>
    <row r="917" spans="5:8" ht="15.75" customHeight="1" x14ac:dyDescent="0.3">
      <c r="E917" s="9"/>
      <c r="F917" s="9"/>
      <c r="H917" s="9"/>
    </row>
    <row r="918" spans="5:8" ht="15.75" customHeight="1" x14ac:dyDescent="0.3">
      <c r="E918" s="9"/>
      <c r="F918" s="9"/>
      <c r="H918" s="9"/>
    </row>
    <row r="919" spans="5:8" ht="15.75" customHeight="1" x14ac:dyDescent="0.3">
      <c r="E919" s="9"/>
      <c r="F919" s="9"/>
      <c r="H919" s="9"/>
    </row>
    <row r="920" spans="5:8" ht="15.75" customHeight="1" x14ac:dyDescent="0.3">
      <c r="E920" s="9"/>
      <c r="F920" s="9"/>
      <c r="H920" s="9"/>
    </row>
    <row r="921" spans="5:8" ht="15.75" customHeight="1" x14ac:dyDescent="0.3">
      <c r="E921" s="9"/>
      <c r="F921" s="9"/>
      <c r="H921" s="9"/>
    </row>
    <row r="922" spans="5:8" ht="15.75" customHeight="1" x14ac:dyDescent="0.3">
      <c r="E922" s="9"/>
      <c r="F922" s="9"/>
      <c r="H922" s="9"/>
    </row>
    <row r="923" spans="5:8" ht="15.75" customHeight="1" x14ac:dyDescent="0.3">
      <c r="E923" s="9"/>
      <c r="F923" s="9"/>
      <c r="H923" s="9"/>
    </row>
    <row r="924" spans="5:8" ht="15.75" customHeight="1" x14ac:dyDescent="0.3">
      <c r="E924" s="9"/>
      <c r="F924" s="9"/>
      <c r="H924" s="9"/>
    </row>
    <row r="925" spans="5:8" ht="15.75" customHeight="1" x14ac:dyDescent="0.3">
      <c r="E925" s="9"/>
      <c r="F925" s="9"/>
      <c r="H925" s="9"/>
    </row>
    <row r="926" spans="5:8" ht="15.75" customHeight="1" x14ac:dyDescent="0.3">
      <c r="E926" s="9"/>
      <c r="F926" s="9"/>
      <c r="H926" s="9"/>
    </row>
    <row r="927" spans="5:8" ht="15.75" customHeight="1" x14ac:dyDescent="0.3">
      <c r="E927" s="9"/>
      <c r="F927" s="9"/>
      <c r="H927" s="9"/>
    </row>
    <row r="928" spans="5:8" ht="15.75" customHeight="1" x14ac:dyDescent="0.3">
      <c r="E928" s="9"/>
      <c r="F928" s="9"/>
      <c r="H928" s="9"/>
    </row>
    <row r="929" spans="5:8" ht="15.75" customHeight="1" x14ac:dyDescent="0.3">
      <c r="E929" s="9"/>
      <c r="F929" s="9"/>
      <c r="H929" s="9"/>
    </row>
    <row r="930" spans="5:8" ht="15.75" customHeight="1" x14ac:dyDescent="0.3">
      <c r="E930" s="9"/>
      <c r="F930" s="9"/>
      <c r="H930" s="9"/>
    </row>
    <row r="931" spans="5:8" ht="15.75" customHeight="1" x14ac:dyDescent="0.3">
      <c r="E931" s="9"/>
      <c r="F931" s="9"/>
      <c r="H931" s="9"/>
    </row>
    <row r="932" spans="5:8" ht="15.75" customHeight="1" x14ac:dyDescent="0.3">
      <c r="E932" s="9"/>
      <c r="F932" s="9"/>
      <c r="H932" s="9"/>
    </row>
    <row r="933" spans="5:8" ht="15.75" customHeight="1" x14ac:dyDescent="0.3">
      <c r="E933" s="9"/>
      <c r="F933" s="9"/>
      <c r="H933" s="9"/>
    </row>
    <row r="934" spans="5:8" ht="15.75" customHeight="1" x14ac:dyDescent="0.3">
      <c r="E934" s="9"/>
      <c r="F934" s="9"/>
      <c r="H934" s="9"/>
    </row>
    <row r="935" spans="5:8" ht="15.75" customHeight="1" x14ac:dyDescent="0.3">
      <c r="E935" s="9"/>
      <c r="F935" s="9"/>
      <c r="H935" s="9"/>
    </row>
    <row r="936" spans="5:8" ht="15.75" customHeight="1" x14ac:dyDescent="0.3">
      <c r="E936" s="9"/>
      <c r="F936" s="9"/>
      <c r="H936" s="9"/>
    </row>
    <row r="937" spans="5:8" ht="15.75" customHeight="1" x14ac:dyDescent="0.3">
      <c r="E937" s="9"/>
      <c r="F937" s="9"/>
      <c r="H937" s="9"/>
    </row>
    <row r="938" spans="5:8" ht="15.75" customHeight="1" x14ac:dyDescent="0.3">
      <c r="E938" s="9"/>
      <c r="F938" s="9"/>
      <c r="H938" s="9"/>
    </row>
    <row r="939" spans="5:8" ht="15.75" customHeight="1" x14ac:dyDescent="0.3">
      <c r="E939" s="9"/>
      <c r="F939" s="9"/>
      <c r="H939" s="9"/>
    </row>
    <row r="940" spans="5:8" ht="15.75" customHeight="1" x14ac:dyDescent="0.3">
      <c r="E940" s="9"/>
      <c r="F940" s="9"/>
      <c r="H940" s="9"/>
    </row>
    <row r="941" spans="5:8" ht="15.75" customHeight="1" x14ac:dyDescent="0.3">
      <c r="E941" s="9"/>
      <c r="F941" s="9"/>
      <c r="H941" s="9"/>
    </row>
    <row r="942" spans="5:8" ht="15.75" customHeight="1" x14ac:dyDescent="0.3">
      <c r="E942" s="9"/>
      <c r="F942" s="9"/>
      <c r="H942" s="9"/>
    </row>
    <row r="943" spans="5:8" ht="15.75" customHeight="1" x14ac:dyDescent="0.3">
      <c r="E943" s="9"/>
      <c r="F943" s="9"/>
      <c r="H943" s="9"/>
    </row>
    <row r="944" spans="5:8" ht="15.75" customHeight="1" x14ac:dyDescent="0.3">
      <c r="E944" s="9"/>
      <c r="F944" s="9"/>
      <c r="H944" s="9"/>
    </row>
    <row r="945" spans="5:8" ht="15.75" customHeight="1" x14ac:dyDescent="0.3">
      <c r="E945" s="9"/>
      <c r="F945" s="9"/>
      <c r="H945" s="9"/>
    </row>
    <row r="946" spans="5:8" ht="15.75" customHeight="1" x14ac:dyDescent="0.3">
      <c r="E946" s="9"/>
      <c r="F946" s="9"/>
      <c r="H946" s="9"/>
    </row>
    <row r="947" spans="5:8" ht="15.75" customHeight="1" x14ac:dyDescent="0.3">
      <c r="E947" s="9"/>
      <c r="F947" s="9"/>
      <c r="H947" s="9"/>
    </row>
    <row r="948" spans="5:8" ht="15.75" customHeight="1" x14ac:dyDescent="0.3">
      <c r="E948" s="9"/>
      <c r="F948" s="9"/>
      <c r="H948" s="9"/>
    </row>
    <row r="949" spans="5:8" ht="15.75" customHeight="1" x14ac:dyDescent="0.3">
      <c r="E949" s="9"/>
      <c r="F949" s="9"/>
      <c r="H949" s="9"/>
    </row>
    <row r="950" spans="5:8" ht="15.75" customHeight="1" x14ac:dyDescent="0.3">
      <c r="E950" s="9"/>
      <c r="F950" s="9"/>
      <c r="H950" s="9"/>
    </row>
    <row r="951" spans="5:8" ht="15.75" customHeight="1" x14ac:dyDescent="0.3">
      <c r="E951" s="9"/>
      <c r="F951" s="9"/>
      <c r="H951" s="9"/>
    </row>
    <row r="952" spans="5:8" ht="15.75" customHeight="1" x14ac:dyDescent="0.3">
      <c r="E952" s="9"/>
      <c r="F952" s="9"/>
      <c r="H952" s="9"/>
    </row>
    <row r="953" spans="5:8" ht="15.75" customHeight="1" x14ac:dyDescent="0.3">
      <c r="E953" s="9"/>
      <c r="F953" s="9"/>
      <c r="H953" s="9"/>
    </row>
    <row r="954" spans="5:8" ht="15.75" customHeight="1" x14ac:dyDescent="0.3">
      <c r="E954" s="9"/>
      <c r="F954" s="9"/>
      <c r="H954" s="9"/>
    </row>
    <row r="955" spans="5:8" ht="15.75" customHeight="1" x14ac:dyDescent="0.3">
      <c r="E955" s="9"/>
      <c r="F955" s="9"/>
      <c r="H955" s="9"/>
    </row>
    <row r="956" spans="5:8" ht="15.75" customHeight="1" x14ac:dyDescent="0.3">
      <c r="E956" s="9"/>
      <c r="F956" s="9"/>
      <c r="H956" s="9"/>
    </row>
    <row r="957" spans="5:8" ht="15.75" customHeight="1" x14ac:dyDescent="0.3">
      <c r="E957" s="9"/>
      <c r="F957" s="9"/>
      <c r="H957" s="9"/>
    </row>
    <row r="958" spans="5:8" ht="15.75" customHeight="1" x14ac:dyDescent="0.3">
      <c r="E958" s="9"/>
      <c r="F958" s="9"/>
      <c r="H958" s="9"/>
    </row>
    <row r="959" spans="5:8" ht="15.75" customHeight="1" x14ac:dyDescent="0.3">
      <c r="E959" s="9"/>
      <c r="F959" s="9"/>
      <c r="H959" s="9"/>
    </row>
    <row r="960" spans="5:8" ht="15.75" customHeight="1" x14ac:dyDescent="0.3">
      <c r="E960" s="9"/>
      <c r="F960" s="9"/>
      <c r="H960" s="9"/>
    </row>
    <row r="961" spans="5:8" ht="15.75" customHeight="1" x14ac:dyDescent="0.3">
      <c r="E961" s="9"/>
      <c r="F961" s="9"/>
      <c r="H961" s="9"/>
    </row>
    <row r="962" spans="5:8" ht="15.75" customHeight="1" x14ac:dyDescent="0.3">
      <c r="E962" s="9"/>
      <c r="F962" s="9"/>
      <c r="H962" s="9"/>
    </row>
    <row r="963" spans="5:8" ht="15.75" customHeight="1" x14ac:dyDescent="0.3">
      <c r="E963" s="9"/>
      <c r="F963" s="9"/>
      <c r="H963" s="9"/>
    </row>
    <row r="964" spans="5:8" ht="15.75" customHeight="1" x14ac:dyDescent="0.3">
      <c r="E964" s="9"/>
      <c r="F964" s="9"/>
      <c r="H964" s="9"/>
    </row>
    <row r="965" spans="5:8" ht="15.75" customHeight="1" x14ac:dyDescent="0.3">
      <c r="E965" s="9"/>
      <c r="F965" s="9"/>
      <c r="H965" s="9"/>
    </row>
    <row r="966" spans="5:8" ht="15.75" customHeight="1" x14ac:dyDescent="0.3">
      <c r="E966" s="9"/>
      <c r="F966" s="9"/>
      <c r="H966" s="9"/>
    </row>
    <row r="967" spans="5:8" ht="15.75" customHeight="1" x14ac:dyDescent="0.3">
      <c r="E967" s="9"/>
      <c r="F967" s="9"/>
      <c r="H967" s="9"/>
    </row>
    <row r="968" spans="5:8" ht="15.75" customHeight="1" x14ac:dyDescent="0.3">
      <c r="E968" s="9"/>
      <c r="F968" s="9"/>
      <c r="H968" s="9"/>
    </row>
    <row r="969" spans="5:8" ht="15.75" customHeight="1" x14ac:dyDescent="0.3">
      <c r="E969" s="9"/>
      <c r="F969" s="9"/>
      <c r="H969" s="9"/>
    </row>
    <row r="970" spans="5:8" ht="15.75" customHeight="1" x14ac:dyDescent="0.3">
      <c r="E970" s="9"/>
      <c r="F970" s="9"/>
      <c r="H970" s="9"/>
    </row>
    <row r="971" spans="5:8" ht="15.75" customHeight="1" x14ac:dyDescent="0.3">
      <c r="E971" s="9"/>
      <c r="F971" s="9"/>
      <c r="H971" s="9"/>
    </row>
    <row r="972" spans="5:8" ht="15.75" customHeight="1" x14ac:dyDescent="0.3">
      <c r="E972" s="9"/>
      <c r="F972" s="9"/>
      <c r="H972" s="9"/>
    </row>
    <row r="973" spans="5:8" ht="15.75" customHeight="1" x14ac:dyDescent="0.3">
      <c r="E973" s="9"/>
      <c r="F973" s="9"/>
      <c r="H973" s="9"/>
    </row>
    <row r="974" spans="5:8" ht="15.75" customHeight="1" x14ac:dyDescent="0.3">
      <c r="E974" s="9"/>
      <c r="F974" s="9"/>
      <c r="H974" s="9"/>
    </row>
    <row r="975" spans="5:8" ht="15.75" customHeight="1" x14ac:dyDescent="0.3">
      <c r="E975" s="9"/>
      <c r="F975" s="9"/>
      <c r="H975" s="9"/>
    </row>
    <row r="976" spans="5:8" ht="15.75" customHeight="1" x14ac:dyDescent="0.3">
      <c r="E976" s="9"/>
      <c r="F976" s="9"/>
      <c r="H976" s="9"/>
    </row>
    <row r="977" spans="5:8" ht="15.75" customHeight="1" x14ac:dyDescent="0.3">
      <c r="E977" s="9"/>
      <c r="F977" s="9"/>
      <c r="H977" s="9"/>
    </row>
    <row r="978" spans="5:8" ht="15.75" customHeight="1" x14ac:dyDescent="0.3">
      <c r="E978" s="9"/>
      <c r="F978" s="9"/>
      <c r="H978" s="9"/>
    </row>
    <row r="979" spans="5:8" ht="15.75" customHeight="1" x14ac:dyDescent="0.3">
      <c r="E979" s="9"/>
      <c r="F979" s="9"/>
      <c r="H979" s="9"/>
    </row>
    <row r="980" spans="5:8" ht="15.75" customHeight="1" x14ac:dyDescent="0.3">
      <c r="E980" s="9"/>
      <c r="F980" s="9"/>
      <c r="H980" s="9"/>
    </row>
    <row r="981" spans="5:8" ht="15.75" customHeight="1" x14ac:dyDescent="0.3">
      <c r="E981" s="9"/>
      <c r="F981" s="9"/>
      <c r="H981" s="9"/>
    </row>
    <row r="982" spans="5:8" ht="15.75" customHeight="1" x14ac:dyDescent="0.3">
      <c r="E982" s="9"/>
      <c r="F982" s="9"/>
      <c r="H982" s="9"/>
    </row>
    <row r="983" spans="5:8" ht="15.75" customHeight="1" x14ac:dyDescent="0.3">
      <c r="E983" s="9"/>
      <c r="F983" s="9"/>
      <c r="H983" s="9"/>
    </row>
    <row r="984" spans="5:8" ht="15.75" customHeight="1" x14ac:dyDescent="0.3">
      <c r="E984" s="9"/>
      <c r="F984" s="9"/>
      <c r="H984" s="9"/>
    </row>
    <row r="985" spans="5:8" ht="15.75" customHeight="1" x14ac:dyDescent="0.3">
      <c r="E985" s="9"/>
      <c r="F985" s="9"/>
      <c r="H985" s="9"/>
    </row>
    <row r="986" spans="5:8" ht="15.75" customHeight="1" x14ac:dyDescent="0.3">
      <c r="E986" s="9"/>
      <c r="F986" s="9"/>
      <c r="H986" s="9"/>
    </row>
    <row r="987" spans="5:8" ht="15.75" customHeight="1" x14ac:dyDescent="0.3">
      <c r="E987" s="9"/>
      <c r="F987" s="9"/>
      <c r="H987" s="9"/>
    </row>
    <row r="988" spans="5:8" ht="15.75" customHeight="1" x14ac:dyDescent="0.3">
      <c r="E988" s="9"/>
      <c r="F988" s="9"/>
      <c r="H988" s="9"/>
    </row>
    <row r="989" spans="5:8" ht="15.75" customHeight="1" x14ac:dyDescent="0.3">
      <c r="E989" s="9"/>
      <c r="F989" s="9"/>
      <c r="H989" s="9"/>
    </row>
    <row r="990" spans="5:8" ht="15.75" customHeight="1" x14ac:dyDescent="0.3">
      <c r="E990" s="9"/>
      <c r="F990" s="9"/>
      <c r="H990" s="9"/>
    </row>
    <row r="991" spans="5:8" ht="15.75" customHeight="1" x14ac:dyDescent="0.3">
      <c r="E991" s="9"/>
      <c r="F991" s="9"/>
      <c r="H991" s="9"/>
    </row>
    <row r="992" spans="5:8" ht="15.75" customHeight="1" x14ac:dyDescent="0.3">
      <c r="E992" s="9"/>
      <c r="F992" s="9"/>
      <c r="H992" s="9"/>
    </row>
    <row r="993" spans="5:8" ht="15.75" customHeight="1" x14ac:dyDescent="0.3">
      <c r="E993" s="9"/>
      <c r="F993" s="9"/>
      <c r="H993" s="9"/>
    </row>
    <row r="994" spans="5:8" ht="15.75" customHeight="1" x14ac:dyDescent="0.3">
      <c r="E994" s="9"/>
      <c r="F994" s="9"/>
      <c r="H994" s="9"/>
    </row>
    <row r="995" spans="5:8" ht="15.75" customHeight="1" x14ac:dyDescent="0.3">
      <c r="E995" s="9"/>
      <c r="F995" s="9"/>
      <c r="H995" s="9"/>
    </row>
    <row r="996" spans="5:8" ht="15.75" customHeight="1" x14ac:dyDescent="0.3">
      <c r="E996" s="9"/>
      <c r="F996" s="9"/>
      <c r="H996" s="9"/>
    </row>
    <row r="997" spans="5:8" ht="15.75" customHeight="1" x14ac:dyDescent="0.3">
      <c r="E997" s="9"/>
      <c r="F997" s="9"/>
      <c r="H997" s="9"/>
    </row>
    <row r="998" spans="5:8" ht="15.75" customHeight="1" x14ac:dyDescent="0.3">
      <c r="E998" s="9"/>
      <c r="F998" s="9"/>
      <c r="H998" s="9"/>
    </row>
    <row r="999" spans="5:8" ht="15.75" customHeight="1" x14ac:dyDescent="0.3">
      <c r="E999" s="9"/>
      <c r="F999" s="9"/>
      <c r="H999" s="9"/>
    </row>
    <row r="1000" spans="5:8" ht="15.75" customHeight="1" x14ac:dyDescent="0.3">
      <c r="E1000" s="9"/>
      <c r="F1000" s="9"/>
      <c r="H1000" s="9"/>
    </row>
  </sheetData>
  <autoFilter ref="A1:L99" xr:uid="{00000000-0009-0000-0000-000006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0.6640625" customWidth="1"/>
    <col min="2" max="2" width="54.33203125" customWidth="1"/>
    <col min="3" max="3" width="10.44140625" customWidth="1"/>
    <col min="4" max="4" width="12" customWidth="1"/>
    <col min="5" max="6" width="13.109375" customWidth="1"/>
    <col min="7" max="7" width="13.44140625" customWidth="1"/>
    <col min="8" max="8" width="14.88671875" customWidth="1"/>
    <col min="9" max="9" width="19.109375" customWidth="1"/>
    <col min="10" max="10" width="47" customWidth="1"/>
    <col min="11" max="11" width="10.44140625" customWidth="1"/>
    <col min="12" max="26" width="8.88671875" customWidth="1"/>
  </cols>
  <sheetData>
    <row r="1" spans="1:26" ht="14.4" x14ac:dyDescent="0.3">
      <c r="A1" s="3" t="s">
        <v>1325</v>
      </c>
      <c r="B1" s="3" t="s">
        <v>1</v>
      </c>
      <c r="C1" s="3" t="s">
        <v>3</v>
      </c>
      <c r="D1" s="3" t="s">
        <v>1326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10">
        <v>43951</v>
      </c>
      <c r="B2" s="2" t="s">
        <v>1589</v>
      </c>
      <c r="C2" s="2" t="s">
        <v>1590</v>
      </c>
      <c r="D2" s="10">
        <v>43861</v>
      </c>
      <c r="E2" s="9">
        <v>65000</v>
      </c>
      <c r="F2" s="10">
        <v>43897</v>
      </c>
      <c r="G2" s="10">
        <v>44061</v>
      </c>
      <c r="H2" s="9">
        <v>65000</v>
      </c>
      <c r="I2" s="9">
        <f t="shared" ref="I2:I34" si="0">E2-H2</f>
        <v>0</v>
      </c>
      <c r="J2" s="2" t="s">
        <v>1591</v>
      </c>
      <c r="K2" s="2" t="s">
        <v>1331</v>
      </c>
    </row>
    <row r="3" spans="1:26" ht="14.4" x14ac:dyDescent="0.3">
      <c r="A3" s="10">
        <v>43981</v>
      </c>
      <c r="B3" s="2" t="s">
        <v>1592</v>
      </c>
      <c r="C3" s="2" t="s">
        <v>1593</v>
      </c>
      <c r="D3" s="10">
        <v>43890</v>
      </c>
      <c r="E3" s="9">
        <v>65000</v>
      </c>
      <c r="F3" s="10">
        <v>43897</v>
      </c>
      <c r="G3" s="10">
        <v>44061</v>
      </c>
      <c r="H3" s="9">
        <v>65000</v>
      </c>
      <c r="I3" s="9">
        <f t="shared" si="0"/>
        <v>0</v>
      </c>
      <c r="J3" s="2" t="s">
        <v>1591</v>
      </c>
      <c r="K3" s="2" t="s">
        <v>1331</v>
      </c>
    </row>
    <row r="4" spans="1:26" ht="14.4" x14ac:dyDescent="0.3">
      <c r="A4" s="10">
        <v>44012</v>
      </c>
      <c r="B4" s="2" t="s">
        <v>1594</v>
      </c>
      <c r="C4" s="43" t="s">
        <v>1595</v>
      </c>
      <c r="D4" s="10">
        <v>43921</v>
      </c>
      <c r="E4" s="9">
        <v>65000</v>
      </c>
      <c r="F4" s="10">
        <v>44047</v>
      </c>
      <c r="G4" s="10">
        <v>44061</v>
      </c>
      <c r="H4" s="9">
        <v>65000</v>
      </c>
      <c r="I4" s="9">
        <f t="shared" si="0"/>
        <v>0</v>
      </c>
      <c r="J4" s="2" t="s">
        <v>1591</v>
      </c>
      <c r="K4" s="2" t="s">
        <v>1331</v>
      </c>
    </row>
    <row r="5" spans="1:26" ht="14.4" x14ac:dyDescent="0.3">
      <c r="A5" s="10">
        <v>44042</v>
      </c>
      <c r="B5" s="2" t="s">
        <v>1596</v>
      </c>
      <c r="C5" s="2" t="s">
        <v>1597</v>
      </c>
      <c r="D5" s="10">
        <v>43951</v>
      </c>
      <c r="E5" s="9"/>
      <c r="F5" s="9"/>
      <c r="H5" s="9"/>
      <c r="I5" s="9">
        <f t="shared" si="0"/>
        <v>0</v>
      </c>
      <c r="J5" s="2" t="s">
        <v>1598</v>
      </c>
      <c r="K5" s="2" t="s">
        <v>1331</v>
      </c>
    </row>
    <row r="6" spans="1:26" ht="14.4" x14ac:dyDescent="0.3">
      <c r="A6" s="10">
        <v>44073</v>
      </c>
      <c r="B6" s="2" t="s">
        <v>1599</v>
      </c>
      <c r="C6" s="2" t="s">
        <v>1600</v>
      </c>
      <c r="D6" s="10">
        <v>43982</v>
      </c>
      <c r="E6" s="9">
        <v>65000</v>
      </c>
      <c r="F6" s="10">
        <v>44047</v>
      </c>
      <c r="G6" s="10">
        <v>44061</v>
      </c>
      <c r="H6" s="9">
        <v>65000</v>
      </c>
      <c r="I6" s="9">
        <f t="shared" si="0"/>
        <v>0</v>
      </c>
      <c r="J6" s="2" t="s">
        <v>1591</v>
      </c>
      <c r="K6" s="2" t="s">
        <v>1331</v>
      </c>
    </row>
    <row r="7" spans="1:26" ht="14.4" x14ac:dyDescent="0.3">
      <c r="A7" s="10">
        <v>44073</v>
      </c>
      <c r="B7" s="2" t="s">
        <v>1601</v>
      </c>
      <c r="C7" s="2" t="s">
        <v>1602</v>
      </c>
      <c r="D7" s="10">
        <v>44040</v>
      </c>
      <c r="E7" s="9">
        <v>600000</v>
      </c>
      <c r="F7" s="10">
        <v>44040</v>
      </c>
      <c r="G7" s="10">
        <v>44040</v>
      </c>
      <c r="H7" s="9">
        <v>600000</v>
      </c>
      <c r="I7" s="9">
        <f t="shared" si="0"/>
        <v>0</v>
      </c>
      <c r="J7" s="2" t="s">
        <v>1603</v>
      </c>
      <c r="K7" s="2" t="s">
        <v>1331</v>
      </c>
    </row>
    <row r="8" spans="1:26" ht="14.4" x14ac:dyDescent="0.3">
      <c r="A8" s="10">
        <v>44104</v>
      </c>
      <c r="B8" s="2" t="s">
        <v>1604</v>
      </c>
      <c r="C8" s="2" t="s">
        <v>1605</v>
      </c>
      <c r="D8" s="10">
        <v>44012</v>
      </c>
      <c r="E8" s="9">
        <v>65000</v>
      </c>
      <c r="F8" s="10">
        <v>44047</v>
      </c>
      <c r="G8" s="10">
        <v>44061</v>
      </c>
      <c r="H8" s="9">
        <v>65000</v>
      </c>
      <c r="I8" s="9">
        <f t="shared" si="0"/>
        <v>0</v>
      </c>
      <c r="J8" s="2" t="s">
        <v>1591</v>
      </c>
      <c r="K8" s="2" t="s">
        <v>1331</v>
      </c>
    </row>
    <row r="9" spans="1:26" ht="14.4" x14ac:dyDescent="0.3">
      <c r="A9" s="10">
        <v>44134</v>
      </c>
      <c r="B9" s="2" t="s">
        <v>1606</v>
      </c>
      <c r="C9" s="2" t="s">
        <v>1607</v>
      </c>
      <c r="D9" s="10">
        <v>44043</v>
      </c>
      <c r="E9" s="9">
        <v>65000</v>
      </c>
      <c r="F9" s="10">
        <v>44047</v>
      </c>
      <c r="G9" s="10">
        <v>44061</v>
      </c>
      <c r="H9" s="9">
        <v>65000</v>
      </c>
      <c r="I9" s="9">
        <f t="shared" si="0"/>
        <v>0</v>
      </c>
      <c r="J9" s="2" t="s">
        <v>1591</v>
      </c>
      <c r="K9" s="2" t="s">
        <v>1331</v>
      </c>
    </row>
    <row r="10" spans="1:26" ht="14.4" x14ac:dyDescent="0.3">
      <c r="A10" s="10">
        <v>44050</v>
      </c>
      <c r="B10" s="2" t="s">
        <v>1608</v>
      </c>
      <c r="C10" s="2" t="s">
        <v>1609</v>
      </c>
      <c r="D10" s="10">
        <v>44044</v>
      </c>
      <c r="E10" s="9">
        <v>28000</v>
      </c>
      <c r="F10" s="10">
        <v>44069</v>
      </c>
      <c r="G10" s="10">
        <v>44078</v>
      </c>
      <c r="H10" s="9">
        <v>28000</v>
      </c>
      <c r="I10" s="9">
        <f t="shared" si="0"/>
        <v>0</v>
      </c>
      <c r="J10" s="2" t="s">
        <v>1610</v>
      </c>
      <c r="K10" s="2" t="s">
        <v>27</v>
      </c>
    </row>
    <row r="11" spans="1:26" ht="14.4" x14ac:dyDescent="0.3">
      <c r="A11" s="10">
        <v>44081</v>
      </c>
      <c r="B11" s="2" t="s">
        <v>1611</v>
      </c>
      <c r="C11" s="43" t="s">
        <v>1612</v>
      </c>
      <c r="D11" s="10">
        <v>44069</v>
      </c>
      <c r="E11" s="9">
        <v>28000</v>
      </c>
      <c r="F11" s="10">
        <v>44069</v>
      </c>
      <c r="G11" s="10">
        <v>44082</v>
      </c>
      <c r="H11" s="9">
        <v>28000</v>
      </c>
      <c r="I11" s="9">
        <f t="shared" si="0"/>
        <v>0</v>
      </c>
      <c r="J11" s="2" t="s">
        <v>1613</v>
      </c>
      <c r="K11" s="2" t="s">
        <v>27</v>
      </c>
    </row>
    <row r="12" spans="1:26" ht="14.4" x14ac:dyDescent="0.3">
      <c r="A12" s="10">
        <v>44081</v>
      </c>
      <c r="B12" s="2" t="s">
        <v>1614</v>
      </c>
      <c r="C12" s="43" t="s">
        <v>1615</v>
      </c>
      <c r="D12" s="10">
        <v>44070</v>
      </c>
      <c r="E12" s="9">
        <v>150000</v>
      </c>
      <c r="F12" s="10">
        <v>44074</v>
      </c>
      <c r="G12" s="10">
        <v>44078</v>
      </c>
      <c r="H12" s="9">
        <v>150000</v>
      </c>
      <c r="I12" s="9">
        <f t="shared" si="0"/>
        <v>0</v>
      </c>
      <c r="J12" s="2" t="s">
        <v>1616</v>
      </c>
      <c r="K12" s="2" t="s">
        <v>27</v>
      </c>
    </row>
    <row r="13" spans="1:26" ht="14.4" x14ac:dyDescent="0.3">
      <c r="A13" s="10">
        <v>44165</v>
      </c>
      <c r="B13" s="2" t="s">
        <v>1617</v>
      </c>
      <c r="C13" s="43" t="s">
        <v>1618</v>
      </c>
      <c r="D13" s="10">
        <v>44074</v>
      </c>
      <c r="E13" s="9">
        <v>65000</v>
      </c>
      <c r="F13" s="10">
        <v>44075</v>
      </c>
      <c r="G13" s="10">
        <v>44294</v>
      </c>
      <c r="H13" s="9">
        <v>65000</v>
      </c>
      <c r="I13" s="9">
        <f t="shared" si="0"/>
        <v>0</v>
      </c>
      <c r="J13" s="2" t="s">
        <v>1330</v>
      </c>
      <c r="K13" s="2" t="s">
        <v>1331</v>
      </c>
    </row>
    <row r="14" spans="1:26" ht="14.4" x14ac:dyDescent="0.3">
      <c r="A14" s="10">
        <v>44111</v>
      </c>
      <c r="B14" s="2" t="s">
        <v>1619</v>
      </c>
      <c r="C14" s="2" t="s">
        <v>1620</v>
      </c>
      <c r="D14" s="10">
        <v>44097</v>
      </c>
      <c r="E14" s="9">
        <v>150000</v>
      </c>
      <c r="F14" s="10">
        <v>44097</v>
      </c>
      <c r="G14" s="10">
        <v>44119</v>
      </c>
      <c r="H14" s="9">
        <v>150000</v>
      </c>
      <c r="I14" s="9">
        <f t="shared" si="0"/>
        <v>0</v>
      </c>
      <c r="J14" s="2" t="s">
        <v>1621</v>
      </c>
      <c r="K14" s="2" t="s">
        <v>27</v>
      </c>
    </row>
    <row r="15" spans="1:26" ht="14.4" x14ac:dyDescent="0.3">
      <c r="A15" s="10">
        <v>44111</v>
      </c>
      <c r="B15" s="2" t="s">
        <v>1622</v>
      </c>
      <c r="C15" s="2" t="s">
        <v>1623</v>
      </c>
      <c r="D15" s="10">
        <v>44097</v>
      </c>
      <c r="E15" s="9">
        <v>28000</v>
      </c>
      <c r="F15" s="10">
        <v>44097</v>
      </c>
      <c r="G15" s="10">
        <v>44113</v>
      </c>
      <c r="H15" s="9">
        <v>28000</v>
      </c>
      <c r="I15" s="9">
        <f t="shared" si="0"/>
        <v>0</v>
      </c>
      <c r="J15" s="2" t="s">
        <v>1624</v>
      </c>
      <c r="K15" s="2" t="s">
        <v>27</v>
      </c>
    </row>
    <row r="16" spans="1:26" ht="14.4" x14ac:dyDescent="0.3">
      <c r="A16" s="10">
        <v>44111</v>
      </c>
      <c r="B16" s="2" t="s">
        <v>1625</v>
      </c>
      <c r="C16" s="43" t="s">
        <v>1626</v>
      </c>
      <c r="D16" s="10">
        <v>44104</v>
      </c>
      <c r="E16" s="9">
        <v>7500</v>
      </c>
      <c r="F16" s="10">
        <v>44105</v>
      </c>
      <c r="G16" s="10">
        <v>44167</v>
      </c>
      <c r="H16" s="9">
        <v>7500</v>
      </c>
      <c r="I16" s="9">
        <f t="shared" si="0"/>
        <v>0</v>
      </c>
      <c r="J16" s="2" t="s">
        <v>1627</v>
      </c>
      <c r="K16" s="2" t="s">
        <v>27</v>
      </c>
    </row>
    <row r="17" spans="1:11" ht="14.4" x14ac:dyDescent="0.3">
      <c r="A17" s="10">
        <v>44111</v>
      </c>
      <c r="B17" s="2" t="s">
        <v>1628</v>
      </c>
      <c r="C17" s="2" t="s">
        <v>1629</v>
      </c>
      <c r="D17" s="10">
        <v>44105</v>
      </c>
      <c r="E17" s="9">
        <v>56000</v>
      </c>
      <c r="F17" s="10">
        <v>44111</v>
      </c>
      <c r="G17" s="10">
        <v>44130</v>
      </c>
      <c r="H17" s="9">
        <v>55975</v>
      </c>
      <c r="I17" s="9">
        <f t="shared" si="0"/>
        <v>25</v>
      </c>
      <c r="J17" s="2" t="s">
        <v>1630</v>
      </c>
      <c r="K17" s="2" t="s">
        <v>27</v>
      </c>
    </row>
    <row r="18" spans="1:11" ht="14.4" x14ac:dyDescent="0.3">
      <c r="A18" s="10">
        <v>44142</v>
      </c>
      <c r="B18" s="2" t="s">
        <v>1631</v>
      </c>
      <c r="C18" s="2" t="s">
        <v>1632</v>
      </c>
      <c r="D18" s="10">
        <v>44135</v>
      </c>
      <c r="E18" s="9">
        <v>28000</v>
      </c>
      <c r="F18" s="10">
        <v>44137</v>
      </c>
      <c r="G18" s="10">
        <v>44148</v>
      </c>
      <c r="H18" s="9">
        <v>28000</v>
      </c>
      <c r="I18" s="9">
        <f t="shared" si="0"/>
        <v>0</v>
      </c>
      <c r="K18" s="2" t="s">
        <v>27</v>
      </c>
    </row>
    <row r="19" spans="1:11" ht="14.4" x14ac:dyDescent="0.3">
      <c r="A19" s="44">
        <v>44142</v>
      </c>
      <c r="B19" s="18" t="s">
        <v>1633</v>
      </c>
      <c r="C19" s="18" t="s">
        <v>1634</v>
      </c>
      <c r="D19" s="44">
        <v>44135</v>
      </c>
      <c r="E19" s="23">
        <v>0</v>
      </c>
      <c r="F19" s="44">
        <v>44137</v>
      </c>
      <c r="H19" s="9"/>
      <c r="I19" s="9">
        <f t="shared" si="0"/>
        <v>0</v>
      </c>
      <c r="K19" s="2" t="s">
        <v>27</v>
      </c>
    </row>
    <row r="20" spans="1:11" ht="14.4" x14ac:dyDescent="0.3">
      <c r="A20" s="44">
        <v>44142</v>
      </c>
      <c r="B20" s="18" t="s">
        <v>1635</v>
      </c>
      <c r="C20" s="18" t="s">
        <v>1636</v>
      </c>
      <c r="D20" s="44">
        <v>44135</v>
      </c>
      <c r="E20" s="23">
        <v>0</v>
      </c>
      <c r="F20" s="44">
        <v>44137</v>
      </c>
      <c r="H20" s="9"/>
      <c r="I20" s="9">
        <f t="shared" si="0"/>
        <v>0</v>
      </c>
      <c r="K20" s="2" t="s">
        <v>27</v>
      </c>
    </row>
    <row r="21" spans="1:11" ht="15.75" customHeight="1" x14ac:dyDescent="0.3">
      <c r="A21" s="10">
        <v>44142</v>
      </c>
      <c r="B21" s="2" t="s">
        <v>1637</v>
      </c>
      <c r="C21" s="43" t="s">
        <v>1638</v>
      </c>
      <c r="D21" s="10">
        <v>44135</v>
      </c>
      <c r="E21" s="9">
        <v>56000</v>
      </c>
      <c r="F21" s="10">
        <v>44137</v>
      </c>
      <c r="G21" s="10">
        <v>44197</v>
      </c>
      <c r="H21" s="9">
        <v>56000</v>
      </c>
      <c r="I21" s="9">
        <f t="shared" si="0"/>
        <v>0</v>
      </c>
      <c r="J21" s="2" t="s">
        <v>1639</v>
      </c>
      <c r="K21" s="2" t="s">
        <v>27</v>
      </c>
    </row>
    <row r="22" spans="1:11" ht="15.75" customHeight="1" x14ac:dyDescent="0.3">
      <c r="A22" s="10">
        <v>44142</v>
      </c>
      <c r="B22" s="2" t="s">
        <v>1640</v>
      </c>
      <c r="C22" s="43" t="s">
        <v>1641</v>
      </c>
      <c r="D22" s="10">
        <v>44135</v>
      </c>
      <c r="E22" s="9">
        <v>7600</v>
      </c>
      <c r="F22" s="10">
        <v>44137</v>
      </c>
      <c r="H22" s="9"/>
      <c r="I22" s="9">
        <f t="shared" si="0"/>
        <v>7600</v>
      </c>
      <c r="K22" s="2" t="s">
        <v>27</v>
      </c>
    </row>
    <row r="23" spans="1:11" ht="15.75" customHeight="1" x14ac:dyDescent="0.3">
      <c r="A23" s="10">
        <v>44196</v>
      </c>
      <c r="B23" s="2" t="s">
        <v>1642</v>
      </c>
      <c r="C23" s="43" t="s">
        <v>1643</v>
      </c>
      <c r="D23" s="10">
        <v>44135</v>
      </c>
      <c r="E23" s="9">
        <v>65000</v>
      </c>
      <c r="F23" s="10">
        <v>44137</v>
      </c>
      <c r="G23" s="10">
        <v>44294</v>
      </c>
      <c r="H23" s="9">
        <v>65000</v>
      </c>
      <c r="I23" s="9">
        <f t="shared" si="0"/>
        <v>0</v>
      </c>
      <c r="J23" s="2" t="s">
        <v>1330</v>
      </c>
      <c r="K23" s="2" t="s">
        <v>1331</v>
      </c>
    </row>
    <row r="24" spans="1:11" ht="15.75" customHeight="1" x14ac:dyDescent="0.3">
      <c r="A24" s="10">
        <v>44227</v>
      </c>
      <c r="B24" s="2" t="s">
        <v>1644</v>
      </c>
      <c r="C24" s="43" t="s">
        <v>1645</v>
      </c>
      <c r="D24" s="10">
        <v>44135</v>
      </c>
      <c r="E24" s="9">
        <v>65000</v>
      </c>
      <c r="F24" s="10">
        <v>44137</v>
      </c>
      <c r="G24" s="10">
        <v>44294</v>
      </c>
      <c r="H24" s="9">
        <v>65000</v>
      </c>
      <c r="I24" s="9">
        <f t="shared" si="0"/>
        <v>0</v>
      </c>
      <c r="J24" s="2" t="s">
        <v>1330</v>
      </c>
      <c r="K24" s="2" t="s">
        <v>1331</v>
      </c>
    </row>
    <row r="25" spans="1:11" ht="15.75" customHeight="1" x14ac:dyDescent="0.3">
      <c r="A25" s="10">
        <v>44142</v>
      </c>
      <c r="B25" s="2" t="s">
        <v>1633</v>
      </c>
      <c r="C25" s="2" t="s">
        <v>1646</v>
      </c>
      <c r="D25" s="10">
        <v>44145</v>
      </c>
      <c r="E25" s="9">
        <f>157500-20000</f>
        <v>137500</v>
      </c>
      <c r="F25" s="10">
        <v>44145</v>
      </c>
      <c r="G25" s="10">
        <v>44167</v>
      </c>
      <c r="H25" s="9">
        <f>157500-20000</f>
        <v>137500</v>
      </c>
      <c r="I25" s="9">
        <f t="shared" si="0"/>
        <v>0</v>
      </c>
      <c r="J25" s="2" t="s">
        <v>1627</v>
      </c>
      <c r="K25" s="2" t="s">
        <v>27</v>
      </c>
    </row>
    <row r="26" spans="1:11" ht="15.75" customHeight="1" x14ac:dyDescent="0.3">
      <c r="A26" s="10">
        <v>44165</v>
      </c>
      <c r="B26" s="2" t="s">
        <v>1647</v>
      </c>
      <c r="C26" s="43" t="s">
        <v>1648</v>
      </c>
      <c r="D26" s="10">
        <v>44165</v>
      </c>
      <c r="E26" s="9">
        <v>166700</v>
      </c>
      <c r="F26" s="9"/>
      <c r="G26" s="10">
        <v>44165</v>
      </c>
      <c r="H26" s="9">
        <v>166700</v>
      </c>
      <c r="I26" s="9">
        <f t="shared" si="0"/>
        <v>0</v>
      </c>
      <c r="J26" s="2" t="s">
        <v>1649</v>
      </c>
      <c r="K26" s="2" t="s">
        <v>1331</v>
      </c>
    </row>
    <row r="27" spans="1:11" ht="15.75" customHeight="1" x14ac:dyDescent="0.3">
      <c r="A27" s="10">
        <v>44172</v>
      </c>
      <c r="B27" s="2" t="s">
        <v>1650</v>
      </c>
      <c r="C27" s="43" t="s">
        <v>1651</v>
      </c>
      <c r="D27" s="10">
        <v>44166</v>
      </c>
      <c r="E27" s="9">
        <v>28000</v>
      </c>
      <c r="F27" s="10">
        <v>44166</v>
      </c>
      <c r="G27" s="10">
        <v>44176</v>
      </c>
      <c r="H27" s="9">
        <v>28000</v>
      </c>
      <c r="I27" s="9">
        <f t="shared" si="0"/>
        <v>0</v>
      </c>
      <c r="J27" s="2" t="s">
        <v>1652</v>
      </c>
      <c r="K27" s="2" t="s">
        <v>27</v>
      </c>
    </row>
    <row r="28" spans="1:11" ht="15.75" customHeight="1" x14ac:dyDescent="0.3">
      <c r="A28" s="10">
        <v>44172</v>
      </c>
      <c r="B28" s="2" t="s">
        <v>1653</v>
      </c>
      <c r="C28" s="43" t="s">
        <v>1654</v>
      </c>
      <c r="D28" s="10">
        <v>44166</v>
      </c>
      <c r="E28" s="9">
        <v>157500</v>
      </c>
      <c r="F28" s="10">
        <v>44166</v>
      </c>
      <c r="G28" s="10">
        <v>44186</v>
      </c>
      <c r="H28" s="9">
        <v>157500</v>
      </c>
      <c r="I28" s="9">
        <f t="shared" si="0"/>
        <v>0</v>
      </c>
      <c r="J28" s="2" t="s">
        <v>1655</v>
      </c>
      <c r="K28" s="2" t="s">
        <v>27</v>
      </c>
    </row>
    <row r="29" spans="1:11" ht="15.75" customHeight="1" x14ac:dyDescent="0.3">
      <c r="A29" s="10">
        <v>44172</v>
      </c>
      <c r="B29" s="2" t="s">
        <v>1656</v>
      </c>
      <c r="C29" s="43" t="s">
        <v>1657</v>
      </c>
      <c r="D29" s="10">
        <v>44166</v>
      </c>
      <c r="E29" s="9">
        <v>56000</v>
      </c>
      <c r="F29" s="10">
        <v>44166</v>
      </c>
      <c r="G29" s="10">
        <v>44197</v>
      </c>
      <c r="H29" s="9">
        <f>111975-56000</f>
        <v>55975</v>
      </c>
      <c r="I29" s="9">
        <f t="shared" si="0"/>
        <v>25</v>
      </c>
      <c r="J29" s="2" t="s">
        <v>1639</v>
      </c>
      <c r="K29" s="2" t="s">
        <v>27</v>
      </c>
    </row>
    <row r="30" spans="1:11" ht="15.75" customHeight="1" x14ac:dyDescent="0.3">
      <c r="A30" s="10">
        <v>44172</v>
      </c>
      <c r="B30" s="2" t="s">
        <v>1658</v>
      </c>
      <c r="C30" s="43" t="s">
        <v>1659</v>
      </c>
      <c r="D30" s="10">
        <v>44166</v>
      </c>
      <c r="E30" s="9">
        <v>65000</v>
      </c>
      <c r="F30" s="10">
        <v>44166</v>
      </c>
      <c r="G30" s="10">
        <v>44294</v>
      </c>
      <c r="H30" s="9">
        <v>65000</v>
      </c>
      <c r="I30" s="9">
        <f t="shared" si="0"/>
        <v>0</v>
      </c>
      <c r="J30" s="2" t="s">
        <v>1330</v>
      </c>
      <c r="K30" s="2" t="s">
        <v>1331</v>
      </c>
    </row>
    <row r="31" spans="1:11" ht="15.75" customHeight="1" x14ac:dyDescent="0.3">
      <c r="A31" s="10">
        <v>44182</v>
      </c>
      <c r="B31" s="2" t="s">
        <v>1660</v>
      </c>
      <c r="C31" s="43" t="s">
        <v>1661</v>
      </c>
      <c r="D31" s="10">
        <v>44182</v>
      </c>
      <c r="E31" s="9">
        <v>15000</v>
      </c>
      <c r="F31" s="10">
        <v>44182</v>
      </c>
      <c r="G31" s="10">
        <v>44230</v>
      </c>
      <c r="H31" s="9">
        <v>15000</v>
      </c>
      <c r="I31" s="9">
        <f t="shared" si="0"/>
        <v>0</v>
      </c>
      <c r="J31" s="2" t="s">
        <v>1662</v>
      </c>
      <c r="K31" s="2" t="s">
        <v>27</v>
      </c>
    </row>
    <row r="32" spans="1:11" ht="15.75" customHeight="1" x14ac:dyDescent="0.3">
      <c r="A32" s="10">
        <v>44177</v>
      </c>
      <c r="B32" s="2" t="s">
        <v>1663</v>
      </c>
      <c r="C32" s="43" t="s">
        <v>1664</v>
      </c>
      <c r="D32" s="10">
        <v>44177</v>
      </c>
      <c r="E32" s="9">
        <v>5000</v>
      </c>
      <c r="F32" s="10">
        <v>44177</v>
      </c>
      <c r="H32" s="9">
        <v>5000</v>
      </c>
      <c r="I32" s="9">
        <f t="shared" si="0"/>
        <v>0</v>
      </c>
      <c r="J32" s="2" t="s">
        <v>1649</v>
      </c>
      <c r="K32" s="2" t="s">
        <v>1331</v>
      </c>
    </row>
    <row r="33" spans="1:11" ht="15.75" customHeight="1" x14ac:dyDescent="0.3">
      <c r="A33" s="10">
        <v>44196</v>
      </c>
      <c r="B33" s="53" t="s">
        <v>1665</v>
      </c>
      <c r="C33" s="43" t="s">
        <v>1666</v>
      </c>
      <c r="D33" s="10">
        <v>44196</v>
      </c>
      <c r="E33" s="9">
        <v>45000</v>
      </c>
      <c r="F33" s="10"/>
      <c r="G33" s="10">
        <v>44196</v>
      </c>
      <c r="H33" s="9">
        <v>45000</v>
      </c>
      <c r="I33" s="9">
        <f t="shared" si="0"/>
        <v>0</v>
      </c>
      <c r="J33" s="2" t="s">
        <v>1667</v>
      </c>
      <c r="K33" s="2" t="s">
        <v>1331</v>
      </c>
    </row>
    <row r="34" spans="1:11" ht="15.75" customHeight="1" x14ac:dyDescent="0.3">
      <c r="A34" s="10">
        <v>44196</v>
      </c>
      <c r="B34" s="2" t="s">
        <v>1668</v>
      </c>
      <c r="C34" s="43" t="s">
        <v>1669</v>
      </c>
      <c r="D34" s="10">
        <v>44196</v>
      </c>
      <c r="E34" s="9">
        <v>65000</v>
      </c>
      <c r="F34" s="10">
        <v>44196</v>
      </c>
      <c r="G34" s="10">
        <v>44294</v>
      </c>
      <c r="H34" s="9">
        <v>65000</v>
      </c>
      <c r="I34" s="9">
        <f t="shared" si="0"/>
        <v>0</v>
      </c>
      <c r="J34" s="2" t="s">
        <v>1330</v>
      </c>
      <c r="K34" s="2" t="s">
        <v>1331</v>
      </c>
    </row>
    <row r="35" spans="1:11" ht="15.75" customHeight="1" x14ac:dyDescent="0.3">
      <c r="E35" s="9"/>
      <c r="F35" s="9"/>
      <c r="H35" s="9"/>
    </row>
    <row r="36" spans="1:11" ht="15.75" customHeight="1" x14ac:dyDescent="0.3">
      <c r="E36" s="9"/>
      <c r="F36" s="9"/>
      <c r="H36" s="9"/>
    </row>
    <row r="37" spans="1:11" ht="15.75" customHeight="1" x14ac:dyDescent="0.3">
      <c r="E37" s="9"/>
      <c r="F37" s="9"/>
      <c r="H37" s="9"/>
    </row>
    <row r="38" spans="1:11" ht="15.75" customHeight="1" x14ac:dyDescent="0.3">
      <c r="E38" s="9"/>
      <c r="F38" s="9"/>
      <c r="H38" s="9"/>
    </row>
    <row r="39" spans="1:11" ht="15.75" customHeight="1" x14ac:dyDescent="0.3">
      <c r="E39" s="9"/>
      <c r="F39" s="9"/>
      <c r="H39" s="9"/>
    </row>
    <row r="40" spans="1:11" ht="15.75" customHeight="1" x14ac:dyDescent="0.3">
      <c r="E40" s="29">
        <f>SUM(E2:E39)</f>
        <v>2464800</v>
      </c>
      <c r="F40" s="9"/>
      <c r="G40" s="9"/>
      <c r="H40" s="29">
        <f t="shared" ref="H40:I40" si="1">SUM(H2:H39)</f>
        <v>2457150</v>
      </c>
      <c r="I40" s="29">
        <f t="shared" si="1"/>
        <v>7650</v>
      </c>
    </row>
    <row r="41" spans="1:11" ht="15.75" customHeight="1" x14ac:dyDescent="0.3">
      <c r="E41" s="9"/>
      <c r="F41" s="9"/>
      <c r="H41" s="9"/>
    </row>
    <row r="42" spans="1:11" ht="15.75" customHeight="1" x14ac:dyDescent="0.3">
      <c r="D42" s="2" t="s">
        <v>1331</v>
      </c>
      <c r="E42" s="9">
        <f>SUMIF(K2:K38,D42,E2:E39)</f>
        <v>1531700</v>
      </c>
      <c r="F42" s="9"/>
      <c r="G42" s="9"/>
      <c r="H42" s="9">
        <f t="shared" ref="H42:I42" si="2">SUMIF($K2:$K39,$D$42,H2:H39)</f>
        <v>1531700</v>
      </c>
      <c r="I42" s="9">
        <f t="shared" si="2"/>
        <v>0</v>
      </c>
    </row>
    <row r="43" spans="1:11" ht="15.75" customHeight="1" x14ac:dyDescent="0.3">
      <c r="D43" s="2" t="s">
        <v>27</v>
      </c>
      <c r="E43" s="9">
        <f>SUMIF(K2:K38,D43,E2:E39)</f>
        <v>933100</v>
      </c>
      <c r="F43" s="9"/>
      <c r="G43" s="9"/>
      <c r="H43" s="9">
        <f t="shared" ref="H43:I43" si="3">SUMIF($K2:$K39,$D$43,H2:H39)</f>
        <v>925450</v>
      </c>
      <c r="I43" s="9">
        <f t="shared" si="3"/>
        <v>7650</v>
      </c>
    </row>
    <row r="44" spans="1:11" ht="15.75" customHeight="1" x14ac:dyDescent="0.3">
      <c r="E44" s="29">
        <f>SUM(E42:E43)</f>
        <v>2464800</v>
      </c>
      <c r="F44" s="9"/>
      <c r="G44" s="9"/>
      <c r="H44" s="29">
        <f t="shared" ref="H44:I44" si="4">SUM(H42:H43)</f>
        <v>2457150</v>
      </c>
      <c r="I44" s="29">
        <f t="shared" si="4"/>
        <v>7650</v>
      </c>
    </row>
    <row r="45" spans="1:11" ht="15.75" customHeight="1" x14ac:dyDescent="0.3">
      <c r="E45" s="9">
        <f>E40-E44</f>
        <v>0</v>
      </c>
      <c r="F45" s="9"/>
      <c r="G45" s="9"/>
      <c r="H45" s="9">
        <f t="shared" ref="H45:I45" si="5">H40-H44</f>
        <v>0</v>
      </c>
      <c r="I45" s="9">
        <f t="shared" si="5"/>
        <v>0</v>
      </c>
    </row>
    <row r="46" spans="1:11" ht="15.75" customHeight="1" x14ac:dyDescent="0.3">
      <c r="E46" s="9"/>
      <c r="F46" s="9"/>
      <c r="G46" s="9"/>
      <c r="H46" s="9"/>
    </row>
    <row r="47" spans="1:11" ht="15.75" customHeight="1" x14ac:dyDescent="0.3">
      <c r="E47" s="9"/>
      <c r="F47" s="9"/>
      <c r="H47" s="9"/>
    </row>
    <row r="48" spans="1:11" ht="15.75" customHeight="1" x14ac:dyDescent="0.3">
      <c r="E48" s="9"/>
      <c r="F48" s="9"/>
      <c r="H48" s="9"/>
    </row>
    <row r="49" spans="5:8" ht="15.75" customHeight="1" x14ac:dyDescent="0.3">
      <c r="E49" s="9"/>
      <c r="F49" s="9"/>
      <c r="H49" s="9"/>
    </row>
    <row r="50" spans="5:8" ht="15.75" customHeight="1" x14ac:dyDescent="0.3">
      <c r="E50" s="9"/>
      <c r="F50" s="9"/>
      <c r="H50" s="9"/>
    </row>
    <row r="51" spans="5:8" ht="15.75" customHeight="1" x14ac:dyDescent="0.3">
      <c r="E51" s="9"/>
      <c r="F51" s="9"/>
      <c r="H51" s="9"/>
    </row>
    <row r="52" spans="5:8" ht="15.75" customHeight="1" x14ac:dyDescent="0.3">
      <c r="E52" s="9"/>
      <c r="F52" s="9"/>
      <c r="H52" s="9"/>
    </row>
    <row r="53" spans="5:8" ht="15.75" customHeight="1" x14ac:dyDescent="0.3">
      <c r="E53" s="9"/>
      <c r="F53" s="9"/>
      <c r="H53" s="9"/>
    </row>
    <row r="54" spans="5:8" ht="15.75" customHeight="1" x14ac:dyDescent="0.3">
      <c r="E54" s="9"/>
      <c r="F54" s="9"/>
      <c r="H54" s="9"/>
    </row>
    <row r="55" spans="5:8" ht="15.75" customHeight="1" x14ac:dyDescent="0.3">
      <c r="E55" s="9"/>
      <c r="F55" s="9"/>
      <c r="H55" s="9"/>
    </row>
    <row r="56" spans="5:8" ht="15.75" customHeight="1" x14ac:dyDescent="0.3">
      <c r="E56" s="9"/>
      <c r="F56" s="9"/>
      <c r="H56" s="9"/>
    </row>
    <row r="57" spans="5:8" ht="15.75" customHeight="1" x14ac:dyDescent="0.3">
      <c r="E57" s="9"/>
      <c r="F57" s="9"/>
      <c r="H57" s="9"/>
    </row>
    <row r="58" spans="5:8" ht="15.75" customHeight="1" x14ac:dyDescent="0.3">
      <c r="E58" s="9"/>
      <c r="F58" s="9"/>
      <c r="H58" s="9"/>
    </row>
    <row r="59" spans="5:8" ht="15.75" customHeight="1" x14ac:dyDescent="0.3">
      <c r="E59" s="9"/>
      <c r="F59" s="9"/>
      <c r="H59" s="9"/>
    </row>
    <row r="60" spans="5:8" ht="15.75" customHeight="1" x14ac:dyDescent="0.3">
      <c r="E60" s="9"/>
      <c r="F60" s="9"/>
      <c r="H60" s="9"/>
    </row>
    <row r="61" spans="5:8" ht="15.75" customHeight="1" x14ac:dyDescent="0.3">
      <c r="E61" s="9"/>
      <c r="F61" s="9"/>
      <c r="H61" s="9"/>
    </row>
    <row r="62" spans="5:8" ht="15.75" customHeight="1" x14ac:dyDescent="0.3">
      <c r="E62" s="9"/>
      <c r="F62" s="9"/>
      <c r="H62" s="9"/>
    </row>
    <row r="63" spans="5:8" ht="15.75" customHeight="1" x14ac:dyDescent="0.3">
      <c r="E63" s="9"/>
      <c r="F63" s="9"/>
      <c r="H63" s="9"/>
    </row>
    <row r="64" spans="5:8" ht="15.75" customHeight="1" x14ac:dyDescent="0.3">
      <c r="E64" s="9"/>
      <c r="F64" s="9"/>
      <c r="H64" s="9"/>
    </row>
    <row r="65" spans="5:8" ht="15.75" customHeight="1" x14ac:dyDescent="0.3">
      <c r="E65" s="9"/>
      <c r="F65" s="9"/>
      <c r="H65" s="9"/>
    </row>
    <row r="66" spans="5:8" ht="15.75" customHeight="1" x14ac:dyDescent="0.3">
      <c r="E66" s="9"/>
      <c r="F66" s="9"/>
      <c r="H66" s="9"/>
    </row>
    <row r="67" spans="5:8" ht="15.75" customHeight="1" x14ac:dyDescent="0.3">
      <c r="E67" s="9"/>
      <c r="F67" s="9"/>
      <c r="H67" s="9"/>
    </row>
    <row r="68" spans="5:8" ht="15.75" customHeight="1" x14ac:dyDescent="0.3">
      <c r="E68" s="9"/>
      <c r="F68" s="9"/>
      <c r="H68" s="9"/>
    </row>
    <row r="69" spans="5:8" ht="15.75" customHeight="1" x14ac:dyDescent="0.3">
      <c r="E69" s="9"/>
      <c r="F69" s="9"/>
      <c r="H69" s="9"/>
    </row>
    <row r="70" spans="5:8" ht="15.75" customHeight="1" x14ac:dyDescent="0.3">
      <c r="E70" s="9"/>
      <c r="F70" s="9"/>
      <c r="H70" s="9"/>
    </row>
    <row r="71" spans="5:8" ht="15.75" customHeight="1" x14ac:dyDescent="0.3">
      <c r="E71" s="9"/>
      <c r="F71" s="9"/>
      <c r="H71" s="9"/>
    </row>
    <row r="72" spans="5:8" ht="15.75" customHeight="1" x14ac:dyDescent="0.3">
      <c r="E72" s="9"/>
      <c r="F72" s="9"/>
      <c r="H72" s="9"/>
    </row>
    <row r="73" spans="5:8" ht="15.75" customHeight="1" x14ac:dyDescent="0.3">
      <c r="E73" s="9"/>
      <c r="F73" s="9"/>
      <c r="H73" s="9"/>
    </row>
    <row r="74" spans="5:8" ht="15.75" customHeight="1" x14ac:dyDescent="0.3">
      <c r="E74" s="9"/>
      <c r="F74" s="9"/>
      <c r="H74" s="9"/>
    </row>
    <row r="75" spans="5:8" ht="15.75" customHeight="1" x14ac:dyDescent="0.3">
      <c r="E75" s="9"/>
      <c r="F75" s="9"/>
      <c r="H75" s="9"/>
    </row>
    <row r="76" spans="5:8" ht="15.75" customHeight="1" x14ac:dyDescent="0.3">
      <c r="E76" s="9"/>
      <c r="F76" s="9"/>
      <c r="H76" s="9"/>
    </row>
    <row r="77" spans="5:8" ht="15.75" customHeight="1" x14ac:dyDescent="0.3">
      <c r="E77" s="9"/>
      <c r="F77" s="9"/>
      <c r="H77" s="9"/>
    </row>
    <row r="78" spans="5:8" ht="15.75" customHeight="1" x14ac:dyDescent="0.3">
      <c r="E78" s="9"/>
      <c r="F78" s="9"/>
      <c r="H78" s="9"/>
    </row>
    <row r="79" spans="5:8" ht="15.75" customHeight="1" x14ac:dyDescent="0.3">
      <c r="E79" s="9"/>
      <c r="F79" s="9"/>
      <c r="H79" s="9"/>
    </row>
    <row r="80" spans="5:8" ht="15.75" customHeight="1" x14ac:dyDescent="0.3">
      <c r="E80" s="9"/>
      <c r="F80" s="9"/>
      <c r="H80" s="9"/>
    </row>
    <row r="81" spans="5:8" ht="15.75" customHeight="1" x14ac:dyDescent="0.3">
      <c r="E81" s="9"/>
      <c r="F81" s="9"/>
      <c r="H81" s="9"/>
    </row>
    <row r="82" spans="5:8" ht="15.75" customHeight="1" x14ac:dyDescent="0.3">
      <c r="E82" s="9"/>
      <c r="F82" s="9"/>
      <c r="H82" s="9"/>
    </row>
    <row r="83" spans="5:8" ht="15.75" customHeight="1" x14ac:dyDescent="0.3">
      <c r="E83" s="9"/>
      <c r="F83" s="9"/>
      <c r="H83" s="9"/>
    </row>
    <row r="84" spans="5:8" ht="15.75" customHeight="1" x14ac:dyDescent="0.3">
      <c r="E84" s="9"/>
      <c r="F84" s="9"/>
      <c r="H84" s="9"/>
    </row>
    <row r="85" spans="5:8" ht="15.75" customHeight="1" x14ac:dyDescent="0.3">
      <c r="E85" s="9"/>
      <c r="F85" s="9"/>
      <c r="H85" s="9"/>
    </row>
    <row r="86" spans="5:8" ht="15.75" customHeight="1" x14ac:dyDescent="0.3">
      <c r="E86" s="9"/>
      <c r="F86" s="9"/>
      <c r="H86" s="9"/>
    </row>
    <row r="87" spans="5:8" ht="15.75" customHeight="1" x14ac:dyDescent="0.3">
      <c r="E87" s="9"/>
      <c r="F87" s="9"/>
      <c r="H87" s="9"/>
    </row>
    <row r="88" spans="5:8" ht="15.75" customHeight="1" x14ac:dyDescent="0.3">
      <c r="E88" s="9"/>
      <c r="F88" s="9"/>
      <c r="H88" s="9"/>
    </row>
    <row r="89" spans="5:8" ht="15.75" customHeight="1" x14ac:dyDescent="0.3">
      <c r="E89" s="9"/>
      <c r="F89" s="9"/>
      <c r="H89" s="9"/>
    </row>
    <row r="90" spans="5:8" ht="15.75" customHeight="1" x14ac:dyDescent="0.3">
      <c r="E90" s="9"/>
      <c r="F90" s="9"/>
      <c r="H90" s="9"/>
    </row>
    <row r="91" spans="5:8" ht="15.75" customHeight="1" x14ac:dyDescent="0.3">
      <c r="E91" s="9"/>
      <c r="F91" s="9"/>
      <c r="H91" s="9"/>
    </row>
    <row r="92" spans="5:8" ht="15.75" customHeight="1" x14ac:dyDescent="0.3">
      <c r="E92" s="9"/>
      <c r="F92" s="9"/>
      <c r="H92" s="9"/>
    </row>
    <row r="93" spans="5:8" ht="15.75" customHeight="1" x14ac:dyDescent="0.3">
      <c r="E93" s="9"/>
      <c r="F93" s="9"/>
      <c r="H93" s="9"/>
    </row>
    <row r="94" spans="5:8" ht="15.75" customHeight="1" x14ac:dyDescent="0.3">
      <c r="E94" s="9"/>
      <c r="F94" s="9"/>
      <c r="H94" s="9"/>
    </row>
    <row r="95" spans="5:8" ht="15.75" customHeight="1" x14ac:dyDescent="0.3">
      <c r="E95" s="9"/>
      <c r="F95" s="9"/>
      <c r="H95" s="9"/>
    </row>
    <row r="96" spans="5:8" ht="15.75" customHeight="1" x14ac:dyDescent="0.3">
      <c r="E96" s="9"/>
      <c r="F96" s="9"/>
      <c r="H96" s="9"/>
    </row>
    <row r="97" spans="5:8" ht="15.75" customHeight="1" x14ac:dyDescent="0.3">
      <c r="E97" s="9"/>
      <c r="F97" s="9"/>
      <c r="H97" s="9"/>
    </row>
    <row r="98" spans="5:8" ht="15.75" customHeight="1" x14ac:dyDescent="0.3">
      <c r="E98" s="9"/>
      <c r="F98" s="9"/>
      <c r="H98" s="9"/>
    </row>
    <row r="99" spans="5:8" ht="15.75" customHeight="1" x14ac:dyDescent="0.3">
      <c r="E99" s="9"/>
      <c r="F99" s="9"/>
      <c r="H99" s="9"/>
    </row>
    <row r="100" spans="5:8" ht="15.75" customHeight="1" x14ac:dyDescent="0.3">
      <c r="E100" s="9"/>
      <c r="F100" s="9"/>
      <c r="H100" s="9"/>
    </row>
    <row r="101" spans="5:8" ht="15.75" customHeight="1" x14ac:dyDescent="0.3">
      <c r="E101" s="9"/>
      <c r="F101" s="9"/>
      <c r="H101" s="9"/>
    </row>
    <row r="102" spans="5:8" ht="15.75" customHeight="1" x14ac:dyDescent="0.3">
      <c r="E102" s="9"/>
      <c r="F102" s="9"/>
      <c r="H102" s="9"/>
    </row>
    <row r="103" spans="5:8" ht="15.75" customHeight="1" x14ac:dyDescent="0.3">
      <c r="E103" s="9"/>
      <c r="F103" s="9"/>
      <c r="H103" s="9"/>
    </row>
    <row r="104" spans="5:8" ht="15.75" customHeight="1" x14ac:dyDescent="0.3">
      <c r="E104" s="9"/>
      <c r="F104" s="9"/>
      <c r="H104" s="9"/>
    </row>
    <row r="105" spans="5:8" ht="15.75" customHeight="1" x14ac:dyDescent="0.3">
      <c r="E105" s="9"/>
      <c r="F105" s="9"/>
      <c r="H105" s="9"/>
    </row>
    <row r="106" spans="5:8" ht="15.75" customHeight="1" x14ac:dyDescent="0.3">
      <c r="E106" s="9"/>
      <c r="F106" s="9"/>
      <c r="H106" s="9"/>
    </row>
    <row r="107" spans="5:8" ht="15.75" customHeight="1" x14ac:dyDescent="0.3">
      <c r="E107" s="9"/>
      <c r="F107" s="9"/>
      <c r="H107" s="9"/>
    </row>
    <row r="108" spans="5:8" ht="15.75" customHeight="1" x14ac:dyDescent="0.3">
      <c r="E108" s="9"/>
      <c r="F108" s="9"/>
      <c r="H108" s="9"/>
    </row>
    <row r="109" spans="5:8" ht="15.75" customHeight="1" x14ac:dyDescent="0.3">
      <c r="E109" s="9"/>
      <c r="F109" s="9"/>
      <c r="H109" s="9"/>
    </row>
    <row r="110" spans="5:8" ht="15.75" customHeight="1" x14ac:dyDescent="0.3">
      <c r="E110" s="9"/>
      <c r="F110" s="9"/>
      <c r="H110" s="9"/>
    </row>
    <row r="111" spans="5:8" ht="15.75" customHeight="1" x14ac:dyDescent="0.3">
      <c r="E111" s="9"/>
      <c r="F111" s="9"/>
      <c r="H111" s="9"/>
    </row>
    <row r="112" spans="5:8" ht="15.75" customHeight="1" x14ac:dyDescent="0.3">
      <c r="E112" s="9"/>
      <c r="F112" s="9"/>
      <c r="H112" s="9"/>
    </row>
    <row r="113" spans="5:8" ht="15.75" customHeight="1" x14ac:dyDescent="0.3">
      <c r="E113" s="9"/>
      <c r="F113" s="9"/>
      <c r="H113" s="9"/>
    </row>
    <row r="114" spans="5:8" ht="15.75" customHeight="1" x14ac:dyDescent="0.3">
      <c r="E114" s="9"/>
      <c r="F114" s="9"/>
      <c r="H114" s="9"/>
    </row>
    <row r="115" spans="5:8" ht="15.75" customHeight="1" x14ac:dyDescent="0.3">
      <c r="E115" s="9"/>
      <c r="F115" s="9"/>
      <c r="H115" s="9"/>
    </row>
    <row r="116" spans="5:8" ht="15.75" customHeight="1" x14ac:dyDescent="0.3">
      <c r="E116" s="9"/>
      <c r="F116" s="9"/>
      <c r="H116" s="9"/>
    </row>
    <row r="117" spans="5:8" ht="15.75" customHeight="1" x14ac:dyDescent="0.3">
      <c r="E117" s="9"/>
      <c r="F117" s="9"/>
      <c r="H117" s="9"/>
    </row>
    <row r="118" spans="5:8" ht="15.75" customHeight="1" x14ac:dyDescent="0.3">
      <c r="E118" s="9"/>
      <c r="F118" s="9"/>
      <c r="H118" s="9"/>
    </row>
    <row r="119" spans="5:8" ht="15.75" customHeight="1" x14ac:dyDescent="0.3">
      <c r="E119" s="9"/>
      <c r="F119" s="9"/>
      <c r="H119" s="9"/>
    </row>
    <row r="120" spans="5:8" ht="15.75" customHeight="1" x14ac:dyDescent="0.3">
      <c r="E120" s="9"/>
      <c r="F120" s="9"/>
      <c r="H120" s="9"/>
    </row>
    <row r="121" spans="5:8" ht="15.75" customHeight="1" x14ac:dyDescent="0.3">
      <c r="E121" s="9"/>
      <c r="F121" s="9"/>
      <c r="H121" s="9"/>
    </row>
    <row r="122" spans="5:8" ht="15.75" customHeight="1" x14ac:dyDescent="0.3">
      <c r="E122" s="9"/>
      <c r="F122" s="9"/>
      <c r="H122" s="9"/>
    </row>
    <row r="123" spans="5:8" ht="15.75" customHeight="1" x14ac:dyDescent="0.3">
      <c r="E123" s="9"/>
      <c r="F123" s="9"/>
      <c r="H123" s="9"/>
    </row>
    <row r="124" spans="5:8" ht="15.75" customHeight="1" x14ac:dyDescent="0.3">
      <c r="E124" s="9"/>
      <c r="F124" s="9"/>
      <c r="H124" s="9"/>
    </row>
    <row r="125" spans="5:8" ht="15.75" customHeight="1" x14ac:dyDescent="0.3">
      <c r="E125" s="9"/>
      <c r="F125" s="9"/>
      <c r="H125" s="9"/>
    </row>
    <row r="126" spans="5:8" ht="15.75" customHeight="1" x14ac:dyDescent="0.3">
      <c r="E126" s="9"/>
      <c r="F126" s="9"/>
      <c r="H126" s="9"/>
    </row>
    <row r="127" spans="5:8" ht="15.75" customHeight="1" x14ac:dyDescent="0.3">
      <c r="E127" s="9"/>
      <c r="F127" s="9"/>
      <c r="H127" s="9"/>
    </row>
    <row r="128" spans="5:8" ht="15.75" customHeight="1" x14ac:dyDescent="0.3">
      <c r="E128" s="9"/>
      <c r="F128" s="9"/>
      <c r="H128" s="9"/>
    </row>
    <row r="129" spans="5:8" ht="15.75" customHeight="1" x14ac:dyDescent="0.3">
      <c r="E129" s="9"/>
      <c r="F129" s="9"/>
      <c r="H129" s="9"/>
    </row>
    <row r="130" spans="5:8" ht="15.75" customHeight="1" x14ac:dyDescent="0.3">
      <c r="E130" s="9"/>
      <c r="F130" s="9"/>
      <c r="H130" s="9"/>
    </row>
    <row r="131" spans="5:8" ht="15.75" customHeight="1" x14ac:dyDescent="0.3">
      <c r="E131" s="9"/>
      <c r="F131" s="9"/>
      <c r="H131" s="9"/>
    </row>
    <row r="132" spans="5:8" ht="15.75" customHeight="1" x14ac:dyDescent="0.3">
      <c r="E132" s="9"/>
      <c r="F132" s="9"/>
      <c r="H132" s="9"/>
    </row>
    <row r="133" spans="5:8" ht="15.75" customHeight="1" x14ac:dyDescent="0.3">
      <c r="E133" s="9"/>
      <c r="F133" s="9"/>
      <c r="H133" s="9"/>
    </row>
    <row r="134" spans="5:8" ht="15.75" customHeight="1" x14ac:dyDescent="0.3">
      <c r="E134" s="9"/>
      <c r="F134" s="9"/>
      <c r="H134" s="9"/>
    </row>
    <row r="135" spans="5:8" ht="15.75" customHeight="1" x14ac:dyDescent="0.3">
      <c r="E135" s="9"/>
      <c r="F135" s="9"/>
      <c r="H135" s="9"/>
    </row>
    <row r="136" spans="5:8" ht="15.75" customHeight="1" x14ac:dyDescent="0.3">
      <c r="E136" s="9"/>
      <c r="F136" s="9"/>
      <c r="H136" s="9"/>
    </row>
    <row r="137" spans="5:8" ht="15.75" customHeight="1" x14ac:dyDescent="0.3">
      <c r="E137" s="9"/>
      <c r="F137" s="9"/>
      <c r="H137" s="9"/>
    </row>
    <row r="138" spans="5:8" ht="15.75" customHeight="1" x14ac:dyDescent="0.3">
      <c r="E138" s="9"/>
      <c r="F138" s="9"/>
      <c r="H138" s="9"/>
    </row>
    <row r="139" spans="5:8" ht="15.75" customHeight="1" x14ac:dyDescent="0.3">
      <c r="E139" s="9"/>
      <c r="F139" s="9"/>
      <c r="H139" s="9"/>
    </row>
    <row r="140" spans="5:8" ht="15.75" customHeight="1" x14ac:dyDescent="0.3">
      <c r="E140" s="9"/>
      <c r="F140" s="9"/>
      <c r="H140" s="9"/>
    </row>
    <row r="141" spans="5:8" ht="15.75" customHeight="1" x14ac:dyDescent="0.3">
      <c r="E141" s="9"/>
      <c r="F141" s="9"/>
      <c r="H141" s="9"/>
    </row>
    <row r="142" spans="5:8" ht="15.75" customHeight="1" x14ac:dyDescent="0.3">
      <c r="E142" s="9"/>
      <c r="F142" s="9"/>
      <c r="H142" s="9"/>
    </row>
    <row r="143" spans="5:8" ht="15.75" customHeight="1" x14ac:dyDescent="0.3">
      <c r="E143" s="9"/>
      <c r="F143" s="9"/>
      <c r="H143" s="9"/>
    </row>
    <row r="144" spans="5:8" ht="15.75" customHeight="1" x14ac:dyDescent="0.3">
      <c r="E144" s="9"/>
      <c r="F144" s="9"/>
      <c r="H144" s="9"/>
    </row>
    <row r="145" spans="5:8" ht="15.75" customHeight="1" x14ac:dyDescent="0.3">
      <c r="E145" s="9"/>
      <c r="F145" s="9"/>
      <c r="H145" s="9"/>
    </row>
    <row r="146" spans="5:8" ht="15.75" customHeight="1" x14ac:dyDescent="0.3">
      <c r="E146" s="9"/>
      <c r="F146" s="9"/>
      <c r="H146" s="9"/>
    </row>
    <row r="147" spans="5:8" ht="15.75" customHeight="1" x14ac:dyDescent="0.3">
      <c r="E147" s="9"/>
      <c r="F147" s="9"/>
      <c r="H147" s="9"/>
    </row>
    <row r="148" spans="5:8" ht="15.75" customHeight="1" x14ac:dyDescent="0.3">
      <c r="E148" s="9"/>
      <c r="F148" s="9"/>
      <c r="H148" s="9"/>
    </row>
    <row r="149" spans="5:8" ht="15.75" customHeight="1" x14ac:dyDescent="0.3">
      <c r="E149" s="9"/>
      <c r="F149" s="9"/>
      <c r="H149" s="9"/>
    </row>
    <row r="150" spans="5:8" ht="15.75" customHeight="1" x14ac:dyDescent="0.3">
      <c r="E150" s="9"/>
      <c r="F150" s="9"/>
      <c r="H150" s="9"/>
    </row>
    <row r="151" spans="5:8" ht="15.75" customHeight="1" x14ac:dyDescent="0.3">
      <c r="E151" s="9"/>
      <c r="F151" s="9"/>
      <c r="H151" s="9"/>
    </row>
    <row r="152" spans="5:8" ht="15.75" customHeight="1" x14ac:dyDescent="0.3">
      <c r="E152" s="9"/>
      <c r="F152" s="9"/>
      <c r="H152" s="9"/>
    </row>
    <row r="153" spans="5:8" ht="15.75" customHeight="1" x14ac:dyDescent="0.3">
      <c r="E153" s="9"/>
      <c r="F153" s="9"/>
      <c r="H153" s="9"/>
    </row>
    <row r="154" spans="5:8" ht="15.75" customHeight="1" x14ac:dyDescent="0.3">
      <c r="E154" s="9"/>
      <c r="F154" s="9"/>
      <c r="H154" s="9"/>
    </row>
    <row r="155" spans="5:8" ht="15.75" customHeight="1" x14ac:dyDescent="0.3">
      <c r="E155" s="9"/>
      <c r="F155" s="9"/>
      <c r="H155" s="9"/>
    </row>
    <row r="156" spans="5:8" ht="15.75" customHeight="1" x14ac:dyDescent="0.3">
      <c r="E156" s="9"/>
      <c r="F156" s="9"/>
      <c r="H156" s="9"/>
    </row>
    <row r="157" spans="5:8" ht="15.75" customHeight="1" x14ac:dyDescent="0.3">
      <c r="E157" s="9"/>
      <c r="F157" s="9"/>
      <c r="H157" s="9"/>
    </row>
    <row r="158" spans="5:8" ht="15.75" customHeight="1" x14ac:dyDescent="0.3">
      <c r="E158" s="9"/>
      <c r="F158" s="9"/>
      <c r="H158" s="9"/>
    </row>
    <row r="159" spans="5:8" ht="15.75" customHeight="1" x14ac:dyDescent="0.3">
      <c r="E159" s="9"/>
      <c r="F159" s="9"/>
      <c r="H159" s="9"/>
    </row>
    <row r="160" spans="5:8" ht="15.75" customHeight="1" x14ac:dyDescent="0.3">
      <c r="E160" s="9"/>
      <c r="F160" s="9"/>
      <c r="H160" s="9"/>
    </row>
    <row r="161" spans="5:8" ht="15.75" customHeight="1" x14ac:dyDescent="0.3">
      <c r="E161" s="9"/>
      <c r="F161" s="9"/>
      <c r="H161" s="9"/>
    </row>
    <row r="162" spans="5:8" ht="15.75" customHeight="1" x14ac:dyDescent="0.3">
      <c r="E162" s="9"/>
      <c r="F162" s="9"/>
      <c r="H162" s="9"/>
    </row>
    <row r="163" spans="5:8" ht="15.75" customHeight="1" x14ac:dyDescent="0.3">
      <c r="E163" s="9"/>
      <c r="F163" s="9"/>
      <c r="H163" s="9"/>
    </row>
    <row r="164" spans="5:8" ht="15.75" customHeight="1" x14ac:dyDescent="0.3">
      <c r="E164" s="9"/>
      <c r="F164" s="9"/>
      <c r="H164" s="9"/>
    </row>
    <row r="165" spans="5:8" ht="15.75" customHeight="1" x14ac:dyDescent="0.3">
      <c r="E165" s="9"/>
      <c r="F165" s="9"/>
      <c r="H165" s="9"/>
    </row>
    <row r="166" spans="5:8" ht="15.75" customHeight="1" x14ac:dyDescent="0.3">
      <c r="E166" s="9"/>
      <c r="F166" s="9"/>
      <c r="H166" s="9"/>
    </row>
    <row r="167" spans="5:8" ht="15.75" customHeight="1" x14ac:dyDescent="0.3">
      <c r="E167" s="9"/>
      <c r="F167" s="9"/>
      <c r="H167" s="9"/>
    </row>
    <row r="168" spans="5:8" ht="15.75" customHeight="1" x14ac:dyDescent="0.3">
      <c r="E168" s="9"/>
      <c r="F168" s="9"/>
      <c r="H168" s="9"/>
    </row>
    <row r="169" spans="5:8" ht="15.75" customHeight="1" x14ac:dyDescent="0.3">
      <c r="E169" s="9"/>
      <c r="F169" s="9"/>
      <c r="H169" s="9"/>
    </row>
    <row r="170" spans="5:8" ht="15.75" customHeight="1" x14ac:dyDescent="0.3">
      <c r="E170" s="9"/>
      <c r="F170" s="9"/>
      <c r="H170" s="9"/>
    </row>
    <row r="171" spans="5:8" ht="15.75" customHeight="1" x14ac:dyDescent="0.3">
      <c r="E171" s="9"/>
      <c r="F171" s="9"/>
      <c r="H171" s="9"/>
    </row>
    <row r="172" spans="5:8" ht="15.75" customHeight="1" x14ac:dyDescent="0.3">
      <c r="E172" s="9"/>
      <c r="F172" s="9"/>
      <c r="H172" s="9"/>
    </row>
    <row r="173" spans="5:8" ht="15.75" customHeight="1" x14ac:dyDescent="0.3">
      <c r="E173" s="9"/>
      <c r="F173" s="9"/>
      <c r="H173" s="9"/>
    </row>
    <row r="174" spans="5:8" ht="15.75" customHeight="1" x14ac:dyDescent="0.3">
      <c r="E174" s="9"/>
      <c r="F174" s="9"/>
      <c r="H174" s="9"/>
    </row>
    <row r="175" spans="5:8" ht="15.75" customHeight="1" x14ac:dyDescent="0.3">
      <c r="E175" s="9"/>
      <c r="F175" s="9"/>
      <c r="H175" s="9"/>
    </row>
    <row r="176" spans="5:8" ht="15.75" customHeight="1" x14ac:dyDescent="0.3">
      <c r="E176" s="9"/>
      <c r="F176" s="9"/>
      <c r="H176" s="9"/>
    </row>
    <row r="177" spans="5:8" ht="15.75" customHeight="1" x14ac:dyDescent="0.3">
      <c r="E177" s="9"/>
      <c r="F177" s="9"/>
      <c r="H177" s="9"/>
    </row>
    <row r="178" spans="5:8" ht="15.75" customHeight="1" x14ac:dyDescent="0.3">
      <c r="E178" s="9"/>
      <c r="F178" s="9"/>
      <c r="H178" s="9"/>
    </row>
    <row r="179" spans="5:8" ht="15.75" customHeight="1" x14ac:dyDescent="0.3">
      <c r="E179" s="9"/>
      <c r="F179" s="9"/>
      <c r="H179" s="9"/>
    </row>
    <row r="180" spans="5:8" ht="15.75" customHeight="1" x14ac:dyDescent="0.3">
      <c r="E180" s="9"/>
      <c r="F180" s="9"/>
      <c r="H180" s="9"/>
    </row>
    <row r="181" spans="5:8" ht="15.75" customHeight="1" x14ac:dyDescent="0.3">
      <c r="E181" s="9"/>
      <c r="F181" s="9"/>
      <c r="H181" s="9"/>
    </row>
    <row r="182" spans="5:8" ht="15.75" customHeight="1" x14ac:dyDescent="0.3">
      <c r="E182" s="9"/>
      <c r="F182" s="9"/>
      <c r="H182" s="9"/>
    </row>
    <row r="183" spans="5:8" ht="15.75" customHeight="1" x14ac:dyDescent="0.3">
      <c r="E183" s="9"/>
      <c r="F183" s="9"/>
      <c r="H183" s="9"/>
    </row>
    <row r="184" spans="5:8" ht="15.75" customHeight="1" x14ac:dyDescent="0.3">
      <c r="E184" s="9"/>
      <c r="F184" s="9"/>
      <c r="H184" s="9"/>
    </row>
    <row r="185" spans="5:8" ht="15.75" customHeight="1" x14ac:dyDescent="0.3">
      <c r="E185" s="9"/>
      <c r="F185" s="9"/>
      <c r="H185" s="9"/>
    </row>
    <row r="186" spans="5:8" ht="15.75" customHeight="1" x14ac:dyDescent="0.3">
      <c r="E186" s="9"/>
      <c r="F186" s="9"/>
      <c r="H186" s="9"/>
    </row>
    <row r="187" spans="5:8" ht="15.75" customHeight="1" x14ac:dyDescent="0.3">
      <c r="E187" s="9"/>
      <c r="F187" s="9"/>
      <c r="H187" s="9"/>
    </row>
    <row r="188" spans="5:8" ht="15.75" customHeight="1" x14ac:dyDescent="0.3">
      <c r="E188" s="9"/>
      <c r="F188" s="9"/>
      <c r="H188" s="9"/>
    </row>
    <row r="189" spans="5:8" ht="15.75" customHeight="1" x14ac:dyDescent="0.3">
      <c r="E189" s="9"/>
      <c r="F189" s="9"/>
      <c r="H189" s="9"/>
    </row>
    <row r="190" spans="5:8" ht="15.75" customHeight="1" x14ac:dyDescent="0.3">
      <c r="E190" s="9"/>
      <c r="F190" s="9"/>
      <c r="H190" s="9"/>
    </row>
    <row r="191" spans="5:8" ht="15.75" customHeight="1" x14ac:dyDescent="0.3">
      <c r="E191" s="9"/>
      <c r="F191" s="9"/>
      <c r="H191" s="9"/>
    </row>
    <row r="192" spans="5:8" ht="15.75" customHeight="1" x14ac:dyDescent="0.3">
      <c r="E192" s="9"/>
      <c r="F192" s="9"/>
      <c r="H192" s="9"/>
    </row>
    <row r="193" spans="5:8" ht="15.75" customHeight="1" x14ac:dyDescent="0.3">
      <c r="E193" s="9"/>
      <c r="F193" s="9"/>
      <c r="H193" s="9"/>
    </row>
    <row r="194" spans="5:8" ht="15.75" customHeight="1" x14ac:dyDescent="0.3">
      <c r="E194" s="9"/>
      <c r="F194" s="9"/>
      <c r="H194" s="9"/>
    </row>
    <row r="195" spans="5:8" ht="15.75" customHeight="1" x14ac:dyDescent="0.3">
      <c r="E195" s="9"/>
      <c r="F195" s="9"/>
      <c r="H195" s="9"/>
    </row>
    <row r="196" spans="5:8" ht="15.75" customHeight="1" x14ac:dyDescent="0.3">
      <c r="E196" s="9"/>
      <c r="F196" s="9"/>
      <c r="H196" s="9"/>
    </row>
    <row r="197" spans="5:8" ht="15.75" customHeight="1" x14ac:dyDescent="0.3">
      <c r="E197" s="9"/>
      <c r="F197" s="9"/>
      <c r="H197" s="9"/>
    </row>
    <row r="198" spans="5:8" ht="15.75" customHeight="1" x14ac:dyDescent="0.3">
      <c r="E198" s="9"/>
      <c r="F198" s="9"/>
      <c r="H198" s="9"/>
    </row>
    <row r="199" spans="5:8" ht="15.75" customHeight="1" x14ac:dyDescent="0.3">
      <c r="E199" s="9"/>
      <c r="F199" s="9"/>
      <c r="H199" s="9"/>
    </row>
    <row r="200" spans="5:8" ht="15.75" customHeight="1" x14ac:dyDescent="0.3">
      <c r="E200" s="9"/>
      <c r="F200" s="9"/>
      <c r="H200" s="9"/>
    </row>
    <row r="201" spans="5:8" ht="15.75" customHeight="1" x14ac:dyDescent="0.3">
      <c r="E201" s="9"/>
      <c r="F201" s="9"/>
      <c r="H201" s="9"/>
    </row>
    <row r="202" spans="5:8" ht="15.75" customHeight="1" x14ac:dyDescent="0.3">
      <c r="E202" s="9"/>
      <c r="F202" s="9"/>
      <c r="H202" s="9"/>
    </row>
    <row r="203" spans="5:8" ht="15.75" customHeight="1" x14ac:dyDescent="0.3">
      <c r="E203" s="9"/>
      <c r="F203" s="9"/>
      <c r="H203" s="9"/>
    </row>
    <row r="204" spans="5:8" ht="15.75" customHeight="1" x14ac:dyDescent="0.3">
      <c r="E204" s="9"/>
      <c r="F204" s="9"/>
      <c r="H204" s="9"/>
    </row>
    <row r="205" spans="5:8" ht="15.75" customHeight="1" x14ac:dyDescent="0.3">
      <c r="E205" s="9"/>
      <c r="F205" s="9"/>
      <c r="H205" s="9"/>
    </row>
    <row r="206" spans="5:8" ht="15.75" customHeight="1" x14ac:dyDescent="0.3">
      <c r="E206" s="9"/>
      <c r="F206" s="9"/>
      <c r="H206" s="9"/>
    </row>
    <row r="207" spans="5:8" ht="15.75" customHeight="1" x14ac:dyDescent="0.3">
      <c r="E207" s="9"/>
      <c r="F207" s="9"/>
      <c r="H207" s="9"/>
    </row>
    <row r="208" spans="5:8" ht="15.75" customHeight="1" x14ac:dyDescent="0.3">
      <c r="E208" s="9"/>
      <c r="F208" s="9"/>
      <c r="H208" s="9"/>
    </row>
    <row r="209" spans="5:8" ht="15.75" customHeight="1" x14ac:dyDescent="0.3">
      <c r="E209" s="9"/>
      <c r="F209" s="9"/>
      <c r="H209" s="9"/>
    </row>
    <row r="210" spans="5:8" ht="15.75" customHeight="1" x14ac:dyDescent="0.3">
      <c r="E210" s="9"/>
      <c r="F210" s="9"/>
      <c r="H210" s="9"/>
    </row>
    <row r="211" spans="5:8" ht="15.75" customHeight="1" x14ac:dyDescent="0.3">
      <c r="E211" s="9"/>
      <c r="F211" s="9"/>
      <c r="H211" s="9"/>
    </row>
    <row r="212" spans="5:8" ht="15.75" customHeight="1" x14ac:dyDescent="0.3">
      <c r="E212" s="9"/>
      <c r="F212" s="9"/>
      <c r="H212" s="9"/>
    </row>
    <row r="213" spans="5:8" ht="15.75" customHeight="1" x14ac:dyDescent="0.3">
      <c r="E213" s="9"/>
      <c r="F213" s="9"/>
      <c r="H213" s="9"/>
    </row>
    <row r="214" spans="5:8" ht="15.75" customHeight="1" x14ac:dyDescent="0.3">
      <c r="E214" s="9"/>
      <c r="F214" s="9"/>
      <c r="H214" s="9"/>
    </row>
    <row r="215" spans="5:8" ht="15.75" customHeight="1" x14ac:dyDescent="0.3">
      <c r="E215" s="9"/>
      <c r="F215" s="9"/>
      <c r="H215" s="9"/>
    </row>
    <row r="216" spans="5:8" ht="15.75" customHeight="1" x14ac:dyDescent="0.3">
      <c r="E216" s="9"/>
      <c r="F216" s="9"/>
      <c r="H216" s="9"/>
    </row>
    <row r="217" spans="5:8" ht="15.75" customHeight="1" x14ac:dyDescent="0.3">
      <c r="E217" s="9"/>
      <c r="F217" s="9"/>
      <c r="H217" s="9"/>
    </row>
    <row r="218" spans="5:8" ht="15.75" customHeight="1" x14ac:dyDescent="0.3">
      <c r="E218" s="9"/>
      <c r="F218" s="9"/>
      <c r="H218" s="9"/>
    </row>
    <row r="219" spans="5:8" ht="15.75" customHeight="1" x14ac:dyDescent="0.3">
      <c r="E219" s="9"/>
      <c r="F219" s="9"/>
      <c r="H219" s="9"/>
    </row>
    <row r="220" spans="5:8" ht="15.75" customHeight="1" x14ac:dyDescent="0.3">
      <c r="E220" s="9"/>
      <c r="F220" s="9"/>
      <c r="H220" s="9"/>
    </row>
    <row r="221" spans="5:8" ht="15.75" customHeight="1" x14ac:dyDescent="0.3">
      <c r="E221" s="9"/>
      <c r="F221" s="9"/>
      <c r="H221" s="9"/>
    </row>
    <row r="222" spans="5:8" ht="15.75" customHeight="1" x14ac:dyDescent="0.3">
      <c r="E222" s="9"/>
      <c r="F222" s="9"/>
      <c r="H222" s="9"/>
    </row>
    <row r="223" spans="5:8" ht="15.75" customHeight="1" x14ac:dyDescent="0.3">
      <c r="E223" s="9"/>
      <c r="F223" s="9"/>
      <c r="H223" s="9"/>
    </row>
    <row r="224" spans="5:8" ht="15.75" customHeight="1" x14ac:dyDescent="0.3">
      <c r="E224" s="9"/>
      <c r="F224" s="9"/>
      <c r="H224" s="9"/>
    </row>
    <row r="225" spans="5:8" ht="15.75" customHeight="1" x14ac:dyDescent="0.3">
      <c r="E225" s="9"/>
      <c r="F225" s="9"/>
      <c r="H225" s="9"/>
    </row>
    <row r="226" spans="5:8" ht="15.75" customHeight="1" x14ac:dyDescent="0.3">
      <c r="E226" s="9"/>
      <c r="F226" s="9"/>
      <c r="H226" s="9"/>
    </row>
    <row r="227" spans="5:8" ht="15.75" customHeight="1" x14ac:dyDescent="0.3">
      <c r="E227" s="9"/>
      <c r="F227" s="9"/>
      <c r="H227" s="9"/>
    </row>
    <row r="228" spans="5:8" ht="15.75" customHeight="1" x14ac:dyDescent="0.3">
      <c r="E228" s="9"/>
      <c r="F228" s="9"/>
      <c r="H228" s="9"/>
    </row>
    <row r="229" spans="5:8" ht="15.75" customHeight="1" x14ac:dyDescent="0.3">
      <c r="E229" s="9"/>
      <c r="F229" s="9"/>
      <c r="H229" s="9"/>
    </row>
    <row r="230" spans="5:8" ht="15.75" customHeight="1" x14ac:dyDescent="0.3">
      <c r="E230" s="9"/>
      <c r="F230" s="9"/>
      <c r="H230" s="9"/>
    </row>
    <row r="231" spans="5:8" ht="15.75" customHeight="1" x14ac:dyDescent="0.3">
      <c r="E231" s="9"/>
      <c r="F231" s="9"/>
      <c r="H231" s="9"/>
    </row>
    <row r="232" spans="5:8" ht="15.75" customHeight="1" x14ac:dyDescent="0.3">
      <c r="E232" s="9"/>
      <c r="F232" s="9"/>
      <c r="H232" s="9"/>
    </row>
    <row r="233" spans="5:8" ht="15.75" customHeight="1" x14ac:dyDescent="0.3">
      <c r="E233" s="9"/>
      <c r="F233" s="9"/>
      <c r="H233" s="9"/>
    </row>
    <row r="234" spans="5:8" ht="15.75" customHeight="1" x14ac:dyDescent="0.3">
      <c r="E234" s="9"/>
      <c r="F234" s="9"/>
      <c r="H234" s="9"/>
    </row>
    <row r="235" spans="5:8" ht="15.75" customHeight="1" x14ac:dyDescent="0.3">
      <c r="E235" s="9"/>
      <c r="F235" s="9"/>
      <c r="H235" s="9"/>
    </row>
    <row r="236" spans="5:8" ht="15.75" customHeight="1" x14ac:dyDescent="0.3">
      <c r="E236" s="9"/>
      <c r="F236" s="9"/>
      <c r="H236" s="9"/>
    </row>
    <row r="237" spans="5:8" ht="15.75" customHeight="1" x14ac:dyDescent="0.3">
      <c r="E237" s="9"/>
      <c r="F237" s="9"/>
      <c r="H237" s="9"/>
    </row>
    <row r="238" spans="5:8" ht="15.75" customHeight="1" x14ac:dyDescent="0.3">
      <c r="E238" s="9"/>
      <c r="F238" s="9"/>
      <c r="H238" s="9"/>
    </row>
    <row r="239" spans="5:8" ht="15.75" customHeight="1" x14ac:dyDescent="0.3">
      <c r="E239" s="9"/>
      <c r="F239" s="9"/>
      <c r="H239" s="9"/>
    </row>
    <row r="240" spans="5:8" ht="15.75" customHeight="1" x14ac:dyDescent="0.3">
      <c r="E240" s="9"/>
      <c r="F240" s="9"/>
      <c r="H240" s="9"/>
    </row>
    <row r="241" spans="5:8" ht="15.75" customHeight="1" x14ac:dyDescent="0.3">
      <c r="E241" s="9"/>
      <c r="F241" s="9"/>
      <c r="H241" s="9"/>
    </row>
    <row r="242" spans="5:8" ht="15.75" customHeight="1" x14ac:dyDescent="0.3">
      <c r="E242" s="9"/>
      <c r="F242" s="9"/>
      <c r="H242" s="9"/>
    </row>
    <row r="243" spans="5:8" ht="15.75" customHeight="1" x14ac:dyDescent="0.3">
      <c r="E243" s="9"/>
      <c r="F243" s="9"/>
      <c r="H243" s="9"/>
    </row>
    <row r="244" spans="5:8" ht="15.75" customHeight="1" x14ac:dyDescent="0.3">
      <c r="E244" s="9"/>
      <c r="F244" s="9"/>
      <c r="H244" s="9"/>
    </row>
    <row r="245" spans="5:8" ht="15.75" customHeight="1" x14ac:dyDescent="0.3">
      <c r="E245" s="9"/>
      <c r="F245" s="9"/>
      <c r="H245" s="9"/>
    </row>
    <row r="246" spans="5:8" ht="15.75" customHeight="1" x14ac:dyDescent="0.3">
      <c r="E246" s="9"/>
      <c r="F246" s="9"/>
      <c r="H246" s="9"/>
    </row>
    <row r="247" spans="5:8" ht="15.75" customHeight="1" x14ac:dyDescent="0.3">
      <c r="E247" s="9"/>
      <c r="F247" s="9"/>
      <c r="H247" s="9"/>
    </row>
    <row r="248" spans="5:8" ht="15.75" customHeight="1" x14ac:dyDescent="0.3">
      <c r="E248" s="9"/>
      <c r="F248" s="9"/>
      <c r="H248" s="9"/>
    </row>
    <row r="249" spans="5:8" ht="15.75" customHeight="1" x14ac:dyDescent="0.3">
      <c r="E249" s="9"/>
      <c r="F249" s="9"/>
      <c r="H249" s="9"/>
    </row>
    <row r="250" spans="5:8" ht="15.75" customHeight="1" x14ac:dyDescent="0.3">
      <c r="E250" s="9"/>
      <c r="F250" s="9"/>
      <c r="H250" s="9"/>
    </row>
    <row r="251" spans="5:8" ht="15.75" customHeight="1" x14ac:dyDescent="0.3">
      <c r="E251" s="9"/>
      <c r="F251" s="9"/>
      <c r="H251" s="9"/>
    </row>
    <row r="252" spans="5:8" ht="15.75" customHeight="1" x14ac:dyDescent="0.3">
      <c r="E252" s="9"/>
      <c r="F252" s="9"/>
      <c r="H252" s="9"/>
    </row>
    <row r="253" spans="5:8" ht="15.75" customHeight="1" x14ac:dyDescent="0.3">
      <c r="E253" s="9"/>
      <c r="F253" s="9"/>
      <c r="H253" s="9"/>
    </row>
    <row r="254" spans="5:8" ht="15.75" customHeight="1" x14ac:dyDescent="0.3">
      <c r="E254" s="9"/>
      <c r="F254" s="9"/>
      <c r="H254" s="9"/>
    </row>
    <row r="255" spans="5:8" ht="15.75" customHeight="1" x14ac:dyDescent="0.3">
      <c r="E255" s="9"/>
      <c r="F255" s="9"/>
      <c r="H255" s="9"/>
    </row>
    <row r="256" spans="5:8" ht="15.75" customHeight="1" x14ac:dyDescent="0.3">
      <c r="E256" s="9"/>
      <c r="F256" s="9"/>
      <c r="H256" s="9"/>
    </row>
    <row r="257" spans="5:8" ht="15.75" customHeight="1" x14ac:dyDescent="0.3">
      <c r="E257" s="9"/>
      <c r="F257" s="9"/>
      <c r="H257" s="9"/>
    </row>
    <row r="258" spans="5:8" ht="15.75" customHeight="1" x14ac:dyDescent="0.3">
      <c r="E258" s="9"/>
      <c r="F258" s="9"/>
      <c r="H258" s="9"/>
    </row>
    <row r="259" spans="5:8" ht="15.75" customHeight="1" x14ac:dyDescent="0.3">
      <c r="E259" s="9"/>
      <c r="F259" s="9"/>
      <c r="H259" s="9"/>
    </row>
    <row r="260" spans="5:8" ht="15.75" customHeight="1" x14ac:dyDescent="0.3">
      <c r="E260" s="9"/>
      <c r="F260" s="9"/>
      <c r="H260" s="9"/>
    </row>
    <row r="261" spans="5:8" ht="15.75" customHeight="1" x14ac:dyDescent="0.3">
      <c r="E261" s="9"/>
      <c r="F261" s="9"/>
      <c r="H261" s="9"/>
    </row>
    <row r="262" spans="5:8" ht="15.75" customHeight="1" x14ac:dyDescent="0.3">
      <c r="E262" s="9"/>
      <c r="F262" s="9"/>
      <c r="H262" s="9"/>
    </row>
    <row r="263" spans="5:8" ht="15.75" customHeight="1" x14ac:dyDescent="0.3">
      <c r="E263" s="9"/>
      <c r="F263" s="9"/>
      <c r="H263" s="9"/>
    </row>
    <row r="264" spans="5:8" ht="15.75" customHeight="1" x14ac:dyDescent="0.3">
      <c r="E264" s="9"/>
      <c r="F264" s="9"/>
      <c r="H264" s="9"/>
    </row>
    <row r="265" spans="5:8" ht="15.75" customHeight="1" x14ac:dyDescent="0.3">
      <c r="E265" s="9"/>
      <c r="F265" s="9"/>
      <c r="H265" s="9"/>
    </row>
    <row r="266" spans="5:8" ht="15.75" customHeight="1" x14ac:dyDescent="0.3">
      <c r="E266" s="9"/>
      <c r="F266" s="9"/>
      <c r="H266" s="9"/>
    </row>
    <row r="267" spans="5:8" ht="15.75" customHeight="1" x14ac:dyDescent="0.3">
      <c r="E267" s="9"/>
      <c r="F267" s="9"/>
      <c r="H267" s="9"/>
    </row>
    <row r="268" spans="5:8" ht="15.75" customHeight="1" x14ac:dyDescent="0.3">
      <c r="E268" s="9"/>
      <c r="F268" s="9"/>
      <c r="H268" s="9"/>
    </row>
    <row r="269" spans="5:8" ht="15.75" customHeight="1" x14ac:dyDescent="0.3">
      <c r="E269" s="9"/>
      <c r="F269" s="9"/>
      <c r="H269" s="9"/>
    </row>
    <row r="270" spans="5:8" ht="15.75" customHeight="1" x14ac:dyDescent="0.3">
      <c r="E270" s="9"/>
      <c r="F270" s="9"/>
      <c r="H270" s="9"/>
    </row>
    <row r="271" spans="5:8" ht="15.75" customHeight="1" x14ac:dyDescent="0.3">
      <c r="E271" s="9"/>
      <c r="F271" s="9"/>
      <c r="H271" s="9"/>
    </row>
    <row r="272" spans="5:8" ht="15.75" customHeight="1" x14ac:dyDescent="0.3">
      <c r="E272" s="9"/>
      <c r="F272" s="9"/>
      <c r="H272" s="9"/>
    </row>
    <row r="273" spans="5:8" ht="15.75" customHeight="1" x14ac:dyDescent="0.3">
      <c r="E273" s="9"/>
      <c r="F273" s="9"/>
      <c r="H273" s="9"/>
    </row>
    <row r="274" spans="5:8" ht="15.75" customHeight="1" x14ac:dyDescent="0.3">
      <c r="E274" s="9"/>
      <c r="F274" s="9"/>
      <c r="H274" s="9"/>
    </row>
    <row r="275" spans="5:8" ht="15.75" customHeight="1" x14ac:dyDescent="0.3">
      <c r="E275" s="9"/>
      <c r="F275" s="9"/>
      <c r="H275" s="9"/>
    </row>
    <row r="276" spans="5:8" ht="15.75" customHeight="1" x14ac:dyDescent="0.3">
      <c r="E276" s="9"/>
      <c r="F276" s="9"/>
      <c r="H276" s="9"/>
    </row>
    <row r="277" spans="5:8" ht="15.75" customHeight="1" x14ac:dyDescent="0.3">
      <c r="E277" s="9"/>
      <c r="F277" s="9"/>
      <c r="H277" s="9"/>
    </row>
    <row r="278" spans="5:8" ht="15.75" customHeight="1" x14ac:dyDescent="0.3">
      <c r="E278" s="9"/>
      <c r="F278" s="9"/>
      <c r="H278" s="9"/>
    </row>
    <row r="279" spans="5:8" ht="15.75" customHeight="1" x14ac:dyDescent="0.3">
      <c r="E279" s="9"/>
      <c r="F279" s="9"/>
      <c r="H279" s="9"/>
    </row>
    <row r="280" spans="5:8" ht="15.75" customHeight="1" x14ac:dyDescent="0.3">
      <c r="E280" s="9"/>
      <c r="F280" s="9"/>
      <c r="H280" s="9"/>
    </row>
    <row r="281" spans="5:8" ht="15.75" customHeight="1" x14ac:dyDescent="0.3">
      <c r="E281" s="9"/>
      <c r="F281" s="9"/>
      <c r="H281" s="9"/>
    </row>
    <row r="282" spans="5:8" ht="15.75" customHeight="1" x14ac:dyDescent="0.3">
      <c r="E282" s="9"/>
      <c r="F282" s="9"/>
      <c r="H282" s="9"/>
    </row>
    <row r="283" spans="5:8" ht="15.75" customHeight="1" x14ac:dyDescent="0.3">
      <c r="E283" s="9"/>
      <c r="F283" s="9"/>
      <c r="H283" s="9"/>
    </row>
    <row r="284" spans="5:8" ht="15.75" customHeight="1" x14ac:dyDescent="0.3">
      <c r="E284" s="9"/>
      <c r="F284" s="9"/>
      <c r="H284" s="9"/>
    </row>
    <row r="285" spans="5:8" ht="15.75" customHeight="1" x14ac:dyDescent="0.3">
      <c r="E285" s="9"/>
      <c r="F285" s="9"/>
      <c r="H285" s="9"/>
    </row>
    <row r="286" spans="5:8" ht="15.75" customHeight="1" x14ac:dyDescent="0.3">
      <c r="E286" s="9"/>
      <c r="F286" s="9"/>
      <c r="H286" s="9"/>
    </row>
    <row r="287" spans="5:8" ht="15.75" customHeight="1" x14ac:dyDescent="0.3">
      <c r="E287" s="9"/>
      <c r="F287" s="9"/>
      <c r="H287" s="9"/>
    </row>
    <row r="288" spans="5:8" ht="15.75" customHeight="1" x14ac:dyDescent="0.3">
      <c r="E288" s="9"/>
      <c r="F288" s="9"/>
      <c r="H288" s="9"/>
    </row>
    <row r="289" spans="5:8" ht="15.75" customHeight="1" x14ac:dyDescent="0.3">
      <c r="E289" s="9"/>
      <c r="F289" s="9"/>
      <c r="H289" s="9"/>
    </row>
    <row r="290" spans="5:8" ht="15.75" customHeight="1" x14ac:dyDescent="0.3">
      <c r="E290" s="9"/>
      <c r="F290" s="9"/>
      <c r="H290" s="9"/>
    </row>
    <row r="291" spans="5:8" ht="15.75" customHeight="1" x14ac:dyDescent="0.3">
      <c r="E291" s="9"/>
      <c r="F291" s="9"/>
      <c r="H291" s="9"/>
    </row>
    <row r="292" spans="5:8" ht="15.75" customHeight="1" x14ac:dyDescent="0.3">
      <c r="E292" s="9"/>
      <c r="F292" s="9"/>
      <c r="H292" s="9"/>
    </row>
    <row r="293" spans="5:8" ht="15.75" customHeight="1" x14ac:dyDescent="0.3">
      <c r="E293" s="9"/>
      <c r="F293" s="9"/>
      <c r="H293" s="9"/>
    </row>
    <row r="294" spans="5:8" ht="15.75" customHeight="1" x14ac:dyDescent="0.3">
      <c r="E294" s="9"/>
      <c r="F294" s="9"/>
      <c r="H294" s="9"/>
    </row>
    <row r="295" spans="5:8" ht="15.75" customHeight="1" x14ac:dyDescent="0.3">
      <c r="E295" s="9"/>
      <c r="F295" s="9"/>
      <c r="H295" s="9"/>
    </row>
    <row r="296" spans="5:8" ht="15.75" customHeight="1" x14ac:dyDescent="0.3">
      <c r="E296" s="9"/>
      <c r="F296" s="9"/>
      <c r="H296" s="9"/>
    </row>
    <row r="297" spans="5:8" ht="15.75" customHeight="1" x14ac:dyDescent="0.3">
      <c r="E297" s="9"/>
      <c r="F297" s="9"/>
      <c r="H297" s="9"/>
    </row>
    <row r="298" spans="5:8" ht="15.75" customHeight="1" x14ac:dyDescent="0.3">
      <c r="E298" s="9"/>
      <c r="F298" s="9"/>
      <c r="H298" s="9"/>
    </row>
    <row r="299" spans="5:8" ht="15.75" customHeight="1" x14ac:dyDescent="0.3">
      <c r="E299" s="9"/>
      <c r="F299" s="9"/>
      <c r="H299" s="9"/>
    </row>
    <row r="300" spans="5:8" ht="15.75" customHeight="1" x14ac:dyDescent="0.3">
      <c r="E300" s="9"/>
      <c r="F300" s="9"/>
      <c r="H300" s="9"/>
    </row>
    <row r="301" spans="5:8" ht="15.75" customHeight="1" x14ac:dyDescent="0.3">
      <c r="E301" s="9"/>
      <c r="F301" s="9"/>
      <c r="H301" s="9"/>
    </row>
    <row r="302" spans="5:8" ht="15.75" customHeight="1" x14ac:dyDescent="0.3">
      <c r="E302" s="9"/>
      <c r="F302" s="9"/>
      <c r="H302" s="9"/>
    </row>
    <row r="303" spans="5:8" ht="15.75" customHeight="1" x14ac:dyDescent="0.3">
      <c r="E303" s="9"/>
      <c r="F303" s="9"/>
      <c r="H303" s="9"/>
    </row>
    <row r="304" spans="5:8" ht="15.75" customHeight="1" x14ac:dyDescent="0.3">
      <c r="E304" s="9"/>
      <c r="F304" s="9"/>
      <c r="H304" s="9"/>
    </row>
    <row r="305" spans="5:8" ht="15.75" customHeight="1" x14ac:dyDescent="0.3">
      <c r="E305" s="9"/>
      <c r="F305" s="9"/>
      <c r="H305" s="9"/>
    </row>
    <row r="306" spans="5:8" ht="15.75" customHeight="1" x14ac:dyDescent="0.3">
      <c r="E306" s="9"/>
      <c r="F306" s="9"/>
      <c r="H306" s="9"/>
    </row>
    <row r="307" spans="5:8" ht="15.75" customHeight="1" x14ac:dyDescent="0.3">
      <c r="E307" s="9"/>
      <c r="F307" s="9"/>
      <c r="H307" s="9"/>
    </row>
    <row r="308" spans="5:8" ht="15.75" customHeight="1" x14ac:dyDescent="0.3">
      <c r="E308" s="9"/>
      <c r="F308" s="9"/>
      <c r="H308" s="9"/>
    </row>
    <row r="309" spans="5:8" ht="15.75" customHeight="1" x14ac:dyDescent="0.3">
      <c r="E309" s="9"/>
      <c r="F309" s="9"/>
      <c r="H309" s="9"/>
    </row>
    <row r="310" spans="5:8" ht="15.75" customHeight="1" x14ac:dyDescent="0.3">
      <c r="E310" s="9"/>
      <c r="F310" s="9"/>
      <c r="H310" s="9"/>
    </row>
    <row r="311" spans="5:8" ht="15.75" customHeight="1" x14ac:dyDescent="0.3">
      <c r="E311" s="9"/>
      <c r="F311" s="9"/>
      <c r="H311" s="9"/>
    </row>
    <row r="312" spans="5:8" ht="15.75" customHeight="1" x14ac:dyDescent="0.3">
      <c r="E312" s="9"/>
      <c r="F312" s="9"/>
      <c r="H312" s="9"/>
    </row>
    <row r="313" spans="5:8" ht="15.75" customHeight="1" x14ac:dyDescent="0.3">
      <c r="E313" s="9"/>
      <c r="F313" s="9"/>
      <c r="H313" s="9"/>
    </row>
    <row r="314" spans="5:8" ht="15.75" customHeight="1" x14ac:dyDescent="0.3">
      <c r="E314" s="9"/>
      <c r="F314" s="9"/>
      <c r="H314" s="9"/>
    </row>
    <row r="315" spans="5:8" ht="15.75" customHeight="1" x14ac:dyDescent="0.3">
      <c r="E315" s="9"/>
      <c r="F315" s="9"/>
      <c r="H315" s="9"/>
    </row>
    <row r="316" spans="5:8" ht="15.75" customHeight="1" x14ac:dyDescent="0.3">
      <c r="E316" s="9"/>
      <c r="F316" s="9"/>
      <c r="H316" s="9"/>
    </row>
    <row r="317" spans="5:8" ht="15.75" customHeight="1" x14ac:dyDescent="0.3">
      <c r="E317" s="9"/>
      <c r="F317" s="9"/>
      <c r="H317" s="9"/>
    </row>
    <row r="318" spans="5:8" ht="15.75" customHeight="1" x14ac:dyDescent="0.3">
      <c r="E318" s="9"/>
      <c r="F318" s="9"/>
      <c r="H318" s="9"/>
    </row>
    <row r="319" spans="5:8" ht="15.75" customHeight="1" x14ac:dyDescent="0.3">
      <c r="E319" s="9"/>
      <c r="F319" s="9"/>
      <c r="H319" s="9"/>
    </row>
    <row r="320" spans="5:8" ht="15.75" customHeight="1" x14ac:dyDescent="0.3">
      <c r="E320" s="9"/>
      <c r="F320" s="9"/>
      <c r="H320" s="9"/>
    </row>
    <row r="321" spans="5:8" ht="15.75" customHeight="1" x14ac:dyDescent="0.3">
      <c r="E321" s="9"/>
      <c r="F321" s="9"/>
      <c r="H321" s="9"/>
    </row>
    <row r="322" spans="5:8" ht="15.75" customHeight="1" x14ac:dyDescent="0.3">
      <c r="E322" s="9"/>
      <c r="F322" s="9"/>
      <c r="H322" s="9"/>
    </row>
    <row r="323" spans="5:8" ht="15.75" customHeight="1" x14ac:dyDescent="0.3">
      <c r="E323" s="9"/>
      <c r="F323" s="9"/>
      <c r="H323" s="9"/>
    </row>
    <row r="324" spans="5:8" ht="15.75" customHeight="1" x14ac:dyDescent="0.3">
      <c r="E324" s="9"/>
      <c r="F324" s="9"/>
      <c r="H324" s="9"/>
    </row>
    <row r="325" spans="5:8" ht="15.75" customHeight="1" x14ac:dyDescent="0.3">
      <c r="E325" s="9"/>
      <c r="F325" s="9"/>
      <c r="H325" s="9"/>
    </row>
    <row r="326" spans="5:8" ht="15.75" customHeight="1" x14ac:dyDescent="0.3">
      <c r="E326" s="9"/>
      <c r="F326" s="9"/>
      <c r="H326" s="9"/>
    </row>
    <row r="327" spans="5:8" ht="15.75" customHeight="1" x14ac:dyDescent="0.3">
      <c r="E327" s="9"/>
      <c r="F327" s="9"/>
      <c r="H327" s="9"/>
    </row>
    <row r="328" spans="5:8" ht="15.75" customHeight="1" x14ac:dyDescent="0.3">
      <c r="E328" s="9"/>
      <c r="F328" s="9"/>
      <c r="H328" s="9"/>
    </row>
    <row r="329" spans="5:8" ht="15.75" customHeight="1" x14ac:dyDescent="0.3">
      <c r="E329" s="9"/>
      <c r="F329" s="9"/>
      <c r="H329" s="9"/>
    </row>
    <row r="330" spans="5:8" ht="15.75" customHeight="1" x14ac:dyDescent="0.3">
      <c r="E330" s="9"/>
      <c r="F330" s="9"/>
      <c r="H330" s="9"/>
    </row>
    <row r="331" spans="5:8" ht="15.75" customHeight="1" x14ac:dyDescent="0.3">
      <c r="E331" s="9"/>
      <c r="F331" s="9"/>
      <c r="H331" s="9"/>
    </row>
    <row r="332" spans="5:8" ht="15.75" customHeight="1" x14ac:dyDescent="0.3">
      <c r="E332" s="9"/>
      <c r="F332" s="9"/>
      <c r="H332" s="9"/>
    </row>
    <row r="333" spans="5:8" ht="15.75" customHeight="1" x14ac:dyDescent="0.3">
      <c r="E333" s="9"/>
      <c r="F333" s="9"/>
      <c r="H333" s="9"/>
    </row>
    <row r="334" spans="5:8" ht="15.75" customHeight="1" x14ac:dyDescent="0.3">
      <c r="E334" s="9"/>
      <c r="F334" s="9"/>
      <c r="H334" s="9"/>
    </row>
    <row r="335" spans="5:8" ht="15.75" customHeight="1" x14ac:dyDescent="0.3">
      <c r="E335" s="9"/>
      <c r="F335" s="9"/>
      <c r="H335" s="9"/>
    </row>
    <row r="336" spans="5:8" ht="15.75" customHeight="1" x14ac:dyDescent="0.3">
      <c r="E336" s="9"/>
      <c r="F336" s="9"/>
      <c r="H336" s="9"/>
    </row>
    <row r="337" spans="5:8" ht="15.75" customHeight="1" x14ac:dyDescent="0.3">
      <c r="E337" s="9"/>
      <c r="F337" s="9"/>
      <c r="H337" s="9"/>
    </row>
    <row r="338" spans="5:8" ht="15.75" customHeight="1" x14ac:dyDescent="0.3">
      <c r="E338" s="9"/>
      <c r="F338" s="9"/>
      <c r="H338" s="9"/>
    </row>
    <row r="339" spans="5:8" ht="15.75" customHeight="1" x14ac:dyDescent="0.3">
      <c r="E339" s="9"/>
      <c r="F339" s="9"/>
      <c r="H339" s="9"/>
    </row>
    <row r="340" spans="5:8" ht="15.75" customHeight="1" x14ac:dyDescent="0.3">
      <c r="E340" s="9"/>
      <c r="F340" s="9"/>
      <c r="H340" s="9"/>
    </row>
    <row r="341" spans="5:8" ht="15.75" customHeight="1" x14ac:dyDescent="0.3">
      <c r="E341" s="9"/>
      <c r="F341" s="9"/>
      <c r="H341" s="9"/>
    </row>
    <row r="342" spans="5:8" ht="15.75" customHeight="1" x14ac:dyDescent="0.3">
      <c r="E342" s="9"/>
      <c r="F342" s="9"/>
      <c r="H342" s="9"/>
    </row>
    <row r="343" spans="5:8" ht="15.75" customHeight="1" x14ac:dyDescent="0.3">
      <c r="E343" s="9"/>
      <c r="F343" s="9"/>
      <c r="H343" s="9"/>
    </row>
    <row r="344" spans="5:8" ht="15.75" customHeight="1" x14ac:dyDescent="0.3">
      <c r="E344" s="9"/>
      <c r="F344" s="9"/>
      <c r="H344" s="9"/>
    </row>
    <row r="345" spans="5:8" ht="15.75" customHeight="1" x14ac:dyDescent="0.3">
      <c r="E345" s="9"/>
      <c r="F345" s="9"/>
      <c r="H345" s="9"/>
    </row>
    <row r="346" spans="5:8" ht="15.75" customHeight="1" x14ac:dyDescent="0.3">
      <c r="E346" s="9"/>
      <c r="F346" s="9"/>
      <c r="H346" s="9"/>
    </row>
    <row r="347" spans="5:8" ht="15.75" customHeight="1" x14ac:dyDescent="0.3">
      <c r="E347" s="9"/>
      <c r="F347" s="9"/>
      <c r="H347" s="9"/>
    </row>
    <row r="348" spans="5:8" ht="15.75" customHeight="1" x14ac:dyDescent="0.3">
      <c r="E348" s="9"/>
      <c r="F348" s="9"/>
      <c r="H348" s="9"/>
    </row>
    <row r="349" spans="5:8" ht="15.75" customHeight="1" x14ac:dyDescent="0.3">
      <c r="E349" s="9"/>
      <c r="F349" s="9"/>
      <c r="H349" s="9"/>
    </row>
    <row r="350" spans="5:8" ht="15.75" customHeight="1" x14ac:dyDescent="0.3">
      <c r="E350" s="9"/>
      <c r="F350" s="9"/>
      <c r="H350" s="9"/>
    </row>
    <row r="351" spans="5:8" ht="15.75" customHeight="1" x14ac:dyDescent="0.3">
      <c r="E351" s="9"/>
      <c r="F351" s="9"/>
      <c r="H351" s="9"/>
    </row>
    <row r="352" spans="5:8" ht="15.75" customHeight="1" x14ac:dyDescent="0.3">
      <c r="E352" s="9"/>
      <c r="F352" s="9"/>
      <c r="H352" s="9"/>
    </row>
    <row r="353" spans="5:8" ht="15.75" customHeight="1" x14ac:dyDescent="0.3">
      <c r="E353" s="9"/>
      <c r="F353" s="9"/>
      <c r="H353" s="9"/>
    </row>
    <row r="354" spans="5:8" ht="15.75" customHeight="1" x14ac:dyDescent="0.3">
      <c r="E354" s="9"/>
      <c r="F354" s="9"/>
      <c r="H354" s="9"/>
    </row>
    <row r="355" spans="5:8" ht="15.75" customHeight="1" x14ac:dyDescent="0.3">
      <c r="E355" s="9"/>
      <c r="F355" s="9"/>
      <c r="H355" s="9"/>
    </row>
    <row r="356" spans="5:8" ht="15.75" customHeight="1" x14ac:dyDescent="0.3">
      <c r="E356" s="9"/>
      <c r="F356" s="9"/>
      <c r="H356" s="9"/>
    </row>
    <row r="357" spans="5:8" ht="15.75" customHeight="1" x14ac:dyDescent="0.3">
      <c r="E357" s="9"/>
      <c r="F357" s="9"/>
      <c r="H357" s="9"/>
    </row>
    <row r="358" spans="5:8" ht="15.75" customHeight="1" x14ac:dyDescent="0.3">
      <c r="E358" s="9"/>
      <c r="F358" s="9"/>
      <c r="H358" s="9"/>
    </row>
    <row r="359" spans="5:8" ht="15.75" customHeight="1" x14ac:dyDescent="0.3">
      <c r="E359" s="9"/>
      <c r="F359" s="9"/>
      <c r="H359" s="9"/>
    </row>
    <row r="360" spans="5:8" ht="15.75" customHeight="1" x14ac:dyDescent="0.3">
      <c r="E360" s="9"/>
      <c r="F360" s="9"/>
      <c r="H360" s="9"/>
    </row>
    <row r="361" spans="5:8" ht="15.75" customHeight="1" x14ac:dyDescent="0.3">
      <c r="E361" s="9"/>
      <c r="F361" s="9"/>
      <c r="H361" s="9"/>
    </row>
    <row r="362" spans="5:8" ht="15.75" customHeight="1" x14ac:dyDescent="0.3">
      <c r="E362" s="9"/>
      <c r="F362" s="9"/>
      <c r="H362" s="9"/>
    </row>
    <row r="363" spans="5:8" ht="15.75" customHeight="1" x14ac:dyDescent="0.3">
      <c r="E363" s="9"/>
      <c r="F363" s="9"/>
      <c r="H363" s="9"/>
    </row>
    <row r="364" spans="5:8" ht="15.75" customHeight="1" x14ac:dyDescent="0.3">
      <c r="E364" s="9"/>
      <c r="F364" s="9"/>
      <c r="H364" s="9"/>
    </row>
    <row r="365" spans="5:8" ht="15.75" customHeight="1" x14ac:dyDescent="0.3">
      <c r="E365" s="9"/>
      <c r="F365" s="9"/>
      <c r="H365" s="9"/>
    </row>
    <row r="366" spans="5:8" ht="15.75" customHeight="1" x14ac:dyDescent="0.3">
      <c r="E366" s="9"/>
      <c r="F366" s="9"/>
      <c r="H366" s="9"/>
    </row>
    <row r="367" spans="5:8" ht="15.75" customHeight="1" x14ac:dyDescent="0.3">
      <c r="E367" s="9"/>
      <c r="F367" s="9"/>
      <c r="H367" s="9"/>
    </row>
    <row r="368" spans="5:8" ht="15.75" customHeight="1" x14ac:dyDescent="0.3">
      <c r="E368" s="9"/>
      <c r="F368" s="9"/>
      <c r="H368" s="9"/>
    </row>
    <row r="369" spans="5:8" ht="15.75" customHeight="1" x14ac:dyDescent="0.3">
      <c r="E369" s="9"/>
      <c r="F369" s="9"/>
      <c r="H369" s="9"/>
    </row>
    <row r="370" spans="5:8" ht="15.75" customHeight="1" x14ac:dyDescent="0.3">
      <c r="E370" s="9"/>
      <c r="F370" s="9"/>
      <c r="H370" s="9"/>
    </row>
    <row r="371" spans="5:8" ht="15.75" customHeight="1" x14ac:dyDescent="0.3">
      <c r="E371" s="9"/>
      <c r="F371" s="9"/>
      <c r="H371" s="9"/>
    </row>
    <row r="372" spans="5:8" ht="15.75" customHeight="1" x14ac:dyDescent="0.3">
      <c r="E372" s="9"/>
      <c r="F372" s="9"/>
      <c r="H372" s="9"/>
    </row>
    <row r="373" spans="5:8" ht="15.75" customHeight="1" x14ac:dyDescent="0.3">
      <c r="E373" s="9"/>
      <c r="F373" s="9"/>
      <c r="H373" s="9"/>
    </row>
    <row r="374" spans="5:8" ht="15.75" customHeight="1" x14ac:dyDescent="0.3">
      <c r="E374" s="9"/>
      <c r="F374" s="9"/>
      <c r="H374" s="9"/>
    </row>
    <row r="375" spans="5:8" ht="15.75" customHeight="1" x14ac:dyDescent="0.3">
      <c r="E375" s="9"/>
      <c r="F375" s="9"/>
      <c r="H375" s="9"/>
    </row>
    <row r="376" spans="5:8" ht="15.75" customHeight="1" x14ac:dyDescent="0.3">
      <c r="E376" s="9"/>
      <c r="F376" s="9"/>
      <c r="H376" s="9"/>
    </row>
    <row r="377" spans="5:8" ht="15.75" customHeight="1" x14ac:dyDescent="0.3">
      <c r="E377" s="9"/>
      <c r="F377" s="9"/>
      <c r="H377" s="9"/>
    </row>
    <row r="378" spans="5:8" ht="15.75" customHeight="1" x14ac:dyDescent="0.3">
      <c r="E378" s="9"/>
      <c r="F378" s="9"/>
      <c r="H378" s="9"/>
    </row>
    <row r="379" spans="5:8" ht="15.75" customHeight="1" x14ac:dyDescent="0.3">
      <c r="E379" s="9"/>
      <c r="F379" s="9"/>
      <c r="H379" s="9"/>
    </row>
    <row r="380" spans="5:8" ht="15.75" customHeight="1" x14ac:dyDescent="0.3">
      <c r="E380" s="9"/>
      <c r="F380" s="9"/>
      <c r="H380" s="9"/>
    </row>
    <row r="381" spans="5:8" ht="15.75" customHeight="1" x14ac:dyDescent="0.3">
      <c r="E381" s="9"/>
      <c r="F381" s="9"/>
      <c r="H381" s="9"/>
    </row>
    <row r="382" spans="5:8" ht="15.75" customHeight="1" x14ac:dyDescent="0.3">
      <c r="E382" s="9"/>
      <c r="F382" s="9"/>
      <c r="H382" s="9"/>
    </row>
    <row r="383" spans="5:8" ht="15.75" customHeight="1" x14ac:dyDescent="0.3">
      <c r="E383" s="9"/>
      <c r="F383" s="9"/>
      <c r="H383" s="9"/>
    </row>
    <row r="384" spans="5:8" ht="15.75" customHeight="1" x14ac:dyDescent="0.3">
      <c r="E384" s="9"/>
      <c r="F384" s="9"/>
      <c r="H384" s="9"/>
    </row>
    <row r="385" spans="5:8" ht="15.75" customHeight="1" x14ac:dyDescent="0.3">
      <c r="E385" s="9"/>
      <c r="F385" s="9"/>
      <c r="H385" s="9"/>
    </row>
    <row r="386" spans="5:8" ht="15.75" customHeight="1" x14ac:dyDescent="0.3">
      <c r="E386" s="9"/>
      <c r="F386" s="9"/>
      <c r="H386" s="9"/>
    </row>
    <row r="387" spans="5:8" ht="15.75" customHeight="1" x14ac:dyDescent="0.3">
      <c r="E387" s="9"/>
      <c r="F387" s="9"/>
      <c r="H387" s="9"/>
    </row>
    <row r="388" spans="5:8" ht="15.75" customHeight="1" x14ac:dyDescent="0.3">
      <c r="E388" s="9"/>
      <c r="F388" s="9"/>
      <c r="H388" s="9"/>
    </row>
    <row r="389" spans="5:8" ht="15.75" customHeight="1" x14ac:dyDescent="0.3">
      <c r="E389" s="9"/>
      <c r="F389" s="9"/>
      <c r="H389" s="9"/>
    </row>
    <row r="390" spans="5:8" ht="15.75" customHeight="1" x14ac:dyDescent="0.3">
      <c r="E390" s="9"/>
      <c r="F390" s="9"/>
      <c r="H390" s="9"/>
    </row>
    <row r="391" spans="5:8" ht="15.75" customHeight="1" x14ac:dyDescent="0.3">
      <c r="E391" s="9"/>
      <c r="F391" s="9"/>
      <c r="H391" s="9"/>
    </row>
    <row r="392" spans="5:8" ht="15.75" customHeight="1" x14ac:dyDescent="0.3">
      <c r="E392" s="9"/>
      <c r="F392" s="9"/>
      <c r="H392" s="9"/>
    </row>
    <row r="393" spans="5:8" ht="15.75" customHeight="1" x14ac:dyDescent="0.3">
      <c r="E393" s="9"/>
      <c r="F393" s="9"/>
      <c r="H393" s="9"/>
    </row>
    <row r="394" spans="5:8" ht="15.75" customHeight="1" x14ac:dyDescent="0.3">
      <c r="E394" s="9"/>
      <c r="F394" s="9"/>
      <c r="H394" s="9"/>
    </row>
    <row r="395" spans="5:8" ht="15.75" customHeight="1" x14ac:dyDescent="0.3">
      <c r="E395" s="9"/>
      <c r="F395" s="9"/>
      <c r="H395" s="9"/>
    </row>
    <row r="396" spans="5:8" ht="15.75" customHeight="1" x14ac:dyDescent="0.3">
      <c r="E396" s="9"/>
      <c r="F396" s="9"/>
      <c r="H396" s="9"/>
    </row>
    <row r="397" spans="5:8" ht="15.75" customHeight="1" x14ac:dyDescent="0.3">
      <c r="E397" s="9"/>
      <c r="F397" s="9"/>
      <c r="H397" s="9"/>
    </row>
    <row r="398" spans="5:8" ht="15.75" customHeight="1" x14ac:dyDescent="0.3">
      <c r="E398" s="9"/>
      <c r="F398" s="9"/>
      <c r="H398" s="9"/>
    </row>
    <row r="399" spans="5:8" ht="15.75" customHeight="1" x14ac:dyDescent="0.3">
      <c r="E399" s="9"/>
      <c r="F399" s="9"/>
      <c r="H399" s="9"/>
    </row>
    <row r="400" spans="5:8" ht="15.75" customHeight="1" x14ac:dyDescent="0.3">
      <c r="E400" s="9"/>
      <c r="F400" s="9"/>
      <c r="H400" s="9"/>
    </row>
    <row r="401" spans="5:8" ht="15.75" customHeight="1" x14ac:dyDescent="0.3">
      <c r="E401" s="9"/>
      <c r="F401" s="9"/>
      <c r="H401" s="9"/>
    </row>
    <row r="402" spans="5:8" ht="15.75" customHeight="1" x14ac:dyDescent="0.3">
      <c r="E402" s="9"/>
      <c r="F402" s="9"/>
      <c r="H402" s="9"/>
    </row>
    <row r="403" spans="5:8" ht="15.75" customHeight="1" x14ac:dyDescent="0.3">
      <c r="E403" s="9"/>
      <c r="F403" s="9"/>
      <c r="H403" s="9"/>
    </row>
    <row r="404" spans="5:8" ht="15.75" customHeight="1" x14ac:dyDescent="0.3">
      <c r="E404" s="9"/>
      <c r="F404" s="9"/>
      <c r="H404" s="9"/>
    </row>
    <row r="405" spans="5:8" ht="15.75" customHeight="1" x14ac:dyDescent="0.3">
      <c r="E405" s="9"/>
      <c r="F405" s="9"/>
      <c r="H405" s="9"/>
    </row>
    <row r="406" spans="5:8" ht="15.75" customHeight="1" x14ac:dyDescent="0.3">
      <c r="E406" s="9"/>
      <c r="F406" s="9"/>
      <c r="H406" s="9"/>
    </row>
    <row r="407" spans="5:8" ht="15.75" customHeight="1" x14ac:dyDescent="0.3">
      <c r="E407" s="9"/>
      <c r="F407" s="9"/>
      <c r="H407" s="9"/>
    </row>
    <row r="408" spans="5:8" ht="15.75" customHeight="1" x14ac:dyDescent="0.3">
      <c r="E408" s="9"/>
      <c r="F408" s="9"/>
      <c r="H408" s="9"/>
    </row>
    <row r="409" spans="5:8" ht="15.75" customHeight="1" x14ac:dyDescent="0.3">
      <c r="E409" s="9"/>
      <c r="F409" s="9"/>
      <c r="H409" s="9"/>
    </row>
    <row r="410" spans="5:8" ht="15.75" customHeight="1" x14ac:dyDescent="0.3">
      <c r="E410" s="9"/>
      <c r="F410" s="9"/>
      <c r="H410" s="9"/>
    </row>
    <row r="411" spans="5:8" ht="15.75" customHeight="1" x14ac:dyDescent="0.3">
      <c r="E411" s="9"/>
      <c r="F411" s="9"/>
      <c r="H411" s="9"/>
    </row>
    <row r="412" spans="5:8" ht="15.75" customHeight="1" x14ac:dyDescent="0.3">
      <c r="E412" s="9"/>
      <c r="F412" s="9"/>
      <c r="H412" s="9"/>
    </row>
    <row r="413" spans="5:8" ht="15.75" customHeight="1" x14ac:dyDescent="0.3">
      <c r="E413" s="9"/>
      <c r="F413" s="9"/>
      <c r="H413" s="9"/>
    </row>
    <row r="414" spans="5:8" ht="15.75" customHeight="1" x14ac:dyDescent="0.3">
      <c r="E414" s="9"/>
      <c r="F414" s="9"/>
      <c r="H414" s="9"/>
    </row>
    <row r="415" spans="5:8" ht="15.75" customHeight="1" x14ac:dyDescent="0.3">
      <c r="E415" s="9"/>
      <c r="F415" s="9"/>
      <c r="H415" s="9"/>
    </row>
    <row r="416" spans="5:8" ht="15.75" customHeight="1" x14ac:dyDescent="0.3">
      <c r="E416" s="9"/>
      <c r="F416" s="9"/>
      <c r="H416" s="9"/>
    </row>
    <row r="417" spans="5:8" ht="15.75" customHeight="1" x14ac:dyDescent="0.3">
      <c r="E417" s="9"/>
      <c r="F417" s="9"/>
      <c r="H417" s="9"/>
    </row>
    <row r="418" spans="5:8" ht="15.75" customHeight="1" x14ac:dyDescent="0.3">
      <c r="E418" s="9"/>
      <c r="F418" s="9"/>
      <c r="H418" s="9"/>
    </row>
    <row r="419" spans="5:8" ht="15.75" customHeight="1" x14ac:dyDescent="0.3">
      <c r="E419" s="9"/>
      <c r="F419" s="9"/>
      <c r="H419" s="9"/>
    </row>
    <row r="420" spans="5:8" ht="15.75" customHeight="1" x14ac:dyDescent="0.3">
      <c r="E420" s="9"/>
      <c r="F420" s="9"/>
      <c r="H420" s="9"/>
    </row>
    <row r="421" spans="5:8" ht="15.75" customHeight="1" x14ac:dyDescent="0.3">
      <c r="E421" s="9"/>
      <c r="F421" s="9"/>
      <c r="H421" s="9"/>
    </row>
    <row r="422" spans="5:8" ht="15.75" customHeight="1" x14ac:dyDescent="0.3">
      <c r="E422" s="9"/>
      <c r="F422" s="9"/>
      <c r="H422" s="9"/>
    </row>
    <row r="423" spans="5:8" ht="15.75" customHeight="1" x14ac:dyDescent="0.3">
      <c r="E423" s="9"/>
      <c r="F423" s="9"/>
      <c r="H423" s="9"/>
    </row>
    <row r="424" spans="5:8" ht="15.75" customHeight="1" x14ac:dyDescent="0.3">
      <c r="E424" s="9"/>
      <c r="F424" s="9"/>
      <c r="H424" s="9"/>
    </row>
    <row r="425" spans="5:8" ht="15.75" customHeight="1" x14ac:dyDescent="0.3">
      <c r="E425" s="9"/>
      <c r="F425" s="9"/>
      <c r="H425" s="9"/>
    </row>
    <row r="426" spans="5:8" ht="15.75" customHeight="1" x14ac:dyDescent="0.3">
      <c r="E426" s="9"/>
      <c r="F426" s="9"/>
      <c r="H426" s="9"/>
    </row>
    <row r="427" spans="5:8" ht="15.75" customHeight="1" x14ac:dyDescent="0.3">
      <c r="E427" s="9"/>
      <c r="F427" s="9"/>
      <c r="H427" s="9"/>
    </row>
    <row r="428" spans="5:8" ht="15.75" customHeight="1" x14ac:dyDescent="0.3">
      <c r="E428" s="9"/>
      <c r="F428" s="9"/>
      <c r="H428" s="9"/>
    </row>
    <row r="429" spans="5:8" ht="15.75" customHeight="1" x14ac:dyDescent="0.3">
      <c r="E429" s="9"/>
      <c r="F429" s="9"/>
      <c r="H429" s="9"/>
    </row>
    <row r="430" spans="5:8" ht="15.75" customHeight="1" x14ac:dyDescent="0.3">
      <c r="E430" s="9"/>
      <c r="F430" s="9"/>
      <c r="H430" s="9"/>
    </row>
    <row r="431" spans="5:8" ht="15.75" customHeight="1" x14ac:dyDescent="0.3">
      <c r="E431" s="9"/>
      <c r="F431" s="9"/>
      <c r="H431" s="9"/>
    </row>
    <row r="432" spans="5:8" ht="15.75" customHeight="1" x14ac:dyDescent="0.3">
      <c r="E432" s="9"/>
      <c r="F432" s="9"/>
      <c r="H432" s="9"/>
    </row>
    <row r="433" spans="5:8" ht="15.75" customHeight="1" x14ac:dyDescent="0.3">
      <c r="E433" s="9"/>
      <c r="F433" s="9"/>
      <c r="H433" s="9"/>
    </row>
    <row r="434" spans="5:8" ht="15.75" customHeight="1" x14ac:dyDescent="0.3">
      <c r="E434" s="9"/>
      <c r="F434" s="9"/>
      <c r="H434" s="9"/>
    </row>
    <row r="435" spans="5:8" ht="15.75" customHeight="1" x14ac:dyDescent="0.3">
      <c r="E435" s="9"/>
      <c r="F435" s="9"/>
      <c r="H435" s="9"/>
    </row>
    <row r="436" spans="5:8" ht="15.75" customHeight="1" x14ac:dyDescent="0.3">
      <c r="E436" s="9"/>
      <c r="F436" s="9"/>
      <c r="H436" s="9"/>
    </row>
    <row r="437" spans="5:8" ht="15.75" customHeight="1" x14ac:dyDescent="0.3">
      <c r="E437" s="9"/>
      <c r="F437" s="9"/>
      <c r="H437" s="9"/>
    </row>
    <row r="438" spans="5:8" ht="15.75" customHeight="1" x14ac:dyDescent="0.3">
      <c r="E438" s="9"/>
      <c r="F438" s="9"/>
      <c r="H438" s="9"/>
    </row>
    <row r="439" spans="5:8" ht="15.75" customHeight="1" x14ac:dyDescent="0.3">
      <c r="E439" s="9"/>
      <c r="F439" s="9"/>
      <c r="H439" s="9"/>
    </row>
    <row r="440" spans="5:8" ht="15.75" customHeight="1" x14ac:dyDescent="0.3">
      <c r="E440" s="9"/>
      <c r="F440" s="9"/>
      <c r="H440" s="9"/>
    </row>
    <row r="441" spans="5:8" ht="15.75" customHeight="1" x14ac:dyDescent="0.3">
      <c r="E441" s="9"/>
      <c r="F441" s="9"/>
      <c r="H441" s="9"/>
    </row>
    <row r="442" spans="5:8" ht="15.75" customHeight="1" x14ac:dyDescent="0.3">
      <c r="E442" s="9"/>
      <c r="F442" s="9"/>
      <c r="H442" s="9"/>
    </row>
    <row r="443" spans="5:8" ht="15.75" customHeight="1" x14ac:dyDescent="0.3">
      <c r="E443" s="9"/>
      <c r="F443" s="9"/>
      <c r="H443" s="9"/>
    </row>
    <row r="444" spans="5:8" ht="15.75" customHeight="1" x14ac:dyDescent="0.3">
      <c r="E444" s="9"/>
      <c r="F444" s="9"/>
      <c r="H444" s="9"/>
    </row>
    <row r="445" spans="5:8" ht="15.75" customHeight="1" x14ac:dyDescent="0.3">
      <c r="E445" s="9"/>
      <c r="F445" s="9"/>
      <c r="H445" s="9"/>
    </row>
    <row r="446" spans="5:8" ht="15.75" customHeight="1" x14ac:dyDescent="0.3">
      <c r="E446" s="9"/>
      <c r="F446" s="9"/>
      <c r="H446" s="9"/>
    </row>
    <row r="447" spans="5:8" ht="15.75" customHeight="1" x14ac:dyDescent="0.3">
      <c r="E447" s="9"/>
      <c r="F447" s="9"/>
      <c r="H447" s="9"/>
    </row>
    <row r="448" spans="5:8" ht="15.75" customHeight="1" x14ac:dyDescent="0.3">
      <c r="E448" s="9"/>
      <c r="F448" s="9"/>
      <c r="H448" s="9"/>
    </row>
    <row r="449" spans="5:8" ht="15.75" customHeight="1" x14ac:dyDescent="0.3">
      <c r="E449" s="9"/>
      <c r="F449" s="9"/>
      <c r="H449" s="9"/>
    </row>
    <row r="450" spans="5:8" ht="15.75" customHeight="1" x14ac:dyDescent="0.3">
      <c r="E450" s="9"/>
      <c r="F450" s="9"/>
      <c r="H450" s="9"/>
    </row>
    <row r="451" spans="5:8" ht="15.75" customHeight="1" x14ac:dyDescent="0.3">
      <c r="E451" s="9"/>
      <c r="F451" s="9"/>
      <c r="H451" s="9"/>
    </row>
    <row r="452" spans="5:8" ht="15.75" customHeight="1" x14ac:dyDescent="0.3">
      <c r="E452" s="9"/>
      <c r="F452" s="9"/>
      <c r="H452" s="9"/>
    </row>
    <row r="453" spans="5:8" ht="15.75" customHeight="1" x14ac:dyDescent="0.3">
      <c r="E453" s="9"/>
      <c r="F453" s="9"/>
      <c r="H453" s="9"/>
    </row>
    <row r="454" spans="5:8" ht="15.75" customHeight="1" x14ac:dyDescent="0.3">
      <c r="E454" s="9"/>
      <c r="F454" s="9"/>
      <c r="H454" s="9"/>
    </row>
    <row r="455" spans="5:8" ht="15.75" customHeight="1" x14ac:dyDescent="0.3">
      <c r="E455" s="9"/>
      <c r="F455" s="9"/>
      <c r="H455" s="9"/>
    </row>
    <row r="456" spans="5:8" ht="15.75" customHeight="1" x14ac:dyDescent="0.3">
      <c r="E456" s="9"/>
      <c r="F456" s="9"/>
      <c r="H456" s="9"/>
    </row>
    <row r="457" spans="5:8" ht="15.75" customHeight="1" x14ac:dyDescent="0.3">
      <c r="E457" s="9"/>
      <c r="F457" s="9"/>
      <c r="H457" s="9"/>
    </row>
    <row r="458" spans="5:8" ht="15.75" customHeight="1" x14ac:dyDescent="0.3">
      <c r="E458" s="9"/>
      <c r="F458" s="9"/>
      <c r="H458" s="9"/>
    </row>
    <row r="459" spans="5:8" ht="15.75" customHeight="1" x14ac:dyDescent="0.3">
      <c r="E459" s="9"/>
      <c r="F459" s="9"/>
      <c r="H459" s="9"/>
    </row>
    <row r="460" spans="5:8" ht="15.75" customHeight="1" x14ac:dyDescent="0.3">
      <c r="E460" s="9"/>
      <c r="F460" s="9"/>
      <c r="H460" s="9"/>
    </row>
    <row r="461" spans="5:8" ht="15.75" customHeight="1" x14ac:dyDescent="0.3">
      <c r="E461" s="9"/>
      <c r="F461" s="9"/>
      <c r="H461" s="9"/>
    </row>
    <row r="462" spans="5:8" ht="15.75" customHeight="1" x14ac:dyDescent="0.3">
      <c r="E462" s="9"/>
      <c r="F462" s="9"/>
      <c r="H462" s="9"/>
    </row>
    <row r="463" spans="5:8" ht="15.75" customHeight="1" x14ac:dyDescent="0.3">
      <c r="E463" s="9"/>
      <c r="F463" s="9"/>
      <c r="H463" s="9"/>
    </row>
    <row r="464" spans="5:8" ht="15.75" customHeight="1" x14ac:dyDescent="0.3">
      <c r="E464" s="9"/>
      <c r="F464" s="9"/>
      <c r="H464" s="9"/>
    </row>
    <row r="465" spans="5:8" ht="15.75" customHeight="1" x14ac:dyDescent="0.3">
      <c r="E465" s="9"/>
      <c r="F465" s="9"/>
      <c r="H465" s="9"/>
    </row>
    <row r="466" spans="5:8" ht="15.75" customHeight="1" x14ac:dyDescent="0.3">
      <c r="E466" s="9"/>
      <c r="F466" s="9"/>
      <c r="H466" s="9"/>
    </row>
    <row r="467" spans="5:8" ht="15.75" customHeight="1" x14ac:dyDescent="0.3">
      <c r="E467" s="9"/>
      <c r="F467" s="9"/>
      <c r="H467" s="9"/>
    </row>
    <row r="468" spans="5:8" ht="15.75" customHeight="1" x14ac:dyDescent="0.3">
      <c r="E468" s="9"/>
      <c r="F468" s="9"/>
      <c r="H468" s="9"/>
    </row>
    <row r="469" spans="5:8" ht="15.75" customHeight="1" x14ac:dyDescent="0.3">
      <c r="E469" s="9"/>
      <c r="F469" s="9"/>
      <c r="H469" s="9"/>
    </row>
    <row r="470" spans="5:8" ht="15.75" customHeight="1" x14ac:dyDescent="0.3">
      <c r="E470" s="9"/>
      <c r="F470" s="9"/>
      <c r="H470" s="9"/>
    </row>
    <row r="471" spans="5:8" ht="15.75" customHeight="1" x14ac:dyDescent="0.3">
      <c r="E471" s="9"/>
      <c r="F471" s="9"/>
      <c r="H471" s="9"/>
    </row>
    <row r="472" spans="5:8" ht="15.75" customHeight="1" x14ac:dyDescent="0.3">
      <c r="E472" s="9"/>
      <c r="F472" s="9"/>
      <c r="H472" s="9"/>
    </row>
    <row r="473" spans="5:8" ht="15.75" customHeight="1" x14ac:dyDescent="0.3">
      <c r="E473" s="9"/>
      <c r="F473" s="9"/>
      <c r="H473" s="9"/>
    </row>
    <row r="474" spans="5:8" ht="15.75" customHeight="1" x14ac:dyDescent="0.3">
      <c r="E474" s="9"/>
      <c r="F474" s="9"/>
      <c r="H474" s="9"/>
    </row>
    <row r="475" spans="5:8" ht="15.75" customHeight="1" x14ac:dyDescent="0.3">
      <c r="E475" s="9"/>
      <c r="F475" s="9"/>
      <c r="H475" s="9"/>
    </row>
    <row r="476" spans="5:8" ht="15.75" customHeight="1" x14ac:dyDescent="0.3">
      <c r="E476" s="9"/>
      <c r="F476" s="9"/>
      <c r="H476" s="9"/>
    </row>
    <row r="477" spans="5:8" ht="15.75" customHeight="1" x14ac:dyDescent="0.3">
      <c r="E477" s="9"/>
      <c r="F477" s="9"/>
      <c r="H477" s="9"/>
    </row>
    <row r="478" spans="5:8" ht="15.75" customHeight="1" x14ac:dyDescent="0.3">
      <c r="E478" s="9"/>
      <c r="F478" s="9"/>
      <c r="H478" s="9"/>
    </row>
    <row r="479" spans="5:8" ht="15.75" customHeight="1" x14ac:dyDescent="0.3">
      <c r="E479" s="9"/>
      <c r="F479" s="9"/>
      <c r="H479" s="9"/>
    </row>
    <row r="480" spans="5:8" ht="15.75" customHeight="1" x14ac:dyDescent="0.3">
      <c r="E480" s="9"/>
      <c r="F480" s="9"/>
      <c r="H480" s="9"/>
    </row>
    <row r="481" spans="5:8" ht="15.75" customHeight="1" x14ac:dyDescent="0.3">
      <c r="E481" s="9"/>
      <c r="F481" s="9"/>
      <c r="H481" s="9"/>
    </row>
    <row r="482" spans="5:8" ht="15.75" customHeight="1" x14ac:dyDescent="0.3">
      <c r="E482" s="9"/>
      <c r="F482" s="9"/>
      <c r="H482" s="9"/>
    </row>
    <row r="483" spans="5:8" ht="15.75" customHeight="1" x14ac:dyDescent="0.3">
      <c r="E483" s="9"/>
      <c r="F483" s="9"/>
      <c r="H483" s="9"/>
    </row>
    <row r="484" spans="5:8" ht="15.75" customHeight="1" x14ac:dyDescent="0.3">
      <c r="E484" s="9"/>
      <c r="F484" s="9"/>
      <c r="H484" s="9"/>
    </row>
    <row r="485" spans="5:8" ht="15.75" customHeight="1" x14ac:dyDescent="0.3">
      <c r="E485" s="9"/>
      <c r="F485" s="9"/>
      <c r="H485" s="9"/>
    </row>
    <row r="486" spans="5:8" ht="15.75" customHeight="1" x14ac:dyDescent="0.3">
      <c r="E486" s="9"/>
      <c r="F486" s="9"/>
      <c r="H486" s="9"/>
    </row>
    <row r="487" spans="5:8" ht="15.75" customHeight="1" x14ac:dyDescent="0.3">
      <c r="E487" s="9"/>
      <c r="F487" s="9"/>
      <c r="H487" s="9"/>
    </row>
    <row r="488" spans="5:8" ht="15.75" customHeight="1" x14ac:dyDescent="0.3">
      <c r="E488" s="9"/>
      <c r="F488" s="9"/>
      <c r="H488" s="9"/>
    </row>
    <row r="489" spans="5:8" ht="15.75" customHeight="1" x14ac:dyDescent="0.3">
      <c r="E489" s="9"/>
      <c r="F489" s="9"/>
      <c r="H489" s="9"/>
    </row>
    <row r="490" spans="5:8" ht="15.75" customHeight="1" x14ac:dyDescent="0.3">
      <c r="E490" s="9"/>
      <c r="F490" s="9"/>
      <c r="H490" s="9"/>
    </row>
    <row r="491" spans="5:8" ht="15.75" customHeight="1" x14ac:dyDescent="0.3">
      <c r="E491" s="9"/>
      <c r="F491" s="9"/>
      <c r="H491" s="9"/>
    </row>
    <row r="492" spans="5:8" ht="15.75" customHeight="1" x14ac:dyDescent="0.3">
      <c r="E492" s="9"/>
      <c r="F492" s="9"/>
      <c r="H492" s="9"/>
    </row>
    <row r="493" spans="5:8" ht="15.75" customHeight="1" x14ac:dyDescent="0.3">
      <c r="E493" s="9"/>
      <c r="F493" s="9"/>
      <c r="H493" s="9"/>
    </row>
    <row r="494" spans="5:8" ht="15.75" customHeight="1" x14ac:dyDescent="0.3">
      <c r="E494" s="9"/>
      <c r="F494" s="9"/>
      <c r="H494" s="9"/>
    </row>
    <row r="495" spans="5:8" ht="15.75" customHeight="1" x14ac:dyDescent="0.3">
      <c r="E495" s="9"/>
      <c r="F495" s="9"/>
      <c r="H495" s="9"/>
    </row>
    <row r="496" spans="5:8" ht="15.75" customHeight="1" x14ac:dyDescent="0.3">
      <c r="E496" s="9"/>
      <c r="F496" s="9"/>
      <c r="H496" s="9"/>
    </row>
    <row r="497" spans="5:8" ht="15.75" customHeight="1" x14ac:dyDescent="0.3">
      <c r="E497" s="9"/>
      <c r="F497" s="9"/>
      <c r="H497" s="9"/>
    </row>
    <row r="498" spans="5:8" ht="15.75" customHeight="1" x14ac:dyDescent="0.3">
      <c r="E498" s="9"/>
      <c r="F498" s="9"/>
      <c r="H498" s="9"/>
    </row>
    <row r="499" spans="5:8" ht="15.75" customHeight="1" x14ac:dyDescent="0.3">
      <c r="E499" s="9"/>
      <c r="F499" s="9"/>
      <c r="H499" s="9"/>
    </row>
    <row r="500" spans="5:8" ht="15.75" customHeight="1" x14ac:dyDescent="0.3">
      <c r="E500" s="9"/>
      <c r="F500" s="9"/>
      <c r="H500" s="9"/>
    </row>
    <row r="501" spans="5:8" ht="15.75" customHeight="1" x14ac:dyDescent="0.3">
      <c r="E501" s="9"/>
      <c r="F501" s="9"/>
      <c r="H501" s="9"/>
    </row>
    <row r="502" spans="5:8" ht="15.75" customHeight="1" x14ac:dyDescent="0.3">
      <c r="E502" s="9"/>
      <c r="F502" s="9"/>
      <c r="H502" s="9"/>
    </row>
    <row r="503" spans="5:8" ht="15.75" customHeight="1" x14ac:dyDescent="0.3">
      <c r="E503" s="9"/>
      <c r="F503" s="9"/>
      <c r="H503" s="9"/>
    </row>
    <row r="504" spans="5:8" ht="15.75" customHeight="1" x14ac:dyDescent="0.3">
      <c r="E504" s="9"/>
      <c r="F504" s="9"/>
      <c r="H504" s="9"/>
    </row>
    <row r="505" spans="5:8" ht="15.75" customHeight="1" x14ac:dyDescent="0.3">
      <c r="E505" s="9"/>
      <c r="F505" s="9"/>
      <c r="H505" s="9"/>
    </row>
    <row r="506" spans="5:8" ht="15.75" customHeight="1" x14ac:dyDescent="0.3">
      <c r="E506" s="9"/>
      <c r="F506" s="9"/>
      <c r="H506" s="9"/>
    </row>
    <row r="507" spans="5:8" ht="15.75" customHeight="1" x14ac:dyDescent="0.3">
      <c r="E507" s="9"/>
      <c r="F507" s="9"/>
      <c r="H507" s="9"/>
    </row>
    <row r="508" spans="5:8" ht="15.75" customHeight="1" x14ac:dyDescent="0.3">
      <c r="E508" s="9"/>
      <c r="F508" s="9"/>
      <c r="H508" s="9"/>
    </row>
    <row r="509" spans="5:8" ht="15.75" customHeight="1" x14ac:dyDescent="0.3">
      <c r="E509" s="9"/>
      <c r="F509" s="9"/>
      <c r="H509" s="9"/>
    </row>
    <row r="510" spans="5:8" ht="15.75" customHeight="1" x14ac:dyDescent="0.3">
      <c r="E510" s="9"/>
      <c r="F510" s="9"/>
      <c r="H510" s="9"/>
    </row>
    <row r="511" spans="5:8" ht="15.75" customHeight="1" x14ac:dyDescent="0.3">
      <c r="E511" s="9"/>
      <c r="F511" s="9"/>
      <c r="H511" s="9"/>
    </row>
    <row r="512" spans="5:8" ht="15.75" customHeight="1" x14ac:dyDescent="0.3">
      <c r="E512" s="9"/>
      <c r="F512" s="9"/>
      <c r="H512" s="9"/>
    </row>
    <row r="513" spans="5:8" ht="15.75" customHeight="1" x14ac:dyDescent="0.3">
      <c r="E513" s="9"/>
      <c r="F513" s="9"/>
      <c r="H513" s="9"/>
    </row>
    <row r="514" spans="5:8" ht="15.75" customHeight="1" x14ac:dyDescent="0.3">
      <c r="E514" s="9"/>
      <c r="F514" s="9"/>
      <c r="H514" s="9"/>
    </row>
    <row r="515" spans="5:8" ht="15.75" customHeight="1" x14ac:dyDescent="0.3">
      <c r="E515" s="9"/>
      <c r="F515" s="9"/>
      <c r="H515" s="9"/>
    </row>
    <row r="516" spans="5:8" ht="15.75" customHeight="1" x14ac:dyDescent="0.3">
      <c r="E516" s="9"/>
      <c r="F516" s="9"/>
      <c r="H516" s="9"/>
    </row>
    <row r="517" spans="5:8" ht="15.75" customHeight="1" x14ac:dyDescent="0.3">
      <c r="E517" s="9"/>
      <c r="F517" s="9"/>
      <c r="H517" s="9"/>
    </row>
    <row r="518" spans="5:8" ht="15.75" customHeight="1" x14ac:dyDescent="0.3">
      <c r="E518" s="9"/>
      <c r="F518" s="9"/>
      <c r="H518" s="9"/>
    </row>
    <row r="519" spans="5:8" ht="15.75" customHeight="1" x14ac:dyDescent="0.3">
      <c r="E519" s="9"/>
      <c r="F519" s="9"/>
      <c r="H519" s="9"/>
    </row>
    <row r="520" spans="5:8" ht="15.75" customHeight="1" x14ac:dyDescent="0.3">
      <c r="E520" s="9"/>
      <c r="F520" s="9"/>
      <c r="H520" s="9"/>
    </row>
    <row r="521" spans="5:8" ht="15.75" customHeight="1" x14ac:dyDescent="0.3">
      <c r="E521" s="9"/>
      <c r="F521" s="9"/>
      <c r="H521" s="9"/>
    </row>
    <row r="522" spans="5:8" ht="15.75" customHeight="1" x14ac:dyDescent="0.3">
      <c r="E522" s="9"/>
      <c r="F522" s="9"/>
      <c r="H522" s="9"/>
    </row>
    <row r="523" spans="5:8" ht="15.75" customHeight="1" x14ac:dyDescent="0.3">
      <c r="E523" s="9"/>
      <c r="F523" s="9"/>
      <c r="H523" s="9"/>
    </row>
    <row r="524" spans="5:8" ht="15.75" customHeight="1" x14ac:dyDescent="0.3">
      <c r="E524" s="9"/>
      <c r="F524" s="9"/>
      <c r="H524" s="9"/>
    </row>
    <row r="525" spans="5:8" ht="15.75" customHeight="1" x14ac:dyDescent="0.3">
      <c r="E525" s="9"/>
      <c r="F525" s="9"/>
      <c r="H525" s="9"/>
    </row>
    <row r="526" spans="5:8" ht="15.75" customHeight="1" x14ac:dyDescent="0.3">
      <c r="E526" s="9"/>
      <c r="F526" s="9"/>
      <c r="H526" s="9"/>
    </row>
    <row r="527" spans="5:8" ht="15.75" customHeight="1" x14ac:dyDescent="0.3">
      <c r="E527" s="9"/>
      <c r="F527" s="9"/>
      <c r="H527" s="9"/>
    </row>
    <row r="528" spans="5:8" ht="15.75" customHeight="1" x14ac:dyDescent="0.3">
      <c r="E528" s="9"/>
      <c r="F528" s="9"/>
      <c r="H528" s="9"/>
    </row>
    <row r="529" spans="5:8" ht="15.75" customHeight="1" x14ac:dyDescent="0.3">
      <c r="E529" s="9"/>
      <c r="F529" s="9"/>
      <c r="H529" s="9"/>
    </row>
    <row r="530" spans="5:8" ht="15.75" customHeight="1" x14ac:dyDescent="0.3">
      <c r="E530" s="9"/>
      <c r="F530" s="9"/>
      <c r="H530" s="9"/>
    </row>
    <row r="531" spans="5:8" ht="15.75" customHeight="1" x14ac:dyDescent="0.3">
      <c r="E531" s="9"/>
      <c r="F531" s="9"/>
      <c r="H531" s="9"/>
    </row>
    <row r="532" spans="5:8" ht="15.75" customHeight="1" x14ac:dyDescent="0.3">
      <c r="E532" s="9"/>
      <c r="F532" s="9"/>
      <c r="H532" s="9"/>
    </row>
    <row r="533" spans="5:8" ht="15.75" customHeight="1" x14ac:dyDescent="0.3">
      <c r="E533" s="9"/>
      <c r="F533" s="9"/>
      <c r="H533" s="9"/>
    </row>
    <row r="534" spans="5:8" ht="15.75" customHeight="1" x14ac:dyDescent="0.3">
      <c r="E534" s="9"/>
      <c r="F534" s="9"/>
      <c r="H534" s="9"/>
    </row>
    <row r="535" spans="5:8" ht="15.75" customHeight="1" x14ac:dyDescent="0.3">
      <c r="E535" s="9"/>
      <c r="F535" s="9"/>
      <c r="H535" s="9"/>
    </row>
    <row r="536" spans="5:8" ht="15.75" customHeight="1" x14ac:dyDescent="0.3">
      <c r="E536" s="9"/>
      <c r="F536" s="9"/>
      <c r="H536" s="9"/>
    </row>
    <row r="537" spans="5:8" ht="15.75" customHeight="1" x14ac:dyDescent="0.3">
      <c r="E537" s="9"/>
      <c r="F537" s="9"/>
      <c r="H537" s="9"/>
    </row>
    <row r="538" spans="5:8" ht="15.75" customHeight="1" x14ac:dyDescent="0.3">
      <c r="E538" s="9"/>
      <c r="F538" s="9"/>
      <c r="H538" s="9"/>
    </row>
    <row r="539" spans="5:8" ht="15.75" customHeight="1" x14ac:dyDescent="0.3">
      <c r="E539" s="9"/>
      <c r="F539" s="9"/>
      <c r="H539" s="9"/>
    </row>
    <row r="540" spans="5:8" ht="15.75" customHeight="1" x14ac:dyDescent="0.3">
      <c r="E540" s="9"/>
      <c r="F540" s="9"/>
      <c r="H540" s="9"/>
    </row>
    <row r="541" spans="5:8" ht="15.75" customHeight="1" x14ac:dyDescent="0.3">
      <c r="E541" s="9"/>
      <c r="F541" s="9"/>
      <c r="H541" s="9"/>
    </row>
    <row r="542" spans="5:8" ht="15.75" customHeight="1" x14ac:dyDescent="0.3">
      <c r="E542" s="9"/>
      <c r="F542" s="9"/>
      <c r="H542" s="9"/>
    </row>
    <row r="543" spans="5:8" ht="15.75" customHeight="1" x14ac:dyDescent="0.3">
      <c r="E543" s="9"/>
      <c r="F543" s="9"/>
      <c r="H543" s="9"/>
    </row>
    <row r="544" spans="5:8" ht="15.75" customHeight="1" x14ac:dyDescent="0.3">
      <c r="E544" s="9"/>
      <c r="F544" s="9"/>
      <c r="H544" s="9"/>
    </row>
    <row r="545" spans="5:8" ht="15.75" customHeight="1" x14ac:dyDescent="0.3">
      <c r="E545" s="9"/>
      <c r="F545" s="9"/>
      <c r="H545" s="9"/>
    </row>
    <row r="546" spans="5:8" ht="15.75" customHeight="1" x14ac:dyDescent="0.3">
      <c r="E546" s="9"/>
      <c r="F546" s="9"/>
      <c r="H546" s="9"/>
    </row>
    <row r="547" spans="5:8" ht="15.75" customHeight="1" x14ac:dyDescent="0.3">
      <c r="E547" s="9"/>
      <c r="F547" s="9"/>
      <c r="H547" s="9"/>
    </row>
    <row r="548" spans="5:8" ht="15.75" customHeight="1" x14ac:dyDescent="0.3">
      <c r="E548" s="9"/>
      <c r="F548" s="9"/>
      <c r="H548" s="9"/>
    </row>
    <row r="549" spans="5:8" ht="15.75" customHeight="1" x14ac:dyDescent="0.3">
      <c r="E549" s="9"/>
      <c r="F549" s="9"/>
      <c r="H549" s="9"/>
    </row>
    <row r="550" spans="5:8" ht="15.75" customHeight="1" x14ac:dyDescent="0.3">
      <c r="E550" s="9"/>
      <c r="F550" s="9"/>
      <c r="H550" s="9"/>
    </row>
    <row r="551" spans="5:8" ht="15.75" customHeight="1" x14ac:dyDescent="0.3">
      <c r="E551" s="9"/>
      <c r="F551" s="9"/>
      <c r="H551" s="9"/>
    </row>
    <row r="552" spans="5:8" ht="15.75" customHeight="1" x14ac:dyDescent="0.3">
      <c r="E552" s="9"/>
      <c r="F552" s="9"/>
      <c r="H552" s="9"/>
    </row>
    <row r="553" spans="5:8" ht="15.75" customHeight="1" x14ac:dyDescent="0.3">
      <c r="E553" s="9"/>
      <c r="F553" s="9"/>
      <c r="H553" s="9"/>
    </row>
    <row r="554" spans="5:8" ht="15.75" customHeight="1" x14ac:dyDescent="0.3">
      <c r="E554" s="9"/>
      <c r="F554" s="9"/>
      <c r="H554" s="9"/>
    </row>
    <row r="555" spans="5:8" ht="15.75" customHeight="1" x14ac:dyDescent="0.3">
      <c r="E555" s="9"/>
      <c r="F555" s="9"/>
      <c r="H555" s="9"/>
    </row>
    <row r="556" spans="5:8" ht="15.75" customHeight="1" x14ac:dyDescent="0.3">
      <c r="E556" s="9"/>
      <c r="F556" s="9"/>
      <c r="H556" s="9"/>
    </row>
    <row r="557" spans="5:8" ht="15.75" customHeight="1" x14ac:dyDescent="0.3">
      <c r="E557" s="9"/>
      <c r="F557" s="9"/>
      <c r="H557" s="9"/>
    </row>
    <row r="558" spans="5:8" ht="15.75" customHeight="1" x14ac:dyDescent="0.3">
      <c r="E558" s="9"/>
      <c r="F558" s="9"/>
      <c r="H558" s="9"/>
    </row>
    <row r="559" spans="5:8" ht="15.75" customHeight="1" x14ac:dyDescent="0.3">
      <c r="E559" s="9"/>
      <c r="F559" s="9"/>
      <c r="H559" s="9"/>
    </row>
    <row r="560" spans="5:8" ht="15.75" customHeight="1" x14ac:dyDescent="0.3">
      <c r="E560" s="9"/>
      <c r="F560" s="9"/>
      <c r="H560" s="9"/>
    </row>
    <row r="561" spans="5:8" ht="15.75" customHeight="1" x14ac:dyDescent="0.3">
      <c r="E561" s="9"/>
      <c r="F561" s="9"/>
      <c r="H561" s="9"/>
    </row>
    <row r="562" spans="5:8" ht="15.75" customHeight="1" x14ac:dyDescent="0.3">
      <c r="E562" s="9"/>
      <c r="F562" s="9"/>
      <c r="H562" s="9"/>
    </row>
    <row r="563" spans="5:8" ht="15.75" customHeight="1" x14ac:dyDescent="0.3">
      <c r="E563" s="9"/>
      <c r="F563" s="9"/>
      <c r="H563" s="9"/>
    </row>
    <row r="564" spans="5:8" ht="15.75" customHeight="1" x14ac:dyDescent="0.3">
      <c r="E564" s="9"/>
      <c r="F564" s="9"/>
      <c r="H564" s="9"/>
    </row>
    <row r="565" spans="5:8" ht="15.75" customHeight="1" x14ac:dyDescent="0.3">
      <c r="E565" s="9"/>
      <c r="F565" s="9"/>
      <c r="H565" s="9"/>
    </row>
    <row r="566" spans="5:8" ht="15.75" customHeight="1" x14ac:dyDescent="0.3">
      <c r="E566" s="9"/>
      <c r="F566" s="9"/>
      <c r="H566" s="9"/>
    </row>
    <row r="567" spans="5:8" ht="15.75" customHeight="1" x14ac:dyDescent="0.3">
      <c r="E567" s="9"/>
      <c r="F567" s="9"/>
      <c r="H567" s="9"/>
    </row>
    <row r="568" spans="5:8" ht="15.75" customHeight="1" x14ac:dyDescent="0.3">
      <c r="E568" s="9"/>
      <c r="F568" s="9"/>
      <c r="H568" s="9"/>
    </row>
    <row r="569" spans="5:8" ht="15.75" customHeight="1" x14ac:dyDescent="0.3">
      <c r="E569" s="9"/>
      <c r="F569" s="9"/>
      <c r="H569" s="9"/>
    </row>
    <row r="570" spans="5:8" ht="15.75" customHeight="1" x14ac:dyDescent="0.3">
      <c r="E570" s="9"/>
      <c r="F570" s="9"/>
      <c r="H570" s="9"/>
    </row>
    <row r="571" spans="5:8" ht="15.75" customHeight="1" x14ac:dyDescent="0.3">
      <c r="E571" s="9"/>
      <c r="F571" s="9"/>
      <c r="H571" s="9"/>
    </row>
    <row r="572" spans="5:8" ht="15.75" customHeight="1" x14ac:dyDescent="0.3">
      <c r="E572" s="9"/>
      <c r="F572" s="9"/>
      <c r="H572" s="9"/>
    </row>
    <row r="573" spans="5:8" ht="15.75" customHeight="1" x14ac:dyDescent="0.3">
      <c r="E573" s="9"/>
      <c r="F573" s="9"/>
      <c r="H573" s="9"/>
    </row>
    <row r="574" spans="5:8" ht="15.75" customHeight="1" x14ac:dyDescent="0.3">
      <c r="E574" s="9"/>
      <c r="F574" s="9"/>
      <c r="H574" s="9"/>
    </row>
    <row r="575" spans="5:8" ht="15.75" customHeight="1" x14ac:dyDescent="0.3">
      <c r="E575" s="9"/>
      <c r="F575" s="9"/>
      <c r="H575" s="9"/>
    </row>
    <row r="576" spans="5:8" ht="15.75" customHeight="1" x14ac:dyDescent="0.3">
      <c r="E576" s="9"/>
      <c r="F576" s="9"/>
      <c r="H576" s="9"/>
    </row>
    <row r="577" spans="5:8" ht="15.75" customHeight="1" x14ac:dyDescent="0.3">
      <c r="E577" s="9"/>
      <c r="F577" s="9"/>
      <c r="H577" s="9"/>
    </row>
    <row r="578" spans="5:8" ht="15.75" customHeight="1" x14ac:dyDescent="0.3">
      <c r="E578" s="9"/>
      <c r="F578" s="9"/>
      <c r="H578" s="9"/>
    </row>
    <row r="579" spans="5:8" ht="15.75" customHeight="1" x14ac:dyDescent="0.3">
      <c r="E579" s="9"/>
      <c r="F579" s="9"/>
      <c r="H579" s="9"/>
    </row>
    <row r="580" spans="5:8" ht="15.75" customHeight="1" x14ac:dyDescent="0.3">
      <c r="E580" s="9"/>
      <c r="F580" s="9"/>
      <c r="H580" s="9"/>
    </row>
    <row r="581" spans="5:8" ht="15.75" customHeight="1" x14ac:dyDescent="0.3">
      <c r="E581" s="9"/>
      <c r="F581" s="9"/>
      <c r="H581" s="9"/>
    </row>
    <row r="582" spans="5:8" ht="15.75" customHeight="1" x14ac:dyDescent="0.3">
      <c r="E582" s="9"/>
      <c r="F582" s="9"/>
      <c r="H582" s="9"/>
    </row>
    <row r="583" spans="5:8" ht="15.75" customHeight="1" x14ac:dyDescent="0.3">
      <c r="E583" s="9"/>
      <c r="F583" s="9"/>
      <c r="H583" s="9"/>
    </row>
    <row r="584" spans="5:8" ht="15.75" customHeight="1" x14ac:dyDescent="0.3">
      <c r="E584" s="9"/>
      <c r="F584" s="9"/>
      <c r="H584" s="9"/>
    </row>
    <row r="585" spans="5:8" ht="15.75" customHeight="1" x14ac:dyDescent="0.3">
      <c r="E585" s="9"/>
      <c r="F585" s="9"/>
      <c r="H585" s="9"/>
    </row>
    <row r="586" spans="5:8" ht="15.75" customHeight="1" x14ac:dyDescent="0.3">
      <c r="E586" s="9"/>
      <c r="F586" s="9"/>
      <c r="H586" s="9"/>
    </row>
    <row r="587" spans="5:8" ht="15.75" customHeight="1" x14ac:dyDescent="0.3">
      <c r="E587" s="9"/>
      <c r="F587" s="9"/>
      <c r="H587" s="9"/>
    </row>
    <row r="588" spans="5:8" ht="15.75" customHeight="1" x14ac:dyDescent="0.3">
      <c r="E588" s="9"/>
      <c r="F588" s="9"/>
      <c r="H588" s="9"/>
    </row>
    <row r="589" spans="5:8" ht="15.75" customHeight="1" x14ac:dyDescent="0.3">
      <c r="E589" s="9"/>
      <c r="F589" s="9"/>
      <c r="H589" s="9"/>
    </row>
    <row r="590" spans="5:8" ht="15.75" customHeight="1" x14ac:dyDescent="0.3">
      <c r="E590" s="9"/>
      <c r="F590" s="9"/>
      <c r="H590" s="9"/>
    </row>
    <row r="591" spans="5:8" ht="15.75" customHeight="1" x14ac:dyDescent="0.3">
      <c r="E591" s="9"/>
      <c r="F591" s="9"/>
      <c r="H591" s="9"/>
    </row>
    <row r="592" spans="5:8" ht="15.75" customHeight="1" x14ac:dyDescent="0.3">
      <c r="E592" s="9"/>
      <c r="F592" s="9"/>
      <c r="H592" s="9"/>
    </row>
    <row r="593" spans="5:8" ht="15.75" customHeight="1" x14ac:dyDescent="0.3">
      <c r="E593" s="9"/>
      <c r="F593" s="9"/>
      <c r="H593" s="9"/>
    </row>
    <row r="594" spans="5:8" ht="15.75" customHeight="1" x14ac:dyDescent="0.3">
      <c r="E594" s="9"/>
      <c r="F594" s="9"/>
      <c r="H594" s="9"/>
    </row>
    <row r="595" spans="5:8" ht="15.75" customHeight="1" x14ac:dyDescent="0.3">
      <c r="E595" s="9"/>
      <c r="F595" s="9"/>
      <c r="H595" s="9"/>
    </row>
    <row r="596" spans="5:8" ht="15.75" customHeight="1" x14ac:dyDescent="0.3">
      <c r="E596" s="9"/>
      <c r="F596" s="9"/>
      <c r="H596" s="9"/>
    </row>
    <row r="597" spans="5:8" ht="15.75" customHeight="1" x14ac:dyDescent="0.3">
      <c r="E597" s="9"/>
      <c r="F597" s="9"/>
      <c r="H597" s="9"/>
    </row>
    <row r="598" spans="5:8" ht="15.75" customHeight="1" x14ac:dyDescent="0.3">
      <c r="E598" s="9"/>
      <c r="F598" s="9"/>
      <c r="H598" s="9"/>
    </row>
    <row r="599" spans="5:8" ht="15.75" customHeight="1" x14ac:dyDescent="0.3">
      <c r="E599" s="9"/>
      <c r="F599" s="9"/>
      <c r="H599" s="9"/>
    </row>
    <row r="600" spans="5:8" ht="15.75" customHeight="1" x14ac:dyDescent="0.3">
      <c r="E600" s="9"/>
      <c r="F600" s="9"/>
      <c r="H600" s="9"/>
    </row>
    <row r="601" spans="5:8" ht="15.75" customHeight="1" x14ac:dyDescent="0.3">
      <c r="E601" s="9"/>
      <c r="F601" s="9"/>
      <c r="H601" s="9"/>
    </row>
    <row r="602" spans="5:8" ht="15.75" customHeight="1" x14ac:dyDescent="0.3">
      <c r="E602" s="9"/>
      <c r="F602" s="9"/>
      <c r="H602" s="9"/>
    </row>
    <row r="603" spans="5:8" ht="15.75" customHeight="1" x14ac:dyDescent="0.3">
      <c r="E603" s="9"/>
      <c r="F603" s="9"/>
      <c r="H603" s="9"/>
    </row>
    <row r="604" spans="5:8" ht="15.75" customHeight="1" x14ac:dyDescent="0.3">
      <c r="E604" s="9"/>
      <c r="F604" s="9"/>
      <c r="H604" s="9"/>
    </row>
    <row r="605" spans="5:8" ht="15.75" customHeight="1" x14ac:dyDescent="0.3">
      <c r="E605" s="9"/>
      <c r="F605" s="9"/>
      <c r="H605" s="9"/>
    </row>
    <row r="606" spans="5:8" ht="15.75" customHeight="1" x14ac:dyDescent="0.3">
      <c r="E606" s="9"/>
      <c r="F606" s="9"/>
      <c r="H606" s="9"/>
    </row>
    <row r="607" spans="5:8" ht="15.75" customHeight="1" x14ac:dyDescent="0.3">
      <c r="E607" s="9"/>
      <c r="F607" s="9"/>
      <c r="H607" s="9"/>
    </row>
    <row r="608" spans="5:8" ht="15.75" customHeight="1" x14ac:dyDescent="0.3">
      <c r="E608" s="9"/>
      <c r="F608" s="9"/>
      <c r="H608" s="9"/>
    </row>
    <row r="609" spans="5:8" ht="15.75" customHeight="1" x14ac:dyDescent="0.3">
      <c r="E609" s="9"/>
      <c r="F609" s="9"/>
      <c r="H609" s="9"/>
    </row>
    <row r="610" spans="5:8" ht="15.75" customHeight="1" x14ac:dyDescent="0.3">
      <c r="E610" s="9"/>
      <c r="F610" s="9"/>
      <c r="H610" s="9"/>
    </row>
    <row r="611" spans="5:8" ht="15.75" customHeight="1" x14ac:dyDescent="0.3">
      <c r="E611" s="9"/>
      <c r="F611" s="9"/>
      <c r="H611" s="9"/>
    </row>
    <row r="612" spans="5:8" ht="15.75" customHeight="1" x14ac:dyDescent="0.3">
      <c r="E612" s="9"/>
      <c r="F612" s="9"/>
      <c r="H612" s="9"/>
    </row>
    <row r="613" spans="5:8" ht="15.75" customHeight="1" x14ac:dyDescent="0.3">
      <c r="E613" s="9"/>
      <c r="F613" s="9"/>
      <c r="H613" s="9"/>
    </row>
    <row r="614" spans="5:8" ht="15.75" customHeight="1" x14ac:dyDescent="0.3">
      <c r="E614" s="9"/>
      <c r="F614" s="9"/>
      <c r="H614" s="9"/>
    </row>
    <row r="615" spans="5:8" ht="15.75" customHeight="1" x14ac:dyDescent="0.3">
      <c r="E615" s="9"/>
      <c r="F615" s="9"/>
      <c r="H615" s="9"/>
    </row>
    <row r="616" spans="5:8" ht="15.75" customHeight="1" x14ac:dyDescent="0.3">
      <c r="E616" s="9"/>
      <c r="F616" s="9"/>
      <c r="H616" s="9"/>
    </row>
    <row r="617" spans="5:8" ht="15.75" customHeight="1" x14ac:dyDescent="0.3">
      <c r="E617" s="9"/>
      <c r="F617" s="9"/>
      <c r="H617" s="9"/>
    </row>
    <row r="618" spans="5:8" ht="15.75" customHeight="1" x14ac:dyDescent="0.3">
      <c r="E618" s="9"/>
      <c r="F618" s="9"/>
      <c r="H618" s="9"/>
    </row>
    <row r="619" spans="5:8" ht="15.75" customHeight="1" x14ac:dyDescent="0.3">
      <c r="E619" s="9"/>
      <c r="F619" s="9"/>
      <c r="H619" s="9"/>
    </row>
    <row r="620" spans="5:8" ht="15.75" customHeight="1" x14ac:dyDescent="0.3">
      <c r="E620" s="9"/>
      <c r="F620" s="9"/>
      <c r="H620" s="9"/>
    </row>
    <row r="621" spans="5:8" ht="15.75" customHeight="1" x14ac:dyDescent="0.3">
      <c r="E621" s="9"/>
      <c r="F621" s="9"/>
      <c r="H621" s="9"/>
    </row>
    <row r="622" spans="5:8" ht="15.75" customHeight="1" x14ac:dyDescent="0.3">
      <c r="E622" s="9"/>
      <c r="F622" s="9"/>
      <c r="H622" s="9"/>
    </row>
    <row r="623" spans="5:8" ht="15.75" customHeight="1" x14ac:dyDescent="0.3">
      <c r="E623" s="9"/>
      <c r="F623" s="9"/>
      <c r="H623" s="9"/>
    </row>
    <row r="624" spans="5:8" ht="15.75" customHeight="1" x14ac:dyDescent="0.3">
      <c r="E624" s="9"/>
      <c r="F624" s="9"/>
      <c r="H624" s="9"/>
    </row>
    <row r="625" spans="5:8" ht="15.75" customHeight="1" x14ac:dyDescent="0.3">
      <c r="E625" s="9"/>
      <c r="F625" s="9"/>
      <c r="H625" s="9"/>
    </row>
    <row r="626" spans="5:8" ht="15.75" customHeight="1" x14ac:dyDescent="0.3">
      <c r="E626" s="9"/>
      <c r="F626" s="9"/>
      <c r="H626" s="9"/>
    </row>
    <row r="627" spans="5:8" ht="15.75" customHeight="1" x14ac:dyDescent="0.3">
      <c r="E627" s="9"/>
      <c r="F627" s="9"/>
      <c r="H627" s="9"/>
    </row>
    <row r="628" spans="5:8" ht="15.75" customHeight="1" x14ac:dyDescent="0.3">
      <c r="E628" s="9"/>
      <c r="F628" s="9"/>
      <c r="H628" s="9"/>
    </row>
    <row r="629" spans="5:8" ht="15.75" customHeight="1" x14ac:dyDescent="0.3">
      <c r="E629" s="9"/>
      <c r="F629" s="9"/>
      <c r="H629" s="9"/>
    </row>
    <row r="630" spans="5:8" ht="15.75" customHeight="1" x14ac:dyDescent="0.3">
      <c r="E630" s="9"/>
      <c r="F630" s="9"/>
      <c r="H630" s="9"/>
    </row>
    <row r="631" spans="5:8" ht="15.75" customHeight="1" x14ac:dyDescent="0.3">
      <c r="E631" s="9"/>
      <c r="F631" s="9"/>
      <c r="H631" s="9"/>
    </row>
    <row r="632" spans="5:8" ht="15.75" customHeight="1" x14ac:dyDescent="0.3">
      <c r="E632" s="9"/>
      <c r="F632" s="9"/>
      <c r="H632" s="9"/>
    </row>
    <row r="633" spans="5:8" ht="15.75" customHeight="1" x14ac:dyDescent="0.3">
      <c r="E633" s="9"/>
      <c r="F633" s="9"/>
      <c r="H633" s="9"/>
    </row>
    <row r="634" spans="5:8" ht="15.75" customHeight="1" x14ac:dyDescent="0.3">
      <c r="E634" s="9"/>
      <c r="F634" s="9"/>
      <c r="H634" s="9"/>
    </row>
    <row r="635" spans="5:8" ht="15.75" customHeight="1" x14ac:dyDescent="0.3">
      <c r="E635" s="9"/>
      <c r="F635" s="9"/>
      <c r="H635" s="9"/>
    </row>
    <row r="636" spans="5:8" ht="15.75" customHeight="1" x14ac:dyDescent="0.3">
      <c r="E636" s="9"/>
      <c r="F636" s="9"/>
      <c r="H636" s="9"/>
    </row>
    <row r="637" spans="5:8" ht="15.75" customHeight="1" x14ac:dyDescent="0.3">
      <c r="E637" s="9"/>
      <c r="F637" s="9"/>
      <c r="H637" s="9"/>
    </row>
    <row r="638" spans="5:8" ht="15.75" customHeight="1" x14ac:dyDescent="0.3">
      <c r="E638" s="9"/>
      <c r="F638" s="9"/>
      <c r="H638" s="9"/>
    </row>
    <row r="639" spans="5:8" ht="15.75" customHeight="1" x14ac:dyDescent="0.3">
      <c r="E639" s="9"/>
      <c r="F639" s="9"/>
      <c r="H639" s="9"/>
    </row>
    <row r="640" spans="5:8" ht="15.75" customHeight="1" x14ac:dyDescent="0.3">
      <c r="E640" s="9"/>
      <c r="F640" s="9"/>
      <c r="H640" s="9"/>
    </row>
    <row r="641" spans="5:8" ht="15.75" customHeight="1" x14ac:dyDescent="0.3">
      <c r="E641" s="9"/>
      <c r="F641" s="9"/>
      <c r="H641" s="9"/>
    </row>
    <row r="642" spans="5:8" ht="15.75" customHeight="1" x14ac:dyDescent="0.3">
      <c r="E642" s="9"/>
      <c r="F642" s="9"/>
      <c r="H642" s="9"/>
    </row>
    <row r="643" spans="5:8" ht="15.75" customHeight="1" x14ac:dyDescent="0.3">
      <c r="E643" s="9"/>
      <c r="F643" s="9"/>
      <c r="H643" s="9"/>
    </row>
    <row r="644" spans="5:8" ht="15.75" customHeight="1" x14ac:dyDescent="0.3">
      <c r="E644" s="9"/>
      <c r="F644" s="9"/>
      <c r="H644" s="9"/>
    </row>
    <row r="645" spans="5:8" ht="15.75" customHeight="1" x14ac:dyDescent="0.3">
      <c r="E645" s="9"/>
      <c r="F645" s="9"/>
      <c r="H645" s="9"/>
    </row>
    <row r="646" spans="5:8" ht="15.75" customHeight="1" x14ac:dyDescent="0.3">
      <c r="E646" s="9"/>
      <c r="F646" s="9"/>
      <c r="H646" s="9"/>
    </row>
    <row r="647" spans="5:8" ht="15.75" customHeight="1" x14ac:dyDescent="0.3">
      <c r="E647" s="9"/>
      <c r="F647" s="9"/>
      <c r="H647" s="9"/>
    </row>
    <row r="648" spans="5:8" ht="15.75" customHeight="1" x14ac:dyDescent="0.3">
      <c r="E648" s="9"/>
      <c r="F648" s="9"/>
      <c r="H648" s="9"/>
    </row>
    <row r="649" spans="5:8" ht="15.75" customHeight="1" x14ac:dyDescent="0.3">
      <c r="E649" s="9"/>
      <c r="F649" s="9"/>
      <c r="H649" s="9"/>
    </row>
    <row r="650" spans="5:8" ht="15.75" customHeight="1" x14ac:dyDescent="0.3">
      <c r="E650" s="9"/>
      <c r="F650" s="9"/>
      <c r="H650" s="9"/>
    </row>
    <row r="651" spans="5:8" ht="15.75" customHeight="1" x14ac:dyDescent="0.3">
      <c r="E651" s="9"/>
      <c r="F651" s="9"/>
      <c r="H651" s="9"/>
    </row>
    <row r="652" spans="5:8" ht="15.75" customHeight="1" x14ac:dyDescent="0.3">
      <c r="E652" s="9"/>
      <c r="F652" s="9"/>
      <c r="H652" s="9"/>
    </row>
    <row r="653" spans="5:8" ht="15.75" customHeight="1" x14ac:dyDescent="0.3">
      <c r="E653" s="9"/>
      <c r="F653" s="9"/>
      <c r="H653" s="9"/>
    </row>
    <row r="654" spans="5:8" ht="15.75" customHeight="1" x14ac:dyDescent="0.3">
      <c r="E654" s="9"/>
      <c r="F654" s="9"/>
      <c r="H654" s="9"/>
    </row>
    <row r="655" spans="5:8" ht="15.75" customHeight="1" x14ac:dyDescent="0.3">
      <c r="E655" s="9"/>
      <c r="F655" s="9"/>
      <c r="H655" s="9"/>
    </row>
    <row r="656" spans="5:8" ht="15.75" customHeight="1" x14ac:dyDescent="0.3">
      <c r="E656" s="9"/>
      <c r="F656" s="9"/>
      <c r="H656" s="9"/>
    </row>
    <row r="657" spans="5:8" ht="15.75" customHeight="1" x14ac:dyDescent="0.3">
      <c r="E657" s="9"/>
      <c r="F657" s="9"/>
      <c r="H657" s="9"/>
    </row>
    <row r="658" spans="5:8" ht="15.75" customHeight="1" x14ac:dyDescent="0.3">
      <c r="E658" s="9"/>
      <c r="F658" s="9"/>
      <c r="H658" s="9"/>
    </row>
    <row r="659" spans="5:8" ht="15.75" customHeight="1" x14ac:dyDescent="0.3">
      <c r="E659" s="9"/>
      <c r="F659" s="9"/>
      <c r="H659" s="9"/>
    </row>
    <row r="660" spans="5:8" ht="15.75" customHeight="1" x14ac:dyDescent="0.3">
      <c r="E660" s="9"/>
      <c r="F660" s="9"/>
      <c r="H660" s="9"/>
    </row>
    <row r="661" spans="5:8" ht="15.75" customHeight="1" x14ac:dyDescent="0.3">
      <c r="E661" s="9"/>
      <c r="F661" s="9"/>
      <c r="H661" s="9"/>
    </row>
    <row r="662" spans="5:8" ht="15.75" customHeight="1" x14ac:dyDescent="0.3">
      <c r="E662" s="9"/>
      <c r="F662" s="9"/>
      <c r="H662" s="9"/>
    </row>
    <row r="663" spans="5:8" ht="15.75" customHeight="1" x14ac:dyDescent="0.3">
      <c r="E663" s="9"/>
      <c r="F663" s="9"/>
      <c r="H663" s="9"/>
    </row>
    <row r="664" spans="5:8" ht="15.75" customHeight="1" x14ac:dyDescent="0.3">
      <c r="E664" s="9"/>
      <c r="F664" s="9"/>
      <c r="H664" s="9"/>
    </row>
    <row r="665" spans="5:8" ht="15.75" customHeight="1" x14ac:dyDescent="0.3">
      <c r="E665" s="9"/>
      <c r="F665" s="9"/>
      <c r="H665" s="9"/>
    </row>
    <row r="666" spans="5:8" ht="15.75" customHeight="1" x14ac:dyDescent="0.3">
      <c r="E666" s="9"/>
      <c r="F666" s="9"/>
      <c r="H666" s="9"/>
    </row>
    <row r="667" spans="5:8" ht="15.75" customHeight="1" x14ac:dyDescent="0.3">
      <c r="E667" s="9"/>
      <c r="F667" s="9"/>
      <c r="H667" s="9"/>
    </row>
    <row r="668" spans="5:8" ht="15.75" customHeight="1" x14ac:dyDescent="0.3">
      <c r="E668" s="9"/>
      <c r="F668" s="9"/>
      <c r="H668" s="9"/>
    </row>
    <row r="669" spans="5:8" ht="15.75" customHeight="1" x14ac:dyDescent="0.3">
      <c r="E669" s="9"/>
      <c r="F669" s="9"/>
      <c r="H669" s="9"/>
    </row>
    <row r="670" spans="5:8" ht="15.75" customHeight="1" x14ac:dyDescent="0.3">
      <c r="E670" s="9"/>
      <c r="F670" s="9"/>
      <c r="H670" s="9"/>
    </row>
    <row r="671" spans="5:8" ht="15.75" customHeight="1" x14ac:dyDescent="0.3">
      <c r="E671" s="9"/>
      <c r="F671" s="9"/>
      <c r="H671" s="9"/>
    </row>
    <row r="672" spans="5:8" ht="15.75" customHeight="1" x14ac:dyDescent="0.3">
      <c r="E672" s="9"/>
      <c r="F672" s="9"/>
      <c r="H672" s="9"/>
    </row>
    <row r="673" spans="5:8" ht="15.75" customHeight="1" x14ac:dyDescent="0.3">
      <c r="E673" s="9"/>
      <c r="F673" s="9"/>
      <c r="H673" s="9"/>
    </row>
    <row r="674" spans="5:8" ht="15.75" customHeight="1" x14ac:dyDescent="0.3">
      <c r="E674" s="9"/>
      <c r="F674" s="9"/>
      <c r="H674" s="9"/>
    </row>
    <row r="675" spans="5:8" ht="15.75" customHeight="1" x14ac:dyDescent="0.3">
      <c r="E675" s="9"/>
      <c r="F675" s="9"/>
      <c r="H675" s="9"/>
    </row>
    <row r="676" spans="5:8" ht="15.75" customHeight="1" x14ac:dyDescent="0.3">
      <c r="E676" s="9"/>
      <c r="F676" s="9"/>
      <c r="H676" s="9"/>
    </row>
    <row r="677" spans="5:8" ht="15.75" customHeight="1" x14ac:dyDescent="0.3">
      <c r="E677" s="9"/>
      <c r="F677" s="9"/>
      <c r="H677" s="9"/>
    </row>
    <row r="678" spans="5:8" ht="15.75" customHeight="1" x14ac:dyDescent="0.3">
      <c r="E678" s="9"/>
      <c r="F678" s="9"/>
      <c r="H678" s="9"/>
    </row>
    <row r="679" spans="5:8" ht="15.75" customHeight="1" x14ac:dyDescent="0.3">
      <c r="E679" s="9"/>
      <c r="F679" s="9"/>
      <c r="H679" s="9"/>
    </row>
    <row r="680" spans="5:8" ht="15.75" customHeight="1" x14ac:dyDescent="0.3">
      <c r="E680" s="9"/>
      <c r="F680" s="9"/>
      <c r="H680" s="9"/>
    </row>
    <row r="681" spans="5:8" ht="15.75" customHeight="1" x14ac:dyDescent="0.3">
      <c r="E681" s="9"/>
      <c r="F681" s="9"/>
      <c r="H681" s="9"/>
    </row>
    <row r="682" spans="5:8" ht="15.75" customHeight="1" x14ac:dyDescent="0.3">
      <c r="E682" s="9"/>
      <c r="F682" s="9"/>
      <c r="H682" s="9"/>
    </row>
    <row r="683" spans="5:8" ht="15.75" customHeight="1" x14ac:dyDescent="0.3">
      <c r="E683" s="9"/>
      <c r="F683" s="9"/>
      <c r="H683" s="9"/>
    </row>
    <row r="684" spans="5:8" ht="15.75" customHeight="1" x14ac:dyDescent="0.3">
      <c r="E684" s="9"/>
      <c r="F684" s="9"/>
      <c r="H684" s="9"/>
    </row>
    <row r="685" spans="5:8" ht="15.75" customHeight="1" x14ac:dyDescent="0.3">
      <c r="E685" s="9"/>
      <c r="F685" s="9"/>
      <c r="H685" s="9"/>
    </row>
    <row r="686" spans="5:8" ht="15.75" customHeight="1" x14ac:dyDescent="0.3">
      <c r="E686" s="9"/>
      <c r="F686" s="9"/>
      <c r="H686" s="9"/>
    </row>
    <row r="687" spans="5:8" ht="15.75" customHeight="1" x14ac:dyDescent="0.3">
      <c r="E687" s="9"/>
      <c r="F687" s="9"/>
      <c r="H687" s="9"/>
    </row>
    <row r="688" spans="5:8" ht="15.75" customHeight="1" x14ac:dyDescent="0.3">
      <c r="E688" s="9"/>
      <c r="F688" s="9"/>
      <c r="H688" s="9"/>
    </row>
    <row r="689" spans="5:8" ht="15.75" customHeight="1" x14ac:dyDescent="0.3">
      <c r="E689" s="9"/>
      <c r="F689" s="9"/>
      <c r="H689" s="9"/>
    </row>
    <row r="690" spans="5:8" ht="15.75" customHeight="1" x14ac:dyDescent="0.3">
      <c r="E690" s="9"/>
      <c r="F690" s="9"/>
      <c r="H690" s="9"/>
    </row>
    <row r="691" spans="5:8" ht="15.75" customHeight="1" x14ac:dyDescent="0.3">
      <c r="E691" s="9"/>
      <c r="F691" s="9"/>
      <c r="H691" s="9"/>
    </row>
    <row r="692" spans="5:8" ht="15.75" customHeight="1" x14ac:dyDescent="0.3">
      <c r="E692" s="9"/>
      <c r="F692" s="9"/>
      <c r="H692" s="9"/>
    </row>
    <row r="693" spans="5:8" ht="15.75" customHeight="1" x14ac:dyDescent="0.3">
      <c r="E693" s="9"/>
      <c r="F693" s="9"/>
      <c r="H693" s="9"/>
    </row>
    <row r="694" spans="5:8" ht="15.75" customHeight="1" x14ac:dyDescent="0.3">
      <c r="E694" s="9"/>
      <c r="F694" s="9"/>
      <c r="H694" s="9"/>
    </row>
    <row r="695" spans="5:8" ht="15.75" customHeight="1" x14ac:dyDescent="0.3">
      <c r="E695" s="9"/>
      <c r="F695" s="9"/>
      <c r="H695" s="9"/>
    </row>
    <row r="696" spans="5:8" ht="15.75" customHeight="1" x14ac:dyDescent="0.3">
      <c r="E696" s="9"/>
      <c r="F696" s="9"/>
      <c r="H696" s="9"/>
    </row>
    <row r="697" spans="5:8" ht="15.75" customHeight="1" x14ac:dyDescent="0.3">
      <c r="E697" s="9"/>
      <c r="F697" s="9"/>
      <c r="H697" s="9"/>
    </row>
    <row r="698" spans="5:8" ht="15.75" customHeight="1" x14ac:dyDescent="0.3">
      <c r="E698" s="9"/>
      <c r="F698" s="9"/>
      <c r="H698" s="9"/>
    </row>
    <row r="699" spans="5:8" ht="15.75" customHeight="1" x14ac:dyDescent="0.3">
      <c r="E699" s="9"/>
      <c r="F699" s="9"/>
      <c r="H699" s="9"/>
    </row>
    <row r="700" spans="5:8" ht="15.75" customHeight="1" x14ac:dyDescent="0.3">
      <c r="E700" s="9"/>
      <c r="F700" s="9"/>
      <c r="H700" s="9"/>
    </row>
    <row r="701" spans="5:8" ht="15.75" customHeight="1" x14ac:dyDescent="0.3">
      <c r="E701" s="9"/>
      <c r="F701" s="9"/>
      <c r="H701" s="9"/>
    </row>
    <row r="702" spans="5:8" ht="15.75" customHeight="1" x14ac:dyDescent="0.3">
      <c r="E702" s="9"/>
      <c r="F702" s="9"/>
      <c r="H702" s="9"/>
    </row>
    <row r="703" spans="5:8" ht="15.75" customHeight="1" x14ac:dyDescent="0.3">
      <c r="E703" s="9"/>
      <c r="F703" s="9"/>
      <c r="H703" s="9"/>
    </row>
    <row r="704" spans="5:8" ht="15.75" customHeight="1" x14ac:dyDescent="0.3">
      <c r="E704" s="9"/>
      <c r="F704" s="9"/>
      <c r="H704" s="9"/>
    </row>
    <row r="705" spans="5:8" ht="15.75" customHeight="1" x14ac:dyDescent="0.3">
      <c r="E705" s="9"/>
      <c r="F705" s="9"/>
      <c r="H705" s="9"/>
    </row>
    <row r="706" spans="5:8" ht="15.75" customHeight="1" x14ac:dyDescent="0.3">
      <c r="E706" s="9"/>
      <c r="F706" s="9"/>
      <c r="H706" s="9"/>
    </row>
    <row r="707" spans="5:8" ht="15.75" customHeight="1" x14ac:dyDescent="0.3">
      <c r="E707" s="9"/>
      <c r="F707" s="9"/>
      <c r="H707" s="9"/>
    </row>
    <row r="708" spans="5:8" ht="15.75" customHeight="1" x14ac:dyDescent="0.3">
      <c r="E708" s="9"/>
      <c r="F708" s="9"/>
      <c r="H708" s="9"/>
    </row>
    <row r="709" spans="5:8" ht="15.75" customHeight="1" x14ac:dyDescent="0.3">
      <c r="E709" s="9"/>
      <c r="F709" s="9"/>
      <c r="H709" s="9"/>
    </row>
    <row r="710" spans="5:8" ht="15.75" customHeight="1" x14ac:dyDescent="0.3">
      <c r="E710" s="9"/>
      <c r="F710" s="9"/>
      <c r="H710" s="9"/>
    </row>
    <row r="711" spans="5:8" ht="15.75" customHeight="1" x14ac:dyDescent="0.3">
      <c r="E711" s="9"/>
      <c r="F711" s="9"/>
      <c r="H711" s="9"/>
    </row>
    <row r="712" spans="5:8" ht="15.75" customHeight="1" x14ac:dyDescent="0.3">
      <c r="E712" s="9"/>
      <c r="F712" s="9"/>
      <c r="H712" s="9"/>
    </row>
    <row r="713" spans="5:8" ht="15.75" customHeight="1" x14ac:dyDescent="0.3">
      <c r="E713" s="9"/>
      <c r="F713" s="9"/>
      <c r="H713" s="9"/>
    </row>
    <row r="714" spans="5:8" ht="15.75" customHeight="1" x14ac:dyDescent="0.3">
      <c r="E714" s="9"/>
      <c r="F714" s="9"/>
      <c r="H714" s="9"/>
    </row>
    <row r="715" spans="5:8" ht="15.75" customHeight="1" x14ac:dyDescent="0.3">
      <c r="E715" s="9"/>
      <c r="F715" s="9"/>
      <c r="H715" s="9"/>
    </row>
    <row r="716" spans="5:8" ht="15.75" customHeight="1" x14ac:dyDescent="0.3">
      <c r="E716" s="9"/>
      <c r="F716" s="9"/>
      <c r="H716" s="9"/>
    </row>
    <row r="717" spans="5:8" ht="15.75" customHeight="1" x14ac:dyDescent="0.3">
      <c r="E717" s="9"/>
      <c r="F717" s="9"/>
      <c r="H717" s="9"/>
    </row>
    <row r="718" spans="5:8" ht="15.75" customHeight="1" x14ac:dyDescent="0.3">
      <c r="E718" s="9"/>
      <c r="F718" s="9"/>
      <c r="H718" s="9"/>
    </row>
    <row r="719" spans="5:8" ht="15.75" customHeight="1" x14ac:dyDescent="0.3">
      <c r="E719" s="9"/>
      <c r="F719" s="9"/>
      <c r="H719" s="9"/>
    </row>
    <row r="720" spans="5:8" ht="15.75" customHeight="1" x14ac:dyDescent="0.3">
      <c r="E720" s="9"/>
      <c r="F720" s="9"/>
      <c r="H720" s="9"/>
    </row>
    <row r="721" spans="5:8" ht="15.75" customHeight="1" x14ac:dyDescent="0.3">
      <c r="E721" s="9"/>
      <c r="F721" s="9"/>
      <c r="H721" s="9"/>
    </row>
    <row r="722" spans="5:8" ht="15.75" customHeight="1" x14ac:dyDescent="0.3">
      <c r="E722" s="9"/>
      <c r="F722" s="9"/>
      <c r="H722" s="9"/>
    </row>
    <row r="723" spans="5:8" ht="15.75" customHeight="1" x14ac:dyDescent="0.3">
      <c r="E723" s="9"/>
      <c r="F723" s="9"/>
      <c r="H723" s="9"/>
    </row>
    <row r="724" spans="5:8" ht="15.75" customHeight="1" x14ac:dyDescent="0.3">
      <c r="E724" s="9"/>
      <c r="F724" s="9"/>
      <c r="H724" s="9"/>
    </row>
    <row r="725" spans="5:8" ht="15.75" customHeight="1" x14ac:dyDescent="0.3">
      <c r="E725" s="9"/>
      <c r="F725" s="9"/>
      <c r="H725" s="9"/>
    </row>
    <row r="726" spans="5:8" ht="15.75" customHeight="1" x14ac:dyDescent="0.3">
      <c r="E726" s="9"/>
      <c r="F726" s="9"/>
      <c r="H726" s="9"/>
    </row>
    <row r="727" spans="5:8" ht="15.75" customHeight="1" x14ac:dyDescent="0.3">
      <c r="E727" s="9"/>
      <c r="F727" s="9"/>
      <c r="H727" s="9"/>
    </row>
    <row r="728" spans="5:8" ht="15.75" customHeight="1" x14ac:dyDescent="0.3">
      <c r="E728" s="9"/>
      <c r="F728" s="9"/>
      <c r="H728" s="9"/>
    </row>
    <row r="729" spans="5:8" ht="15.75" customHeight="1" x14ac:dyDescent="0.3">
      <c r="E729" s="9"/>
      <c r="F729" s="9"/>
      <c r="H729" s="9"/>
    </row>
    <row r="730" spans="5:8" ht="15.75" customHeight="1" x14ac:dyDescent="0.3">
      <c r="E730" s="9"/>
      <c r="F730" s="9"/>
      <c r="H730" s="9"/>
    </row>
    <row r="731" spans="5:8" ht="15.75" customHeight="1" x14ac:dyDescent="0.3">
      <c r="E731" s="9"/>
      <c r="F731" s="9"/>
      <c r="H731" s="9"/>
    </row>
    <row r="732" spans="5:8" ht="15.75" customHeight="1" x14ac:dyDescent="0.3">
      <c r="E732" s="9"/>
      <c r="F732" s="9"/>
      <c r="H732" s="9"/>
    </row>
    <row r="733" spans="5:8" ht="15.75" customHeight="1" x14ac:dyDescent="0.3">
      <c r="E733" s="9"/>
      <c r="F733" s="9"/>
      <c r="H733" s="9"/>
    </row>
    <row r="734" spans="5:8" ht="15.75" customHeight="1" x14ac:dyDescent="0.3">
      <c r="E734" s="9"/>
      <c r="F734" s="9"/>
      <c r="H734" s="9"/>
    </row>
    <row r="735" spans="5:8" ht="15.75" customHeight="1" x14ac:dyDescent="0.3">
      <c r="E735" s="9"/>
      <c r="F735" s="9"/>
      <c r="H735" s="9"/>
    </row>
    <row r="736" spans="5:8" ht="15.75" customHeight="1" x14ac:dyDescent="0.3">
      <c r="E736" s="9"/>
      <c r="F736" s="9"/>
      <c r="H736" s="9"/>
    </row>
    <row r="737" spans="5:8" ht="15.75" customHeight="1" x14ac:dyDescent="0.3">
      <c r="E737" s="9"/>
      <c r="F737" s="9"/>
      <c r="H737" s="9"/>
    </row>
    <row r="738" spans="5:8" ht="15.75" customHeight="1" x14ac:dyDescent="0.3">
      <c r="E738" s="9"/>
      <c r="F738" s="9"/>
      <c r="H738" s="9"/>
    </row>
    <row r="739" spans="5:8" ht="15.75" customHeight="1" x14ac:dyDescent="0.3">
      <c r="E739" s="9"/>
      <c r="F739" s="9"/>
      <c r="H739" s="9"/>
    </row>
    <row r="740" spans="5:8" ht="15.75" customHeight="1" x14ac:dyDescent="0.3">
      <c r="E740" s="9"/>
      <c r="F740" s="9"/>
      <c r="H740" s="9"/>
    </row>
    <row r="741" spans="5:8" ht="15.75" customHeight="1" x14ac:dyDescent="0.3">
      <c r="E741" s="9"/>
      <c r="F741" s="9"/>
      <c r="H741" s="9"/>
    </row>
    <row r="742" spans="5:8" ht="15.75" customHeight="1" x14ac:dyDescent="0.3">
      <c r="E742" s="9"/>
      <c r="F742" s="9"/>
      <c r="H742" s="9"/>
    </row>
    <row r="743" spans="5:8" ht="15.75" customHeight="1" x14ac:dyDescent="0.3">
      <c r="E743" s="9"/>
      <c r="F743" s="9"/>
      <c r="H743" s="9"/>
    </row>
    <row r="744" spans="5:8" ht="15.75" customHeight="1" x14ac:dyDescent="0.3">
      <c r="E744" s="9"/>
      <c r="F744" s="9"/>
      <c r="H744" s="9"/>
    </row>
    <row r="745" spans="5:8" ht="15.75" customHeight="1" x14ac:dyDescent="0.3">
      <c r="E745" s="9"/>
      <c r="F745" s="9"/>
      <c r="H745" s="9"/>
    </row>
    <row r="746" spans="5:8" ht="15.75" customHeight="1" x14ac:dyDescent="0.3">
      <c r="E746" s="9"/>
      <c r="F746" s="9"/>
      <c r="H746" s="9"/>
    </row>
    <row r="747" spans="5:8" ht="15.75" customHeight="1" x14ac:dyDescent="0.3">
      <c r="E747" s="9"/>
      <c r="F747" s="9"/>
      <c r="H747" s="9"/>
    </row>
    <row r="748" spans="5:8" ht="15.75" customHeight="1" x14ac:dyDescent="0.3">
      <c r="E748" s="9"/>
      <c r="F748" s="9"/>
      <c r="H748" s="9"/>
    </row>
    <row r="749" spans="5:8" ht="15.75" customHeight="1" x14ac:dyDescent="0.3">
      <c r="E749" s="9"/>
      <c r="F749" s="9"/>
      <c r="H749" s="9"/>
    </row>
    <row r="750" spans="5:8" ht="15.75" customHeight="1" x14ac:dyDescent="0.3">
      <c r="E750" s="9"/>
      <c r="F750" s="9"/>
      <c r="H750" s="9"/>
    </row>
    <row r="751" spans="5:8" ht="15.75" customHeight="1" x14ac:dyDescent="0.3">
      <c r="E751" s="9"/>
      <c r="F751" s="9"/>
      <c r="H751" s="9"/>
    </row>
    <row r="752" spans="5:8" ht="15.75" customHeight="1" x14ac:dyDescent="0.3">
      <c r="E752" s="9"/>
      <c r="F752" s="9"/>
      <c r="H752" s="9"/>
    </row>
    <row r="753" spans="5:8" ht="15.75" customHeight="1" x14ac:dyDescent="0.3">
      <c r="E753" s="9"/>
      <c r="F753" s="9"/>
      <c r="H753" s="9"/>
    </row>
    <row r="754" spans="5:8" ht="15.75" customHeight="1" x14ac:dyDescent="0.3">
      <c r="E754" s="9"/>
      <c r="F754" s="9"/>
      <c r="H754" s="9"/>
    </row>
    <row r="755" spans="5:8" ht="15.75" customHeight="1" x14ac:dyDescent="0.3">
      <c r="E755" s="9"/>
      <c r="F755" s="9"/>
      <c r="H755" s="9"/>
    </row>
    <row r="756" spans="5:8" ht="15.75" customHeight="1" x14ac:dyDescent="0.3">
      <c r="E756" s="9"/>
      <c r="F756" s="9"/>
      <c r="H756" s="9"/>
    </row>
    <row r="757" spans="5:8" ht="15.75" customHeight="1" x14ac:dyDescent="0.3">
      <c r="E757" s="9"/>
      <c r="F757" s="9"/>
      <c r="H757" s="9"/>
    </row>
    <row r="758" spans="5:8" ht="15.75" customHeight="1" x14ac:dyDescent="0.3">
      <c r="E758" s="9"/>
      <c r="F758" s="9"/>
      <c r="H758" s="9"/>
    </row>
    <row r="759" spans="5:8" ht="15.75" customHeight="1" x14ac:dyDescent="0.3">
      <c r="E759" s="9"/>
      <c r="F759" s="9"/>
      <c r="H759" s="9"/>
    </row>
    <row r="760" spans="5:8" ht="15.75" customHeight="1" x14ac:dyDescent="0.3">
      <c r="E760" s="9"/>
      <c r="F760" s="9"/>
      <c r="H760" s="9"/>
    </row>
    <row r="761" spans="5:8" ht="15.75" customHeight="1" x14ac:dyDescent="0.3">
      <c r="E761" s="9"/>
      <c r="F761" s="9"/>
      <c r="H761" s="9"/>
    </row>
    <row r="762" spans="5:8" ht="15.75" customHeight="1" x14ac:dyDescent="0.3">
      <c r="E762" s="9"/>
      <c r="F762" s="9"/>
      <c r="H762" s="9"/>
    </row>
    <row r="763" spans="5:8" ht="15.75" customHeight="1" x14ac:dyDescent="0.3">
      <c r="E763" s="9"/>
      <c r="F763" s="9"/>
      <c r="H763" s="9"/>
    </row>
    <row r="764" spans="5:8" ht="15.75" customHeight="1" x14ac:dyDescent="0.3">
      <c r="E764" s="9"/>
      <c r="F764" s="9"/>
      <c r="H764" s="9"/>
    </row>
    <row r="765" spans="5:8" ht="15.75" customHeight="1" x14ac:dyDescent="0.3">
      <c r="E765" s="9"/>
      <c r="F765" s="9"/>
      <c r="H765" s="9"/>
    </row>
    <row r="766" spans="5:8" ht="15.75" customHeight="1" x14ac:dyDescent="0.3">
      <c r="E766" s="9"/>
      <c r="F766" s="9"/>
      <c r="H766" s="9"/>
    </row>
    <row r="767" spans="5:8" ht="15.75" customHeight="1" x14ac:dyDescent="0.3">
      <c r="E767" s="9"/>
      <c r="F767" s="9"/>
      <c r="H767" s="9"/>
    </row>
    <row r="768" spans="5:8" ht="15.75" customHeight="1" x14ac:dyDescent="0.3">
      <c r="E768" s="9"/>
      <c r="F768" s="9"/>
      <c r="H768" s="9"/>
    </row>
    <row r="769" spans="5:8" ht="15.75" customHeight="1" x14ac:dyDescent="0.3">
      <c r="E769" s="9"/>
      <c r="F769" s="9"/>
      <c r="H769" s="9"/>
    </row>
    <row r="770" spans="5:8" ht="15.75" customHeight="1" x14ac:dyDescent="0.3">
      <c r="E770" s="9"/>
      <c r="F770" s="9"/>
      <c r="H770" s="9"/>
    </row>
    <row r="771" spans="5:8" ht="15.75" customHeight="1" x14ac:dyDescent="0.3">
      <c r="E771" s="9"/>
      <c r="F771" s="9"/>
      <c r="H771" s="9"/>
    </row>
    <row r="772" spans="5:8" ht="15.75" customHeight="1" x14ac:dyDescent="0.3">
      <c r="E772" s="9"/>
      <c r="F772" s="9"/>
      <c r="H772" s="9"/>
    </row>
    <row r="773" spans="5:8" ht="15.75" customHeight="1" x14ac:dyDescent="0.3">
      <c r="E773" s="9"/>
      <c r="F773" s="9"/>
      <c r="H773" s="9"/>
    </row>
    <row r="774" spans="5:8" ht="15.75" customHeight="1" x14ac:dyDescent="0.3">
      <c r="E774" s="9"/>
      <c r="F774" s="9"/>
      <c r="H774" s="9"/>
    </row>
    <row r="775" spans="5:8" ht="15.75" customHeight="1" x14ac:dyDescent="0.3">
      <c r="E775" s="9"/>
      <c r="F775" s="9"/>
      <c r="H775" s="9"/>
    </row>
    <row r="776" spans="5:8" ht="15.75" customHeight="1" x14ac:dyDescent="0.3">
      <c r="E776" s="9"/>
      <c r="F776" s="9"/>
      <c r="H776" s="9"/>
    </row>
    <row r="777" spans="5:8" ht="15.75" customHeight="1" x14ac:dyDescent="0.3">
      <c r="E777" s="9"/>
      <c r="F777" s="9"/>
      <c r="H777" s="9"/>
    </row>
    <row r="778" spans="5:8" ht="15.75" customHeight="1" x14ac:dyDescent="0.3">
      <c r="E778" s="9"/>
      <c r="F778" s="9"/>
      <c r="H778" s="9"/>
    </row>
    <row r="779" spans="5:8" ht="15.75" customHeight="1" x14ac:dyDescent="0.3">
      <c r="E779" s="9"/>
      <c r="F779" s="9"/>
      <c r="H779" s="9"/>
    </row>
    <row r="780" spans="5:8" ht="15.75" customHeight="1" x14ac:dyDescent="0.3">
      <c r="E780" s="9"/>
      <c r="F780" s="9"/>
      <c r="H780" s="9"/>
    </row>
    <row r="781" spans="5:8" ht="15.75" customHeight="1" x14ac:dyDescent="0.3">
      <c r="E781" s="9"/>
      <c r="F781" s="9"/>
      <c r="H781" s="9"/>
    </row>
    <row r="782" spans="5:8" ht="15.75" customHeight="1" x14ac:dyDescent="0.3">
      <c r="E782" s="9"/>
      <c r="F782" s="9"/>
      <c r="H782" s="9"/>
    </row>
    <row r="783" spans="5:8" ht="15.75" customHeight="1" x14ac:dyDescent="0.3">
      <c r="E783" s="9"/>
      <c r="F783" s="9"/>
      <c r="H783" s="9"/>
    </row>
    <row r="784" spans="5:8" ht="15.75" customHeight="1" x14ac:dyDescent="0.3">
      <c r="E784" s="9"/>
      <c r="F784" s="9"/>
      <c r="H784" s="9"/>
    </row>
    <row r="785" spans="5:8" ht="15.75" customHeight="1" x14ac:dyDescent="0.3">
      <c r="E785" s="9"/>
      <c r="F785" s="9"/>
      <c r="H785" s="9"/>
    </row>
    <row r="786" spans="5:8" ht="15.75" customHeight="1" x14ac:dyDescent="0.3">
      <c r="E786" s="9"/>
      <c r="F786" s="9"/>
      <c r="H786" s="9"/>
    </row>
    <row r="787" spans="5:8" ht="15.75" customHeight="1" x14ac:dyDescent="0.3">
      <c r="E787" s="9"/>
      <c r="F787" s="9"/>
      <c r="H787" s="9"/>
    </row>
    <row r="788" spans="5:8" ht="15.75" customHeight="1" x14ac:dyDescent="0.3">
      <c r="E788" s="9"/>
      <c r="F788" s="9"/>
      <c r="H788" s="9"/>
    </row>
    <row r="789" spans="5:8" ht="15.75" customHeight="1" x14ac:dyDescent="0.3">
      <c r="E789" s="9"/>
      <c r="F789" s="9"/>
      <c r="H789" s="9"/>
    </row>
    <row r="790" spans="5:8" ht="15.75" customHeight="1" x14ac:dyDescent="0.3">
      <c r="E790" s="9"/>
      <c r="F790" s="9"/>
      <c r="H790" s="9"/>
    </row>
    <row r="791" spans="5:8" ht="15.75" customHeight="1" x14ac:dyDescent="0.3">
      <c r="E791" s="9"/>
      <c r="F791" s="9"/>
      <c r="H791" s="9"/>
    </row>
    <row r="792" spans="5:8" ht="15.75" customHeight="1" x14ac:dyDescent="0.3">
      <c r="E792" s="9"/>
      <c r="F792" s="9"/>
      <c r="H792" s="9"/>
    </row>
    <row r="793" spans="5:8" ht="15.75" customHeight="1" x14ac:dyDescent="0.3">
      <c r="E793" s="9"/>
      <c r="F793" s="9"/>
      <c r="H793" s="9"/>
    </row>
    <row r="794" spans="5:8" ht="15.75" customHeight="1" x14ac:dyDescent="0.3">
      <c r="E794" s="9"/>
      <c r="F794" s="9"/>
      <c r="H794" s="9"/>
    </row>
    <row r="795" spans="5:8" ht="15.75" customHeight="1" x14ac:dyDescent="0.3">
      <c r="E795" s="9"/>
      <c r="F795" s="9"/>
      <c r="H795" s="9"/>
    </row>
    <row r="796" spans="5:8" ht="15.75" customHeight="1" x14ac:dyDescent="0.3">
      <c r="E796" s="9"/>
      <c r="F796" s="9"/>
      <c r="H796" s="9"/>
    </row>
    <row r="797" spans="5:8" ht="15.75" customHeight="1" x14ac:dyDescent="0.3">
      <c r="E797" s="9"/>
      <c r="F797" s="9"/>
      <c r="H797" s="9"/>
    </row>
    <row r="798" spans="5:8" ht="15.75" customHeight="1" x14ac:dyDescent="0.3">
      <c r="E798" s="9"/>
      <c r="F798" s="9"/>
      <c r="H798" s="9"/>
    </row>
    <row r="799" spans="5:8" ht="15.75" customHeight="1" x14ac:dyDescent="0.3">
      <c r="E799" s="9"/>
      <c r="F799" s="9"/>
      <c r="H799" s="9"/>
    </row>
    <row r="800" spans="5:8" ht="15.75" customHeight="1" x14ac:dyDescent="0.3">
      <c r="E800" s="9"/>
      <c r="F800" s="9"/>
      <c r="H800" s="9"/>
    </row>
    <row r="801" spans="5:8" ht="15.75" customHeight="1" x14ac:dyDescent="0.3">
      <c r="E801" s="9"/>
      <c r="F801" s="9"/>
      <c r="H801" s="9"/>
    </row>
    <row r="802" spans="5:8" ht="15.75" customHeight="1" x14ac:dyDescent="0.3">
      <c r="E802" s="9"/>
      <c r="F802" s="9"/>
      <c r="H802" s="9"/>
    </row>
    <row r="803" spans="5:8" ht="15.75" customHeight="1" x14ac:dyDescent="0.3">
      <c r="E803" s="9"/>
      <c r="F803" s="9"/>
      <c r="H803" s="9"/>
    </row>
    <row r="804" spans="5:8" ht="15.75" customHeight="1" x14ac:dyDescent="0.3">
      <c r="E804" s="9"/>
      <c r="F804" s="9"/>
      <c r="H804" s="9"/>
    </row>
    <row r="805" spans="5:8" ht="15.75" customHeight="1" x14ac:dyDescent="0.3">
      <c r="E805" s="9"/>
      <c r="F805" s="9"/>
      <c r="H805" s="9"/>
    </row>
    <row r="806" spans="5:8" ht="15.75" customHeight="1" x14ac:dyDescent="0.3">
      <c r="E806" s="9"/>
      <c r="F806" s="9"/>
      <c r="H806" s="9"/>
    </row>
    <row r="807" spans="5:8" ht="15.75" customHeight="1" x14ac:dyDescent="0.3">
      <c r="E807" s="9"/>
      <c r="F807" s="9"/>
      <c r="H807" s="9"/>
    </row>
    <row r="808" spans="5:8" ht="15.75" customHeight="1" x14ac:dyDescent="0.3">
      <c r="E808" s="9"/>
      <c r="F808" s="9"/>
      <c r="H808" s="9"/>
    </row>
    <row r="809" spans="5:8" ht="15.75" customHeight="1" x14ac:dyDescent="0.3">
      <c r="E809" s="9"/>
      <c r="F809" s="9"/>
      <c r="H809" s="9"/>
    </row>
    <row r="810" spans="5:8" ht="15.75" customHeight="1" x14ac:dyDescent="0.3">
      <c r="E810" s="9"/>
      <c r="F810" s="9"/>
      <c r="H810" s="9"/>
    </row>
    <row r="811" spans="5:8" ht="15.75" customHeight="1" x14ac:dyDescent="0.3">
      <c r="E811" s="9"/>
      <c r="F811" s="9"/>
      <c r="H811" s="9"/>
    </row>
    <row r="812" spans="5:8" ht="15.75" customHeight="1" x14ac:dyDescent="0.3">
      <c r="E812" s="9"/>
      <c r="F812" s="9"/>
      <c r="H812" s="9"/>
    </row>
    <row r="813" spans="5:8" ht="15.75" customHeight="1" x14ac:dyDescent="0.3">
      <c r="E813" s="9"/>
      <c r="F813" s="9"/>
      <c r="H813" s="9"/>
    </row>
    <row r="814" spans="5:8" ht="15.75" customHeight="1" x14ac:dyDescent="0.3">
      <c r="E814" s="9"/>
      <c r="F814" s="9"/>
      <c r="H814" s="9"/>
    </row>
    <row r="815" spans="5:8" ht="15.75" customHeight="1" x14ac:dyDescent="0.3">
      <c r="E815" s="9"/>
      <c r="F815" s="9"/>
      <c r="H815" s="9"/>
    </row>
    <row r="816" spans="5:8" ht="15.75" customHeight="1" x14ac:dyDescent="0.3">
      <c r="E816" s="9"/>
      <c r="F816" s="9"/>
      <c r="H816" s="9"/>
    </row>
    <row r="817" spans="5:8" ht="15.75" customHeight="1" x14ac:dyDescent="0.3">
      <c r="E817" s="9"/>
      <c r="F817" s="9"/>
      <c r="H817" s="9"/>
    </row>
    <row r="818" spans="5:8" ht="15.75" customHeight="1" x14ac:dyDescent="0.3">
      <c r="E818" s="9"/>
      <c r="F818" s="9"/>
      <c r="H818" s="9"/>
    </row>
    <row r="819" spans="5:8" ht="15.75" customHeight="1" x14ac:dyDescent="0.3">
      <c r="E819" s="9"/>
      <c r="F819" s="9"/>
      <c r="H819" s="9"/>
    </row>
    <row r="820" spans="5:8" ht="15.75" customHeight="1" x14ac:dyDescent="0.3">
      <c r="E820" s="9"/>
      <c r="F820" s="9"/>
      <c r="H820" s="9"/>
    </row>
    <row r="821" spans="5:8" ht="15.75" customHeight="1" x14ac:dyDescent="0.3">
      <c r="E821" s="9"/>
      <c r="F821" s="9"/>
      <c r="H821" s="9"/>
    </row>
    <row r="822" spans="5:8" ht="15.75" customHeight="1" x14ac:dyDescent="0.3">
      <c r="E822" s="9"/>
      <c r="F822" s="9"/>
      <c r="H822" s="9"/>
    </row>
    <row r="823" spans="5:8" ht="15.75" customHeight="1" x14ac:dyDescent="0.3">
      <c r="E823" s="9"/>
      <c r="F823" s="9"/>
      <c r="H823" s="9"/>
    </row>
    <row r="824" spans="5:8" ht="15.75" customHeight="1" x14ac:dyDescent="0.3">
      <c r="E824" s="9"/>
      <c r="F824" s="9"/>
      <c r="H824" s="9"/>
    </row>
    <row r="825" spans="5:8" ht="15.75" customHeight="1" x14ac:dyDescent="0.3">
      <c r="E825" s="9"/>
      <c r="F825" s="9"/>
      <c r="H825" s="9"/>
    </row>
    <row r="826" spans="5:8" ht="15.75" customHeight="1" x14ac:dyDescent="0.3">
      <c r="E826" s="9"/>
      <c r="F826" s="9"/>
      <c r="H826" s="9"/>
    </row>
    <row r="827" spans="5:8" ht="15.75" customHeight="1" x14ac:dyDescent="0.3">
      <c r="E827" s="9"/>
      <c r="F827" s="9"/>
      <c r="H827" s="9"/>
    </row>
    <row r="828" spans="5:8" ht="15.75" customHeight="1" x14ac:dyDescent="0.3">
      <c r="E828" s="9"/>
      <c r="F828" s="9"/>
      <c r="H828" s="9"/>
    </row>
    <row r="829" spans="5:8" ht="15.75" customHeight="1" x14ac:dyDescent="0.3">
      <c r="E829" s="9"/>
      <c r="F829" s="9"/>
      <c r="H829" s="9"/>
    </row>
    <row r="830" spans="5:8" ht="15.75" customHeight="1" x14ac:dyDescent="0.3">
      <c r="E830" s="9"/>
      <c r="F830" s="9"/>
      <c r="H830" s="9"/>
    </row>
    <row r="831" spans="5:8" ht="15.75" customHeight="1" x14ac:dyDescent="0.3">
      <c r="E831" s="9"/>
      <c r="F831" s="9"/>
      <c r="H831" s="9"/>
    </row>
    <row r="832" spans="5:8" ht="15.75" customHeight="1" x14ac:dyDescent="0.3">
      <c r="E832" s="9"/>
      <c r="F832" s="9"/>
      <c r="H832" s="9"/>
    </row>
    <row r="833" spans="5:8" ht="15.75" customHeight="1" x14ac:dyDescent="0.3">
      <c r="E833" s="9"/>
      <c r="F833" s="9"/>
      <c r="H833" s="9"/>
    </row>
    <row r="834" spans="5:8" ht="15.75" customHeight="1" x14ac:dyDescent="0.3">
      <c r="E834" s="9"/>
      <c r="F834" s="9"/>
      <c r="H834" s="9"/>
    </row>
    <row r="835" spans="5:8" ht="15.75" customHeight="1" x14ac:dyDescent="0.3">
      <c r="E835" s="9"/>
      <c r="F835" s="9"/>
      <c r="H835" s="9"/>
    </row>
    <row r="836" spans="5:8" ht="15.75" customHeight="1" x14ac:dyDescent="0.3">
      <c r="E836" s="9"/>
      <c r="F836" s="9"/>
      <c r="H836" s="9"/>
    </row>
    <row r="837" spans="5:8" ht="15.75" customHeight="1" x14ac:dyDescent="0.3">
      <c r="E837" s="9"/>
      <c r="F837" s="9"/>
      <c r="H837" s="9"/>
    </row>
    <row r="838" spans="5:8" ht="15.75" customHeight="1" x14ac:dyDescent="0.3">
      <c r="E838" s="9"/>
      <c r="F838" s="9"/>
      <c r="H838" s="9"/>
    </row>
    <row r="839" spans="5:8" ht="15.75" customHeight="1" x14ac:dyDescent="0.3">
      <c r="E839" s="9"/>
      <c r="F839" s="9"/>
      <c r="H839" s="9"/>
    </row>
    <row r="840" spans="5:8" ht="15.75" customHeight="1" x14ac:dyDescent="0.3">
      <c r="E840" s="9"/>
      <c r="F840" s="9"/>
      <c r="H840" s="9"/>
    </row>
    <row r="841" spans="5:8" ht="15.75" customHeight="1" x14ac:dyDescent="0.3">
      <c r="E841" s="9"/>
      <c r="F841" s="9"/>
      <c r="H841" s="9"/>
    </row>
    <row r="842" spans="5:8" ht="15.75" customHeight="1" x14ac:dyDescent="0.3">
      <c r="E842" s="9"/>
      <c r="F842" s="9"/>
      <c r="H842" s="9"/>
    </row>
    <row r="843" spans="5:8" ht="15.75" customHeight="1" x14ac:dyDescent="0.3">
      <c r="E843" s="9"/>
      <c r="F843" s="9"/>
      <c r="H843" s="9"/>
    </row>
    <row r="844" spans="5:8" ht="15.75" customHeight="1" x14ac:dyDescent="0.3">
      <c r="E844" s="9"/>
      <c r="F844" s="9"/>
      <c r="H844" s="9"/>
    </row>
    <row r="845" spans="5:8" ht="15.75" customHeight="1" x14ac:dyDescent="0.3">
      <c r="E845" s="9"/>
      <c r="F845" s="9"/>
      <c r="H845" s="9"/>
    </row>
    <row r="846" spans="5:8" ht="15.75" customHeight="1" x14ac:dyDescent="0.3">
      <c r="E846" s="9"/>
      <c r="F846" s="9"/>
      <c r="H846" s="9"/>
    </row>
    <row r="847" spans="5:8" ht="15.75" customHeight="1" x14ac:dyDescent="0.3">
      <c r="E847" s="9"/>
      <c r="F847" s="9"/>
      <c r="H847" s="9"/>
    </row>
    <row r="848" spans="5:8" ht="15.75" customHeight="1" x14ac:dyDescent="0.3">
      <c r="E848" s="9"/>
      <c r="F848" s="9"/>
      <c r="H848" s="9"/>
    </row>
    <row r="849" spans="5:8" ht="15.75" customHeight="1" x14ac:dyDescent="0.3">
      <c r="E849" s="9"/>
      <c r="F849" s="9"/>
      <c r="H849" s="9"/>
    </row>
    <row r="850" spans="5:8" ht="15.75" customHeight="1" x14ac:dyDescent="0.3">
      <c r="E850" s="9"/>
      <c r="F850" s="9"/>
      <c r="H850" s="9"/>
    </row>
    <row r="851" spans="5:8" ht="15.75" customHeight="1" x14ac:dyDescent="0.3">
      <c r="E851" s="9"/>
      <c r="F851" s="9"/>
      <c r="H851" s="9"/>
    </row>
    <row r="852" spans="5:8" ht="15.75" customHeight="1" x14ac:dyDescent="0.3">
      <c r="E852" s="9"/>
      <c r="F852" s="9"/>
      <c r="H852" s="9"/>
    </row>
    <row r="853" spans="5:8" ht="15.75" customHeight="1" x14ac:dyDescent="0.3">
      <c r="E853" s="9"/>
      <c r="F853" s="9"/>
      <c r="H853" s="9"/>
    </row>
    <row r="854" spans="5:8" ht="15.75" customHeight="1" x14ac:dyDescent="0.3">
      <c r="E854" s="9"/>
      <c r="F854" s="9"/>
      <c r="H854" s="9"/>
    </row>
    <row r="855" spans="5:8" ht="15.75" customHeight="1" x14ac:dyDescent="0.3">
      <c r="E855" s="9"/>
      <c r="F855" s="9"/>
      <c r="H855" s="9"/>
    </row>
    <row r="856" spans="5:8" ht="15.75" customHeight="1" x14ac:dyDescent="0.3">
      <c r="E856" s="9"/>
      <c r="F856" s="9"/>
      <c r="H856" s="9"/>
    </row>
    <row r="857" spans="5:8" ht="15.75" customHeight="1" x14ac:dyDescent="0.3">
      <c r="E857" s="9"/>
      <c r="F857" s="9"/>
      <c r="H857" s="9"/>
    </row>
    <row r="858" spans="5:8" ht="15.75" customHeight="1" x14ac:dyDescent="0.3">
      <c r="E858" s="9"/>
      <c r="F858" s="9"/>
      <c r="H858" s="9"/>
    </row>
    <row r="859" spans="5:8" ht="15.75" customHeight="1" x14ac:dyDescent="0.3">
      <c r="E859" s="9"/>
      <c r="F859" s="9"/>
      <c r="H859" s="9"/>
    </row>
    <row r="860" spans="5:8" ht="15.75" customHeight="1" x14ac:dyDescent="0.3">
      <c r="E860" s="9"/>
      <c r="F860" s="9"/>
      <c r="H860" s="9"/>
    </row>
    <row r="861" spans="5:8" ht="15.75" customHeight="1" x14ac:dyDescent="0.3">
      <c r="E861" s="9"/>
      <c r="F861" s="9"/>
      <c r="H861" s="9"/>
    </row>
    <row r="862" spans="5:8" ht="15.75" customHeight="1" x14ac:dyDescent="0.3">
      <c r="E862" s="9"/>
      <c r="F862" s="9"/>
      <c r="H862" s="9"/>
    </row>
    <row r="863" spans="5:8" ht="15.75" customHeight="1" x14ac:dyDescent="0.3">
      <c r="E863" s="9"/>
      <c r="F863" s="9"/>
      <c r="H863" s="9"/>
    </row>
    <row r="864" spans="5:8" ht="15.75" customHeight="1" x14ac:dyDescent="0.3">
      <c r="E864" s="9"/>
      <c r="F864" s="9"/>
      <c r="H864" s="9"/>
    </row>
    <row r="865" spans="5:8" ht="15.75" customHeight="1" x14ac:dyDescent="0.3">
      <c r="E865" s="9"/>
      <c r="F865" s="9"/>
      <c r="H865" s="9"/>
    </row>
    <row r="866" spans="5:8" ht="15.75" customHeight="1" x14ac:dyDescent="0.3">
      <c r="E866" s="9"/>
      <c r="F866" s="9"/>
      <c r="H866" s="9"/>
    </row>
    <row r="867" spans="5:8" ht="15.75" customHeight="1" x14ac:dyDescent="0.3">
      <c r="E867" s="9"/>
      <c r="F867" s="9"/>
      <c r="H867" s="9"/>
    </row>
    <row r="868" spans="5:8" ht="15.75" customHeight="1" x14ac:dyDescent="0.3">
      <c r="E868" s="9"/>
      <c r="F868" s="9"/>
      <c r="H868" s="9"/>
    </row>
    <row r="869" spans="5:8" ht="15.75" customHeight="1" x14ac:dyDescent="0.3">
      <c r="E869" s="9"/>
      <c r="F869" s="9"/>
      <c r="H869" s="9"/>
    </row>
    <row r="870" spans="5:8" ht="15.75" customHeight="1" x14ac:dyDescent="0.3">
      <c r="E870" s="9"/>
      <c r="F870" s="9"/>
      <c r="H870" s="9"/>
    </row>
    <row r="871" spans="5:8" ht="15.75" customHeight="1" x14ac:dyDescent="0.3">
      <c r="E871" s="9"/>
      <c r="F871" s="9"/>
      <c r="H871" s="9"/>
    </row>
    <row r="872" spans="5:8" ht="15.75" customHeight="1" x14ac:dyDescent="0.3">
      <c r="E872" s="9"/>
      <c r="F872" s="9"/>
      <c r="H872" s="9"/>
    </row>
    <row r="873" spans="5:8" ht="15.75" customHeight="1" x14ac:dyDescent="0.3">
      <c r="E873" s="9"/>
      <c r="F873" s="9"/>
      <c r="H873" s="9"/>
    </row>
    <row r="874" spans="5:8" ht="15.75" customHeight="1" x14ac:dyDescent="0.3">
      <c r="E874" s="9"/>
      <c r="F874" s="9"/>
      <c r="H874" s="9"/>
    </row>
    <row r="875" spans="5:8" ht="15.75" customHeight="1" x14ac:dyDescent="0.3">
      <c r="E875" s="9"/>
      <c r="F875" s="9"/>
      <c r="H875" s="9"/>
    </row>
    <row r="876" spans="5:8" ht="15.75" customHeight="1" x14ac:dyDescent="0.3">
      <c r="E876" s="9"/>
      <c r="F876" s="9"/>
      <c r="H876" s="9"/>
    </row>
    <row r="877" spans="5:8" ht="15.75" customHeight="1" x14ac:dyDescent="0.3">
      <c r="E877" s="9"/>
      <c r="F877" s="9"/>
      <c r="H877" s="9"/>
    </row>
    <row r="878" spans="5:8" ht="15.75" customHeight="1" x14ac:dyDescent="0.3">
      <c r="E878" s="9"/>
      <c r="F878" s="9"/>
      <c r="H878" s="9"/>
    </row>
    <row r="879" spans="5:8" ht="15.75" customHeight="1" x14ac:dyDescent="0.3">
      <c r="E879" s="9"/>
      <c r="F879" s="9"/>
      <c r="H879" s="9"/>
    </row>
    <row r="880" spans="5:8" ht="15.75" customHeight="1" x14ac:dyDescent="0.3">
      <c r="E880" s="9"/>
      <c r="F880" s="9"/>
      <c r="H880" s="9"/>
    </row>
    <row r="881" spans="5:8" ht="15.75" customHeight="1" x14ac:dyDescent="0.3">
      <c r="E881" s="9"/>
      <c r="F881" s="9"/>
      <c r="H881" s="9"/>
    </row>
    <row r="882" spans="5:8" ht="15.75" customHeight="1" x14ac:dyDescent="0.3">
      <c r="E882" s="9"/>
      <c r="F882" s="9"/>
      <c r="H882" s="9"/>
    </row>
    <row r="883" spans="5:8" ht="15.75" customHeight="1" x14ac:dyDescent="0.3">
      <c r="E883" s="9"/>
      <c r="F883" s="9"/>
      <c r="H883" s="9"/>
    </row>
    <row r="884" spans="5:8" ht="15.75" customHeight="1" x14ac:dyDescent="0.3">
      <c r="E884" s="9"/>
      <c r="F884" s="9"/>
      <c r="H884" s="9"/>
    </row>
    <row r="885" spans="5:8" ht="15.75" customHeight="1" x14ac:dyDescent="0.3">
      <c r="E885" s="9"/>
      <c r="F885" s="9"/>
      <c r="H885" s="9"/>
    </row>
    <row r="886" spans="5:8" ht="15.75" customHeight="1" x14ac:dyDescent="0.3">
      <c r="E886" s="9"/>
      <c r="F886" s="9"/>
      <c r="H886" s="9"/>
    </row>
    <row r="887" spans="5:8" ht="15.75" customHeight="1" x14ac:dyDescent="0.3">
      <c r="E887" s="9"/>
      <c r="F887" s="9"/>
      <c r="H887" s="9"/>
    </row>
    <row r="888" spans="5:8" ht="15.75" customHeight="1" x14ac:dyDescent="0.3">
      <c r="E888" s="9"/>
      <c r="F888" s="9"/>
      <c r="H888" s="9"/>
    </row>
    <row r="889" spans="5:8" ht="15.75" customHeight="1" x14ac:dyDescent="0.3">
      <c r="E889" s="9"/>
      <c r="F889" s="9"/>
      <c r="H889" s="9"/>
    </row>
    <row r="890" spans="5:8" ht="15.75" customHeight="1" x14ac:dyDescent="0.3">
      <c r="E890" s="9"/>
      <c r="F890" s="9"/>
      <c r="H890" s="9"/>
    </row>
    <row r="891" spans="5:8" ht="15.75" customHeight="1" x14ac:dyDescent="0.3">
      <c r="E891" s="9"/>
      <c r="F891" s="9"/>
      <c r="H891" s="9"/>
    </row>
    <row r="892" spans="5:8" ht="15.75" customHeight="1" x14ac:dyDescent="0.3">
      <c r="E892" s="9"/>
      <c r="F892" s="9"/>
      <c r="H892" s="9"/>
    </row>
    <row r="893" spans="5:8" ht="15.75" customHeight="1" x14ac:dyDescent="0.3">
      <c r="E893" s="9"/>
      <c r="F893" s="9"/>
      <c r="H893" s="9"/>
    </row>
    <row r="894" spans="5:8" ht="15.75" customHeight="1" x14ac:dyDescent="0.3">
      <c r="E894" s="9"/>
      <c r="F894" s="9"/>
      <c r="H894" s="9"/>
    </row>
    <row r="895" spans="5:8" ht="15.75" customHeight="1" x14ac:dyDescent="0.3">
      <c r="E895" s="9"/>
      <c r="F895" s="9"/>
      <c r="H895" s="9"/>
    </row>
    <row r="896" spans="5:8" ht="15.75" customHeight="1" x14ac:dyDescent="0.3">
      <c r="E896" s="9"/>
      <c r="F896" s="9"/>
      <c r="H896" s="9"/>
    </row>
    <row r="897" spans="5:8" ht="15.75" customHeight="1" x14ac:dyDescent="0.3">
      <c r="E897" s="9"/>
      <c r="F897" s="9"/>
      <c r="H897" s="9"/>
    </row>
    <row r="898" spans="5:8" ht="15.75" customHeight="1" x14ac:dyDescent="0.3">
      <c r="E898" s="9"/>
      <c r="F898" s="9"/>
      <c r="H898" s="9"/>
    </row>
    <row r="899" spans="5:8" ht="15.75" customHeight="1" x14ac:dyDescent="0.3">
      <c r="E899" s="9"/>
      <c r="F899" s="9"/>
      <c r="H899" s="9"/>
    </row>
    <row r="900" spans="5:8" ht="15.75" customHeight="1" x14ac:dyDescent="0.3">
      <c r="E900" s="9"/>
      <c r="F900" s="9"/>
      <c r="H900" s="9"/>
    </row>
    <row r="901" spans="5:8" ht="15.75" customHeight="1" x14ac:dyDescent="0.3">
      <c r="E901" s="9"/>
      <c r="F901" s="9"/>
      <c r="H901" s="9"/>
    </row>
    <row r="902" spans="5:8" ht="15.75" customHeight="1" x14ac:dyDescent="0.3">
      <c r="E902" s="9"/>
      <c r="F902" s="9"/>
      <c r="H902" s="9"/>
    </row>
    <row r="903" spans="5:8" ht="15.75" customHeight="1" x14ac:dyDescent="0.3">
      <c r="E903" s="9"/>
      <c r="F903" s="9"/>
      <c r="H903" s="9"/>
    </row>
    <row r="904" spans="5:8" ht="15.75" customHeight="1" x14ac:dyDescent="0.3">
      <c r="E904" s="9"/>
      <c r="F904" s="9"/>
      <c r="H904" s="9"/>
    </row>
    <row r="905" spans="5:8" ht="15.75" customHeight="1" x14ac:dyDescent="0.3">
      <c r="E905" s="9"/>
      <c r="F905" s="9"/>
      <c r="H905" s="9"/>
    </row>
    <row r="906" spans="5:8" ht="15.75" customHeight="1" x14ac:dyDescent="0.3">
      <c r="E906" s="9"/>
      <c r="F906" s="9"/>
      <c r="H906" s="9"/>
    </row>
    <row r="907" spans="5:8" ht="15.75" customHeight="1" x14ac:dyDescent="0.3">
      <c r="E907" s="9"/>
      <c r="F907" s="9"/>
      <c r="H907" s="9"/>
    </row>
    <row r="908" spans="5:8" ht="15.75" customHeight="1" x14ac:dyDescent="0.3">
      <c r="E908" s="9"/>
      <c r="F908" s="9"/>
      <c r="H908" s="9"/>
    </row>
    <row r="909" spans="5:8" ht="15.75" customHeight="1" x14ac:dyDescent="0.3">
      <c r="E909" s="9"/>
      <c r="F909" s="9"/>
      <c r="H909" s="9"/>
    </row>
    <row r="910" spans="5:8" ht="15.75" customHeight="1" x14ac:dyDescent="0.3">
      <c r="E910" s="9"/>
      <c r="F910" s="9"/>
      <c r="H910" s="9"/>
    </row>
    <row r="911" spans="5:8" ht="15.75" customHeight="1" x14ac:dyDescent="0.3">
      <c r="E911" s="9"/>
      <c r="F911" s="9"/>
      <c r="H911" s="9"/>
    </row>
    <row r="912" spans="5:8" ht="15.75" customHeight="1" x14ac:dyDescent="0.3">
      <c r="E912" s="9"/>
      <c r="F912" s="9"/>
      <c r="H912" s="9"/>
    </row>
    <row r="913" spans="5:8" ht="15.75" customHeight="1" x14ac:dyDescent="0.3">
      <c r="E913" s="9"/>
      <c r="F913" s="9"/>
      <c r="H913" s="9"/>
    </row>
    <row r="914" spans="5:8" ht="15.75" customHeight="1" x14ac:dyDescent="0.3">
      <c r="E914" s="9"/>
      <c r="F914" s="9"/>
      <c r="H914" s="9"/>
    </row>
    <row r="915" spans="5:8" ht="15.75" customHeight="1" x14ac:dyDescent="0.3">
      <c r="E915" s="9"/>
      <c r="F915" s="9"/>
      <c r="H915" s="9"/>
    </row>
    <row r="916" spans="5:8" ht="15.75" customHeight="1" x14ac:dyDescent="0.3">
      <c r="E916" s="9"/>
      <c r="F916" s="9"/>
      <c r="H916" s="9"/>
    </row>
    <row r="917" spans="5:8" ht="15.75" customHeight="1" x14ac:dyDescent="0.3">
      <c r="E917" s="9"/>
      <c r="F917" s="9"/>
      <c r="H917" s="9"/>
    </row>
    <row r="918" spans="5:8" ht="15.75" customHeight="1" x14ac:dyDescent="0.3">
      <c r="E918" s="9"/>
      <c r="F918" s="9"/>
      <c r="H918" s="9"/>
    </row>
    <row r="919" spans="5:8" ht="15.75" customHeight="1" x14ac:dyDescent="0.3">
      <c r="E919" s="9"/>
      <c r="F919" s="9"/>
      <c r="H919" s="9"/>
    </row>
    <row r="920" spans="5:8" ht="15.75" customHeight="1" x14ac:dyDescent="0.3">
      <c r="E920" s="9"/>
      <c r="F920" s="9"/>
      <c r="H920" s="9"/>
    </row>
    <row r="921" spans="5:8" ht="15.75" customHeight="1" x14ac:dyDescent="0.3">
      <c r="E921" s="9"/>
      <c r="F921" s="9"/>
      <c r="H921" s="9"/>
    </row>
    <row r="922" spans="5:8" ht="15.75" customHeight="1" x14ac:dyDescent="0.3">
      <c r="E922" s="9"/>
      <c r="F922" s="9"/>
      <c r="H922" s="9"/>
    </row>
    <row r="923" spans="5:8" ht="15.75" customHeight="1" x14ac:dyDescent="0.3">
      <c r="E923" s="9"/>
      <c r="F923" s="9"/>
      <c r="H923" s="9"/>
    </row>
    <row r="924" spans="5:8" ht="15.75" customHeight="1" x14ac:dyDescent="0.3">
      <c r="E924" s="9"/>
      <c r="F924" s="9"/>
      <c r="H924" s="9"/>
    </row>
    <row r="925" spans="5:8" ht="15.75" customHeight="1" x14ac:dyDescent="0.3">
      <c r="E925" s="9"/>
      <c r="F925" s="9"/>
      <c r="H925" s="9"/>
    </row>
    <row r="926" spans="5:8" ht="15.75" customHeight="1" x14ac:dyDescent="0.3">
      <c r="E926" s="9"/>
      <c r="F926" s="9"/>
      <c r="H926" s="9"/>
    </row>
    <row r="927" spans="5:8" ht="15.75" customHeight="1" x14ac:dyDescent="0.3">
      <c r="E927" s="9"/>
      <c r="F927" s="9"/>
      <c r="H927" s="9"/>
    </row>
    <row r="928" spans="5:8" ht="15.75" customHeight="1" x14ac:dyDescent="0.3">
      <c r="E928" s="9"/>
      <c r="F928" s="9"/>
      <c r="H928" s="9"/>
    </row>
    <row r="929" spans="5:8" ht="15.75" customHeight="1" x14ac:dyDescent="0.3">
      <c r="E929" s="9"/>
      <c r="F929" s="9"/>
      <c r="H929" s="9"/>
    </row>
    <row r="930" spans="5:8" ht="15.75" customHeight="1" x14ac:dyDescent="0.3">
      <c r="E930" s="9"/>
      <c r="F930" s="9"/>
      <c r="H930" s="9"/>
    </row>
    <row r="931" spans="5:8" ht="15.75" customHeight="1" x14ac:dyDescent="0.3">
      <c r="E931" s="9"/>
      <c r="F931" s="9"/>
      <c r="H931" s="9"/>
    </row>
    <row r="932" spans="5:8" ht="15.75" customHeight="1" x14ac:dyDescent="0.3">
      <c r="E932" s="9"/>
      <c r="F932" s="9"/>
      <c r="H932" s="9"/>
    </row>
    <row r="933" spans="5:8" ht="15.75" customHeight="1" x14ac:dyDescent="0.3">
      <c r="E933" s="9"/>
      <c r="F933" s="9"/>
      <c r="H933" s="9"/>
    </row>
    <row r="934" spans="5:8" ht="15.75" customHeight="1" x14ac:dyDescent="0.3">
      <c r="E934" s="9"/>
      <c r="F934" s="9"/>
      <c r="H934" s="9"/>
    </row>
    <row r="935" spans="5:8" ht="15.75" customHeight="1" x14ac:dyDescent="0.3">
      <c r="E935" s="9"/>
      <c r="F935" s="9"/>
      <c r="H935" s="9"/>
    </row>
    <row r="936" spans="5:8" ht="15.75" customHeight="1" x14ac:dyDescent="0.3">
      <c r="E936" s="9"/>
      <c r="F936" s="9"/>
      <c r="H936" s="9"/>
    </row>
    <row r="937" spans="5:8" ht="15.75" customHeight="1" x14ac:dyDescent="0.3">
      <c r="E937" s="9"/>
      <c r="F937" s="9"/>
      <c r="H937" s="9"/>
    </row>
    <row r="938" spans="5:8" ht="15.75" customHeight="1" x14ac:dyDescent="0.3">
      <c r="E938" s="9"/>
      <c r="F938" s="9"/>
      <c r="H938" s="9"/>
    </row>
    <row r="939" spans="5:8" ht="15.75" customHeight="1" x14ac:dyDescent="0.3">
      <c r="E939" s="9"/>
      <c r="F939" s="9"/>
      <c r="H939" s="9"/>
    </row>
    <row r="940" spans="5:8" ht="15.75" customHeight="1" x14ac:dyDescent="0.3">
      <c r="E940" s="9"/>
      <c r="F940" s="9"/>
      <c r="H940" s="9"/>
    </row>
    <row r="941" spans="5:8" ht="15.75" customHeight="1" x14ac:dyDescent="0.3">
      <c r="E941" s="9"/>
      <c r="F941" s="9"/>
      <c r="H941" s="9"/>
    </row>
    <row r="942" spans="5:8" ht="15.75" customHeight="1" x14ac:dyDescent="0.3">
      <c r="E942" s="9"/>
      <c r="F942" s="9"/>
      <c r="H942" s="9"/>
    </row>
    <row r="943" spans="5:8" ht="15.75" customHeight="1" x14ac:dyDescent="0.3">
      <c r="E943" s="9"/>
      <c r="F943" s="9"/>
      <c r="H943" s="9"/>
    </row>
    <row r="944" spans="5:8" ht="15.75" customHeight="1" x14ac:dyDescent="0.3">
      <c r="E944" s="9"/>
      <c r="F944" s="9"/>
      <c r="H944" s="9"/>
    </row>
    <row r="945" spans="5:8" ht="15.75" customHeight="1" x14ac:dyDescent="0.3">
      <c r="E945" s="9"/>
      <c r="F945" s="9"/>
      <c r="H945" s="9"/>
    </row>
    <row r="946" spans="5:8" ht="15.75" customHeight="1" x14ac:dyDescent="0.3">
      <c r="E946" s="9"/>
      <c r="F946" s="9"/>
      <c r="H946" s="9"/>
    </row>
    <row r="947" spans="5:8" ht="15.75" customHeight="1" x14ac:dyDescent="0.3">
      <c r="E947" s="9"/>
      <c r="F947" s="9"/>
      <c r="H947" s="9"/>
    </row>
    <row r="948" spans="5:8" ht="15.75" customHeight="1" x14ac:dyDescent="0.3">
      <c r="E948" s="9"/>
      <c r="F948" s="9"/>
      <c r="H948" s="9"/>
    </row>
    <row r="949" spans="5:8" ht="15.75" customHeight="1" x14ac:dyDescent="0.3">
      <c r="E949" s="9"/>
      <c r="F949" s="9"/>
      <c r="H949" s="9"/>
    </row>
    <row r="950" spans="5:8" ht="15.75" customHeight="1" x14ac:dyDescent="0.3">
      <c r="E950" s="9"/>
      <c r="F950" s="9"/>
      <c r="H950" s="9"/>
    </row>
    <row r="951" spans="5:8" ht="15.75" customHeight="1" x14ac:dyDescent="0.3">
      <c r="E951" s="9"/>
      <c r="F951" s="9"/>
      <c r="H951" s="9"/>
    </row>
    <row r="952" spans="5:8" ht="15.75" customHeight="1" x14ac:dyDescent="0.3">
      <c r="E952" s="9"/>
      <c r="F952" s="9"/>
      <c r="H952" s="9"/>
    </row>
    <row r="953" spans="5:8" ht="15.75" customHeight="1" x14ac:dyDescent="0.3">
      <c r="E953" s="9"/>
      <c r="F953" s="9"/>
      <c r="H953" s="9"/>
    </row>
    <row r="954" spans="5:8" ht="15.75" customHeight="1" x14ac:dyDescent="0.3">
      <c r="E954" s="9"/>
      <c r="F954" s="9"/>
      <c r="H954" s="9"/>
    </row>
    <row r="955" spans="5:8" ht="15.75" customHeight="1" x14ac:dyDescent="0.3">
      <c r="E955" s="9"/>
      <c r="F955" s="9"/>
      <c r="H955" s="9"/>
    </row>
    <row r="956" spans="5:8" ht="15.75" customHeight="1" x14ac:dyDescent="0.3">
      <c r="E956" s="9"/>
      <c r="F956" s="9"/>
      <c r="H956" s="9"/>
    </row>
    <row r="957" spans="5:8" ht="15.75" customHeight="1" x14ac:dyDescent="0.3">
      <c r="E957" s="9"/>
      <c r="F957" s="9"/>
      <c r="H957" s="9"/>
    </row>
    <row r="958" spans="5:8" ht="15.75" customHeight="1" x14ac:dyDescent="0.3">
      <c r="E958" s="9"/>
      <c r="F958" s="9"/>
      <c r="H958" s="9"/>
    </row>
    <row r="959" spans="5:8" ht="15.75" customHeight="1" x14ac:dyDescent="0.3">
      <c r="E959" s="9"/>
      <c r="F959" s="9"/>
      <c r="H959" s="9"/>
    </row>
    <row r="960" spans="5:8" ht="15.75" customHeight="1" x14ac:dyDescent="0.3">
      <c r="E960" s="9"/>
      <c r="F960" s="9"/>
      <c r="H960" s="9"/>
    </row>
    <row r="961" spans="5:8" ht="15.75" customHeight="1" x14ac:dyDescent="0.3">
      <c r="E961" s="9"/>
      <c r="F961" s="9"/>
      <c r="H961" s="9"/>
    </row>
    <row r="962" spans="5:8" ht="15.75" customHeight="1" x14ac:dyDescent="0.3">
      <c r="E962" s="9"/>
      <c r="F962" s="9"/>
      <c r="H962" s="9"/>
    </row>
    <row r="963" spans="5:8" ht="15.75" customHeight="1" x14ac:dyDescent="0.3">
      <c r="E963" s="9"/>
      <c r="F963" s="9"/>
      <c r="H963" s="9"/>
    </row>
    <row r="964" spans="5:8" ht="15.75" customHeight="1" x14ac:dyDescent="0.3">
      <c r="E964" s="9"/>
      <c r="F964" s="9"/>
      <c r="H964" s="9"/>
    </row>
    <row r="965" spans="5:8" ht="15.75" customHeight="1" x14ac:dyDescent="0.3">
      <c r="E965" s="9"/>
      <c r="F965" s="9"/>
      <c r="H965" s="9"/>
    </row>
    <row r="966" spans="5:8" ht="15.75" customHeight="1" x14ac:dyDescent="0.3">
      <c r="E966" s="9"/>
      <c r="F966" s="9"/>
      <c r="H966" s="9"/>
    </row>
    <row r="967" spans="5:8" ht="15.75" customHeight="1" x14ac:dyDescent="0.3">
      <c r="E967" s="9"/>
      <c r="F967" s="9"/>
      <c r="H967" s="9"/>
    </row>
    <row r="968" spans="5:8" ht="15.75" customHeight="1" x14ac:dyDescent="0.3">
      <c r="E968" s="9"/>
      <c r="F968" s="9"/>
      <c r="H968" s="9"/>
    </row>
    <row r="969" spans="5:8" ht="15.75" customHeight="1" x14ac:dyDescent="0.3">
      <c r="E969" s="9"/>
      <c r="F969" s="9"/>
      <c r="H969" s="9"/>
    </row>
    <row r="970" spans="5:8" ht="15.75" customHeight="1" x14ac:dyDescent="0.3">
      <c r="E970" s="9"/>
      <c r="F970" s="9"/>
      <c r="H970" s="9"/>
    </row>
    <row r="971" spans="5:8" ht="15.75" customHeight="1" x14ac:dyDescent="0.3">
      <c r="E971" s="9"/>
      <c r="F971" s="9"/>
      <c r="H971" s="9"/>
    </row>
    <row r="972" spans="5:8" ht="15.75" customHeight="1" x14ac:dyDescent="0.3">
      <c r="E972" s="9"/>
      <c r="F972" s="9"/>
      <c r="H972" s="9"/>
    </row>
    <row r="973" spans="5:8" ht="15.75" customHeight="1" x14ac:dyDescent="0.3">
      <c r="E973" s="9"/>
      <c r="F973" s="9"/>
      <c r="H973" s="9"/>
    </row>
    <row r="974" spans="5:8" ht="15.75" customHeight="1" x14ac:dyDescent="0.3">
      <c r="E974" s="9"/>
      <c r="F974" s="9"/>
      <c r="H974" s="9"/>
    </row>
    <row r="975" spans="5:8" ht="15.75" customHeight="1" x14ac:dyDescent="0.3">
      <c r="E975" s="9"/>
      <c r="F975" s="9"/>
      <c r="H975" s="9"/>
    </row>
    <row r="976" spans="5:8" ht="15.75" customHeight="1" x14ac:dyDescent="0.3">
      <c r="E976" s="9"/>
      <c r="F976" s="9"/>
      <c r="H976" s="9"/>
    </row>
    <row r="977" spans="5:8" ht="15.75" customHeight="1" x14ac:dyDescent="0.3">
      <c r="E977" s="9"/>
      <c r="F977" s="9"/>
      <c r="H977" s="9"/>
    </row>
    <row r="978" spans="5:8" ht="15.75" customHeight="1" x14ac:dyDescent="0.3">
      <c r="E978" s="9"/>
      <c r="F978" s="9"/>
      <c r="H978" s="9"/>
    </row>
    <row r="979" spans="5:8" ht="15.75" customHeight="1" x14ac:dyDescent="0.3">
      <c r="E979" s="9"/>
      <c r="F979" s="9"/>
      <c r="H979" s="9"/>
    </row>
    <row r="980" spans="5:8" ht="15.75" customHeight="1" x14ac:dyDescent="0.3">
      <c r="E980" s="9"/>
      <c r="F980" s="9"/>
      <c r="H980" s="9"/>
    </row>
    <row r="981" spans="5:8" ht="15.75" customHeight="1" x14ac:dyDescent="0.3">
      <c r="E981" s="9"/>
      <c r="F981" s="9"/>
      <c r="H981" s="9"/>
    </row>
    <row r="982" spans="5:8" ht="15.75" customHeight="1" x14ac:dyDescent="0.3">
      <c r="E982" s="9"/>
      <c r="F982" s="9"/>
      <c r="H982" s="9"/>
    </row>
    <row r="983" spans="5:8" ht="15.75" customHeight="1" x14ac:dyDescent="0.3">
      <c r="E983" s="9"/>
      <c r="F983" s="9"/>
      <c r="H983" s="9"/>
    </row>
    <row r="984" spans="5:8" ht="15.75" customHeight="1" x14ac:dyDescent="0.3">
      <c r="E984" s="9"/>
      <c r="F984" s="9"/>
      <c r="H984" s="9"/>
    </row>
    <row r="985" spans="5:8" ht="15.75" customHeight="1" x14ac:dyDescent="0.3">
      <c r="E985" s="9"/>
      <c r="F985" s="9"/>
      <c r="H985" s="9"/>
    </row>
    <row r="986" spans="5:8" ht="15.75" customHeight="1" x14ac:dyDescent="0.3">
      <c r="E986" s="9"/>
      <c r="F986" s="9"/>
      <c r="H986" s="9"/>
    </row>
    <row r="987" spans="5:8" ht="15.75" customHeight="1" x14ac:dyDescent="0.3">
      <c r="E987" s="9"/>
      <c r="F987" s="9"/>
      <c r="H987" s="9"/>
    </row>
    <row r="988" spans="5:8" ht="15.75" customHeight="1" x14ac:dyDescent="0.3">
      <c r="E988" s="9"/>
      <c r="F988" s="9"/>
      <c r="H988" s="9"/>
    </row>
    <row r="989" spans="5:8" ht="15.75" customHeight="1" x14ac:dyDescent="0.3">
      <c r="E989" s="9"/>
      <c r="F989" s="9"/>
      <c r="H989" s="9"/>
    </row>
    <row r="990" spans="5:8" ht="15.75" customHeight="1" x14ac:dyDescent="0.3">
      <c r="E990" s="9"/>
      <c r="F990" s="9"/>
      <c r="H990" s="9"/>
    </row>
    <row r="991" spans="5:8" ht="15.75" customHeight="1" x14ac:dyDescent="0.3">
      <c r="E991" s="9"/>
      <c r="F991" s="9"/>
      <c r="H991" s="9"/>
    </row>
    <row r="992" spans="5:8" ht="15.75" customHeight="1" x14ac:dyDescent="0.3">
      <c r="E992" s="9"/>
      <c r="F992" s="9"/>
      <c r="H992" s="9"/>
    </row>
    <row r="993" spans="5:8" ht="15.75" customHeight="1" x14ac:dyDescent="0.3">
      <c r="E993" s="9"/>
      <c r="F993" s="9"/>
      <c r="H993" s="9"/>
    </row>
    <row r="994" spans="5:8" ht="15.75" customHeight="1" x14ac:dyDescent="0.3">
      <c r="E994" s="9"/>
      <c r="F994" s="9"/>
      <c r="H994" s="9"/>
    </row>
    <row r="995" spans="5:8" ht="15.75" customHeight="1" x14ac:dyDescent="0.3">
      <c r="E995" s="9"/>
      <c r="F995" s="9"/>
      <c r="H995" s="9"/>
    </row>
    <row r="996" spans="5:8" ht="15.75" customHeight="1" x14ac:dyDescent="0.3">
      <c r="E996" s="9"/>
      <c r="F996" s="9"/>
      <c r="H996" s="9"/>
    </row>
    <row r="997" spans="5:8" ht="15.75" customHeight="1" x14ac:dyDescent="0.3">
      <c r="E997" s="9"/>
      <c r="F997" s="9"/>
      <c r="H997" s="9"/>
    </row>
    <row r="998" spans="5:8" ht="15.75" customHeight="1" x14ac:dyDescent="0.3">
      <c r="E998" s="9"/>
      <c r="F998" s="9"/>
      <c r="H998" s="9"/>
    </row>
    <row r="999" spans="5:8" ht="15.75" customHeight="1" x14ac:dyDescent="0.3">
      <c r="E999" s="9"/>
      <c r="F999" s="9"/>
      <c r="H999" s="9"/>
    </row>
    <row r="1000" spans="5:8" ht="15.75" customHeight="1" x14ac:dyDescent="0.3">
      <c r="E1000" s="9"/>
      <c r="F1000" s="9"/>
      <c r="H1000" s="9"/>
    </row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</vt:lpstr>
      <vt:lpstr>2025</vt:lpstr>
      <vt:lpstr>2024</vt:lpstr>
      <vt:lpstr>2023</vt:lpstr>
      <vt:lpstr>2022</vt:lpstr>
      <vt:lpstr>2021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Keerthie Maruthapillai</dc:creator>
  <cp:lastModifiedBy>sherden greveny</cp:lastModifiedBy>
  <dcterms:created xsi:type="dcterms:W3CDTF">2015-06-05T18:17:20Z</dcterms:created>
  <dcterms:modified xsi:type="dcterms:W3CDTF">2026-10-07T04:31:11Z</dcterms:modified>
</cp:coreProperties>
</file>